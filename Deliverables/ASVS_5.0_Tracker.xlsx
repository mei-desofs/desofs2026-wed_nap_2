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8"/>
  </bookViews>
  <sheets>
    <sheet r:id="rId1" sheetId="1" name="Summary"/>
    <sheet r:id="rId2" sheetId="2" name="V1 - Encoding and Sanitization"/>
    <sheet r:id="rId3" sheetId="3" name="V2 - Validation and Business Lo"/>
    <sheet r:id="rId4" sheetId="4" name="V3 - Web Frontend Security"/>
    <sheet r:id="rId5" sheetId="5" name="V4 - API and Web Service"/>
    <sheet r:id="rId6" sheetId="6" name="V5 - File Handling"/>
    <sheet r:id="rId7" sheetId="7" name="V6 - Authentication"/>
    <sheet r:id="rId8" sheetId="8" name="V7 - Session Management"/>
    <sheet r:id="rId9" sheetId="9" name="V8 - Authorization"/>
    <sheet r:id="rId10" sheetId="10" name="V9 - Self-contained Tokens"/>
    <sheet r:id="rId11" sheetId="11" name="V10 - OAuth and OIDC"/>
    <sheet r:id="rId12" sheetId="12" name="V11 - Cryptography"/>
    <sheet r:id="rId13" sheetId="13" name="V12 - Secure Communication"/>
    <sheet r:id="rId14" sheetId="14" name="V13 - Configuration"/>
    <sheet r:id="rId15" sheetId="15" name="V14 - Data Protection"/>
    <sheet r:id="rId16" sheetId="16" name="V15 - Secure Coding and Archite"/>
    <sheet r:id="rId17" sheetId="17" name="V16 - Security Logging and Erro"/>
    <sheet r:id="rId18" sheetId="18" name="V17 - WebRTC"/>
  </sheets>
  <calcPr fullCalcOnLoad="1"/>
</workbook>
</file>

<file path=xl/sharedStrings.xml><?xml version="1.0" encoding="utf-8"?>
<sst xmlns="http://schemas.openxmlformats.org/spreadsheetml/2006/main" count="2237" uniqueCount="1071">
  <si>
    <t>Section ID</t>
  </si>
  <si>
    <t>Section Name</t>
  </si>
  <si>
    <t>Req ID</t>
  </si>
  <si>
    <t>Description</t>
  </si>
  <si>
    <t>Level</t>
  </si>
  <si>
    <t>Status</t>
  </si>
  <si>
    <t>Observations</t>
  </si>
  <si>
    <t>Reference / Link</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</si>
  <si>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</si>
  <si>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</si>
  <si>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</si>
  <si>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</si>
  <si>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Not Applicable</t>
  </si>
  <si>
    <t>ArcadeHaven has no TURN servers and no peer-to-peer infrastructure. All client-server communication is synchronous REST API over HTTPS. The 30 functional requirements (RF-01 to RF-30) define only game catalog browsing, order management, invoice generation, file upload, and library management — none of which involve NAT traversal or peer-to-peer connectivity.</t>
  </si>
  <si>
    <t>V17.1.2</t>
  </si>
  <si>
    <t>Verify that the Traversal Using Relays around NAT (TURN) service is not susceptible to resource exhaustion when legitimate users attempt to open a large number of ports on the TURN server.</t>
  </si>
  <si>
    <t>ArcadeHaven has no TURN infrastructure and therefore no TURN allocation mechanism that could be exhausted. Resource exhaustion protection in the platform is applied to REST API endpoints via rate limiting (RNF-09) and temporary account lockout (AC-006). These controls target HTTP request flooding, not TURN allocation abuse.</t>
  </si>
  <si>
    <t>V17.2</t>
  </si>
  <si>
    <t>Media</t>
  </si>
  <si>
    <t>V17.2.1</t>
  </si>
  <si>
    <t>Verify that the key for the Datagram Transport Layer Security (DTLS) certificate is managed and protected based on the documented policy for management of cryptographic keys.</t>
  </si>
  <si>
    <t>ArcadeHaven does not implement DTLS. The platform uses standard TLS for all HTTPS communication (RNF-05). DTLS is specific to UDP-based media transport and has no role in a synchronous REST API over TCP/TLS. Cipher suite configuration is governed by V12 (Secure Communication), which enforces TLS 1.2 or higher across all API endpoints.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</si>
  <si>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</si>
  <si>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</si>
  <si>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ArcadeHaven has no media transcoding pipeline. The platform handles two categories of files: game image uploads from publishers (stored as-is on the server file system) and PDF invoices generated server-side using iText. Neither involves audio or video encoding, transcoding, or streaming. File storage is protected by HTTPS during transit and by access controls during retrieval (FO-003, FO-004).</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</si>
  <si>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</si>
  <si>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</si>
  <si>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ArcadeHaven transmits no RTP or SRTP streams. All communication between clients and the server is HTTP/REST over TLS (RNF-05). The only "media" distributed by the platform are static files (game images, invoices, activation keys) served as HTTP responses — not real-time audio or video streams.</t>
  </si>
  <si>
    <t>V17.2.4</t>
  </si>
  <si>
    <t>Verify that the media server is able to continue processing incoming media traffic when encountering malformed Secure Real-time Transport Protocol (SRTP) packets.</t>
  </si>
  <si>
    <t>ArcadeHaven processes no real-time media streams and has no stream identifier mechanism. Input validation in the platform applies to JSON request bodies, query parameters, path variables, and uploaded file metadata — not to RTP stream identifiers. Input validation is governed by RNF-06, IV-001 (whitelist validation), and IV-002 (parameterised queries).</t>
  </si>
  <si>
    <t>V17.2.5</t>
  </si>
  <si>
    <t>Verify that the media server is able to continue processing incoming media traffic during a flood of Secure Real-time Transport Protocol (SRTP) packets from legitimate users.</t>
  </si>
  <si>
    <t>ArcadeHaven has no media server and receives no SRTP traffic. Flood resilience in the platform is applied at the HTTP API layer via rate limiting (RNF-09) and temporary account lockout (AC-006). These controls protect against HTTP request flooding targeting game catalog, order, and library endpoints — not against SRTP or UDP-based media floods.</t>
  </si>
  <si>
    <t>V17.2.6</t>
  </si>
  <si>
    <t>Verify that the media server is not susceptible to the "ClientHello" Race Condition vulnerability in Datagram Transport Layer Security (DTLS) by checking if the media server is publicly known to be vulnerable or by performing the race condition test.</t>
  </si>
  <si>
    <t>The ClientHello Race condition is specific to DTLS handshake implementations. ArcadeHaven uses only TLS over TCP for HTTPS communication — there is no DTLS handshake in any part of the application. TLS configuration and cipher suite hardening is addressed in V12 (Secure Communication).</t>
  </si>
  <si>
    <t>V17.2.7</t>
  </si>
  <si>
    <t>Verify that any audio or video recording mechanisms associated with the media server are able to continue processing incoming media traffic during a flood of Secure Real-time Transport Protocol (SRTP) packets from legitimate users.</t>
  </si>
  <si>
    <t>ArcadeHaven has no audio or video recording functionality. The only document generation in the platform is PDF invoice creation via the iText library (RF-16, RF-26), which processes structured order data from the database, not media streams. There is no SRTP frame handling, no recording pipeline, and no exposure to malformed media payloads.</t>
  </si>
  <si>
    <t>V17.2.8</t>
  </si>
  <si>
    <t>Verify that the Datagram Transport Layer Security (DTLS) certificate is checked against the Session Description Protocol (SDP) fingerprint attribute, terminating the media stream if the check fails, to ensure the authenticity of the media stream.</t>
  </si>
  <si>
    <t>ArcadeHaven uses no SDP (Session Description Protocol) and performs no media negotiation. Certificate validation in the platform applies to TLS certificates on HTTPS endpoints and to the outbound HTTPS connection to the RAWG API (RF-12). Media negotiation protocols are entirely outside the platform's architecture.</t>
  </si>
  <si>
    <t>V17.3</t>
  </si>
  <si>
    <t>Signaling</t>
  </si>
  <si>
    <t>V17.3.1</t>
  </si>
  <si>
    <t>Verify that the signaling server is able to continue processing legitimate incoming signaling messages during a flood attack. This should be achieved by implementing rate limiting at the signaling level.</t>
  </si>
  <si>
    <t>ArcadeHaven has no signaling server and implements no signaling protocol (SIP, XMPP, WebRTC signaling, or custom). All communication is synchronous REST API over HTTPS. Rate limiting is applied to REST API endpoints via RNF-09 and AC-006, covering login, game search, order creation, and other high-volume or security-sensitive operations.</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</si>
  <si>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</si>
  <si>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</si>
  <si>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ArcadeHaven parses no signaling protocol messages. Malformed request handling in the platform applies to JSON request bodies and multipart form data submitted to REST API endpoints, governed by RNF-06 (input validation), IV-001 (server-side whitelist validation), and IV-003 (output sanitisation). There is no signaling layer where protocol-specific malformed message handling would be required.</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</si>
  <si>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</si>
  <si>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</si>
  <si>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</si>
  <si>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</si>
  <si>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In Progress</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</si>
  <si>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</si>
  <si>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</si>
  <si>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</si>
  <si>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</si>
  <si>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</si>
  <si>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</si>
  <si>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</si>
  <si>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</si>
  <si>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</si>
  <si>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</si>
  <si>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</si>
  <si>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</si>
  <si>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</si>
  <si>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</si>
  <si>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</si>
  <si>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</si>
  <si>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</si>
  <si>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</si>
  <si>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</si>
  <si>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</si>
  <si>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</si>
  <si>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</si>
  <si>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</si>
  <si>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</si>
  <si>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</si>
  <si>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</si>
  <si>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</si>
  <si>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</si>
  <si>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</si>
  <si>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</si>
  <si>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</si>
  <si>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</si>
  <si>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</si>
  <si>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</si>
  <si>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</si>
  <si>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</si>
  <si>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</si>
  <si>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</si>
  <si>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</si>
  <si>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</si>
  <si>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</si>
  <si>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</si>
  <si>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</si>
  <si>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</si>
  <si>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</si>
  <si>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</si>
  <si>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</si>
  <si>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</si>
  <si>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</si>
  <si>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</si>
  <si>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</si>
  <si>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</si>
  <si>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</si>
  <si>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</si>
  <si>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</si>
  <si>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</si>
  <si>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</si>
  <si>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</si>
  <si>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</si>
  <si>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</si>
  <si>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</si>
  <si>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</si>
  <si>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</si>
  <si>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</si>
  <si>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</si>
  <si>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</si>
  <si>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</si>
  <si>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</si>
  <si>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V15.1.4</t>
  </si>
  <si>
    <t>Verify that application documentation highlights third-party libraries which are considered to be "risky components".</t>
  </si>
  <si>
    <t>Not Started</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</si>
  <si>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</si>
  <si>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</si>
  <si>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</si>
  <si>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</si>
  <si>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</si>
  <si>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</si>
  <si>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</si>
  <si>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</si>
  <si>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</si>
  <si>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</si>
  <si>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</si>
  <si>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</si>
  <si>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</si>
  <si>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</si>
  <si>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</si>
  <si>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</si>
  <si>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</si>
  <si>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</si>
  <si>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</si>
  <si>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</si>
  <si>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</si>
  <si>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</si>
  <si>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</si>
  <si>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</si>
  <si>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</si>
  <si>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</si>
  <si>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</si>
  <si>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</si>
  <si>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</si>
  <si>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</si>
  <si>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</si>
  <si>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</si>
  <si>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</si>
  <si>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</si>
  <si>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</si>
  <si>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</si>
  <si>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</si>
  <si>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</si>
  <si>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</si>
  <si>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</si>
  <si>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</si>
  <si>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</si>
  <si>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</si>
  <si>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</si>
  <si>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</si>
  <si>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</si>
  <si>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</si>
  <si>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</si>
  <si>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</si>
  <si>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</si>
  <si>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</si>
  <si>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</si>
  <si>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</si>
  <si>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</si>
  <si>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</si>
  <si>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</si>
  <si>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</si>
  <si>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</si>
  <si>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</si>
  <si>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</si>
  <si>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</si>
  <si>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</si>
  <si>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</si>
  <si>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</si>
  <si>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V14.2.2</t>
  </si>
  <si>
    <t>Verify that the application prevents sensitive data from being cached in server components, such as load balancers and application caches, or ensures that the data is securely purged after use.</t>
  </si>
  <si>
    <t>Sensitive API responses will include Cache-Control: no-store headers to prevent caching in intermediary layers such as load balancers or reverse proxies.</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</si>
  <si>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</si>
  <si>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</si>
  <si>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</si>
  <si>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</si>
  <si>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</si>
  <si>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</si>
  <si>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</si>
  <si>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</si>
  <si>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</si>
  <si>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</si>
  <si>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</si>
  <si>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</si>
  <si>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</si>
  <si>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</si>
  <si>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</si>
  <si>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</si>
  <si>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</si>
  <si>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</si>
  <si>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</si>
  <si>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</si>
  <si>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</si>
  <si>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</si>
  <si>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</si>
  <si>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</si>
  <si>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</si>
  <si>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</si>
  <si>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</si>
  <si>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</si>
  <si>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</si>
  <si>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</si>
  <si>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</si>
  <si>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</si>
  <si>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</si>
  <si>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</si>
  <si>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</si>
  <si>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</si>
  <si>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</si>
  <si>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</si>
  <si>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</si>
  <si>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</si>
  <si>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</si>
  <si>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</si>
  <si>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</si>
  <si>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</si>
  <si>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</si>
  <si>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</si>
  <si>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</si>
  <si>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</si>
  <si>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</si>
  <si>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</si>
  <si>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</si>
  <si>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</si>
  <si>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</si>
  <si>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</si>
  <si>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</si>
  <si>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</si>
  <si>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</si>
  <si>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</si>
  <si>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</si>
  <si>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</si>
  <si>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</si>
  <si>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</si>
  <si>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</si>
  <si>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</si>
  <si>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</si>
  <si>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</si>
  <si>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</si>
  <si>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</si>
  <si>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</si>
  <si>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</si>
  <si>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</si>
  <si>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</si>
  <si>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</si>
  <si>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</si>
  <si>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</si>
  <si>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</si>
  <si>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</si>
  <si>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</si>
  <si>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</si>
  <si>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</si>
  <si>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</si>
  <si>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</si>
  <si>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</si>
  <si>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</si>
  <si>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</si>
  <si>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</si>
  <si>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</si>
  <si>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</si>
  <si>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</si>
  <si>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</si>
  <si>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</si>
  <si>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</si>
  <si>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</si>
  <si>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</si>
  <si>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</si>
  <si>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</si>
  <si>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</si>
  <si>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</si>
  <si>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</si>
  <si>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</si>
  <si>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</si>
  <si>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</si>
  <si>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</si>
  <si>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</si>
  <si>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</si>
  <si>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</si>
  <si>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</si>
  <si>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</si>
  <si>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</si>
  <si>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</si>
  <si>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</si>
  <si>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</si>
  <si>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</si>
  <si>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</si>
  <si>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</si>
  <si>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</si>
  <si>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</si>
  <si>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</si>
  <si>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</si>
  <si>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</si>
  <si>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</si>
  <si>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</si>
  <si>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</si>
  <si>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</si>
  <si>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</si>
  <si>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</si>
  <si>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</si>
  <si>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</si>
  <si>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</si>
  <si>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</si>
  <si>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</si>
  <si>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</si>
  <si>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</si>
  <si>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</si>
  <si>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</si>
  <si>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</si>
  <si>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</si>
  <si>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</si>
  <si>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</si>
  <si>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</si>
  <si>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</si>
  <si>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</si>
  <si>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</si>
  <si>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</si>
  <si>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</si>
  <si>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</si>
  <si>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</si>
  <si>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</si>
  <si>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</si>
  <si>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</si>
  <si>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</si>
  <si>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</si>
  <si>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</si>
  <si>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</si>
  <si>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</si>
  <si>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</si>
  <si>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</si>
  <si>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</si>
  <si>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</si>
  <si>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</si>
  <si>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</si>
  <si>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</si>
  <si>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</si>
  <si>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</si>
  <si>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</si>
  <si>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</si>
  <si>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</si>
  <si>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</si>
  <si>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</si>
  <si>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</si>
  <si>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</si>
  <si>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</si>
  <si>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</si>
  <si>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</si>
  <si>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</si>
  <si>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</si>
  <si>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</si>
  <si>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</si>
  <si>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</si>
  <si>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</si>
  <si>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</si>
  <si>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</si>
  <si>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</si>
  <si>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</si>
  <si>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</si>
  <si>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</si>
  <si>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</si>
  <si>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</si>
  <si>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</si>
  <si>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</si>
  <si>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</si>
  <si>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</si>
  <si>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</si>
  <si>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</si>
  <si>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</si>
  <si>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</si>
  <si>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</si>
  <si>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ArcadeHaven does not use OAuth2 in Phase 1. Tokens are issued and consumed internally. No backend-for-frontend or token forwarding is used.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</si>
  <si>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</si>
  <si>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</si>
  <si>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No external authorization server is used. Token values are generated and validated entirely within the ArcadeHaven backend.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</si>
  <si>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</si>
  <si>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</si>
  <si>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</si>
  <si>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</si>
  <si>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ArcadeHaven does not implement an OAuth client or authorization code flow in Phase 1.</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</si>
  <si>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</si>
  <si>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</si>
  <si>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No multiple authorization server interaction is used. Not applicable in the current scope.</t>
  </si>
  <si>
    <t>V10.2.3</t>
  </si>
  <si>
    <t>Verify that the OAuth client only requests the required scopes (or other authorization parameters) in requests to the authorization server.</t>
  </si>
  <si>
    <t>No OAuth client is implemented. Scope management is handled internally via role-based access control</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</si>
  <si>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</si>
  <si>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</si>
  <si>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</si>
  <si>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</si>
  <si>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ArcadeHaven acts as its own resource server. JWT tokens include an aud claim set to arcadehaven-api, validated on every request. Tokens not intended for ArcadeHaven will be rejected.</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</si>
  <si>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</si>
  <si>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</si>
  <si>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based on the role claim in the JWT. Spring Security's method-level security (@PreAuthorize) enforces delegated authorization based on token claims.</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</si>
  <si>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</si>
  <si>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</si>
  <si>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The user's unique identifier is extracted from the JWT for access control decisions. No separate introspection endpoint is used.</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</si>
  <si>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</si>
  <si>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</si>
  <si>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ArcadeHaven does not require specific authentication strength or recentness for resource access beyond standard JWT validation. Not applicable in the current scope.</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</si>
  <si>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</si>
  <si>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</si>
  <si>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prevention relies on short expiry (15 minutes) and HTTPS enforcement.</t>
  </si>
  <si>
    <t>V10.4</t>
  </si>
  <si>
    <t>OAuth Authorization Server</t>
  </si>
  <si>
    <t>V10.4.1</t>
  </si>
  <si>
    <t>Verify that the authorization server validates redirect URIs based on a client-specific allowlist of pre-registered URIs using exact string comparison.</t>
  </si>
  <si>
    <t>ArcadeHaven does not implement an OAuth authorization server or redirect URI flows in Phase 1.</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</si>
  <si>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</si>
  <si>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</si>
  <si>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No authorization code flow is implemented. Not applicable in the current scope.</t>
  </si>
  <si>
    <t>V10.4.3</t>
  </si>
  <si>
    <t>Verify that the authorization code is short-lived. The maximum lifetime can be up to 10 minutes for L1 and L2 applications and up to 1 minute for L3 applications.</t>
  </si>
  <si>
    <t>No authorization codes are issued. Not applicable in the current scope.</t>
  </si>
  <si>
    <t>V10.4.4</t>
  </si>
  <si>
    <t>Verify that for a given client, the authorization server only allows the usage of grants that this client needs to use. Note that the grants 'token' (Implicit flow) and 'password' (Resource Owner Password Credentials flow) must no longer be used.</t>
  </si>
  <si>
    <t>No OAuth grant types are implemented. Access is controlled via internal JWT issuance only.</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</si>
  <si>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</si>
  <si>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</si>
  <si>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No refresh token replay mitigation via sender-constrained tokens is needed. Refresh tokens will use rotation each use issues a new token and invalidates the previous one.</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</si>
  <si>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</si>
  <si>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</si>
  <si>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No authorization code flow or PKCE is implemented</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</si>
  <si>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</si>
  <si>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</si>
  <si>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No dynamic client registration is supported. ArcadeHaven has no external OAuth clients.</t>
  </si>
  <si>
    <t>V10.4.8</t>
  </si>
  <si>
    <t>Verify that refresh tokens have an absolute expiration, including if sliding refresh token expiration is applied.</t>
  </si>
  <si>
    <t>Refresh tokens will have an absolute expiration (e.g. 7 days), regardless of usage. Sliding expiration will not be used to prevent indefinite session extension.</t>
  </si>
  <si>
    <t>V10.4.9</t>
  </si>
  <si>
    <t>Verify that refresh tokens and reference access tokens can be revoked by an authorized user using the authorization server user interface, to mitigate the risk of malicious clients or stolen tokens.</t>
  </si>
  <si>
    <t>Users will be able to revoke refresh tokens via the logout endpoint (POST /api/auth/logout). A token denylist will be maintained server-side to immediately invalidate revoked tokens.</t>
  </si>
  <si>
    <t>V10.4.10</t>
  </si>
  <si>
    <t>Verify that confidential client is authenticated for client-to-authorized server backchannel requests such as token requests, pushed authorization requests (PAR), and token revocation requests.</t>
  </si>
  <si>
    <t>No confidential OAuth clients are used. ArcadeHaven issues tokens directly to authenticated users, not to external client applications.</t>
  </si>
  <si>
    <t>V10.4.11</t>
  </si>
  <si>
    <t>Verify that the authorization server configuration only assigns the required scopes to the OAuth client.</t>
  </si>
  <si>
    <t>No OAuth client scope configuration is applicable. Permissions are managed via user roles defined in the JWT claims.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</si>
  <si>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</si>
  <si>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</si>
  <si>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No response_mode configuration is applicable. ArcadeHaven does not implement an OAuth authorization server.</t>
  </si>
  <si>
    <t>V10.4.13</t>
  </si>
  <si>
    <t>Verify that grant type 'code' is always used together with pushed authorization requests (PAR).</t>
  </si>
  <si>
    <t>No authorization code flow or Pushed Authorization Requests (PAR) are used.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</si>
  <si>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</si>
  <si>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</si>
  <si>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(Proof-of-Possession) tokens are out of scope.</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</si>
  <si>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</si>
  <si>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</si>
  <si>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No server-side OAuth client is implemented.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</si>
  <si>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</si>
  <si>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</si>
  <si>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No external OAuth client authentication is used. Not applicable in the current scope.</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</si>
  <si>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</si>
  <si>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</si>
  <si>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</si>
  <si>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</si>
  <si>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does not implement an OIDC client or consume ID Tokens from an external provider.</t>
  </si>
  <si>
    <t>V10.5.2</t>
  </si>
  <si>
    <t>Verify that the client uniquely identifies the user from ID Token claims, usually the 'sub' claim, which cannot be reassigned to other users (for the scope of an identity provider).</t>
  </si>
  <si>
    <t>User identity is uniquely identified via the sub claim (user UUID) in the internally issued JWT. No external OIDC ID Token is used.</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</si>
  <si>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</si>
  <si>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</si>
  <si>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No external authorization server is used. Issuer confusion attacks are not applicable in the current scope.</t>
  </si>
  <si>
    <t>V10.5.4</t>
  </si>
  <si>
    <t>Verify that the client validates that the ID Token is intended to be used for that client (audience) by checking that the 'aud' claim from the token is equal to the 'client_id' value for the client.</t>
  </si>
  <si>
    <t>No external ID Tokens are consumed. Audience validation is performed on internally issued JWTs</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</si>
  <si>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</si>
  <si>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</si>
  <si>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No OIDC back-channel logout is implemented. Not applicable in the current scope.</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</si>
  <si>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</si>
  <si>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</si>
  <si>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</si>
  <si>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</si>
  <si>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ArcadeHaven does not act as an OpenID Provider. Not applicable in the current scope.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</si>
  <si>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</si>
  <si>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</si>
  <si>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</si>
  <si>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</si>
  <si>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</si>
  <si>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</si>
  <si>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No external OAuth authorization flows requiring user consent screens are implemented. ArcadeHaven manages permissions internally via role assignment at registration.</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</si>
  <si>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</si>
  <si>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</si>
  <si>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No OAuth consent prompts are displayed. Not applicable in the current scope.</t>
  </si>
  <si>
    <t>V10.7.3</t>
  </si>
  <si>
    <t>Verify that the user can review, modify, and revoke consents which the user has granted through the authorization server.</t>
  </si>
  <si>
    <t>No OAuth consent grants are managed externally. Users can manage their account and revoke sessions via the ArcadeHaven API directly.</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</si>
  <si>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</si>
  <si>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</si>
  <si>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</si>
  <si>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</si>
  <si>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</si>
  <si>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</si>
  <si>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</si>
  <si>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</si>
  <si>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</si>
  <si>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</si>
  <si>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</si>
  <si>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</si>
  <si>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</si>
  <si>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</si>
  <si>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</si>
  <si>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</si>
  <si>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</si>
  <si>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</si>
  <si>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</si>
  <si>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</si>
  <si>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</si>
  <si>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</si>
  <si>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</si>
  <si>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</si>
  <si>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</si>
  <si>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</si>
  <si>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</si>
  <si>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</si>
  <si>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</si>
  <si>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</si>
  <si>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</si>
  <si>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</si>
  <si>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</si>
  <si>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</si>
  <si>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</si>
  <si>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</si>
  <si>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</si>
  <si>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</si>
  <si>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</si>
  <si>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</si>
  <si>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</si>
  <si>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</si>
  <si>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</si>
  <si>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</si>
  <si>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</si>
  <si>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</si>
  <si>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</si>
  <si>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</si>
  <si>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</si>
  <si>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</si>
  <si>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</si>
  <si>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</si>
  <si>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</si>
  <si>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</si>
  <si>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</si>
  <si>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</si>
  <si>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</si>
  <si>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</si>
  <si>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</si>
  <si>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</si>
  <si>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</si>
  <si>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</si>
  <si>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</si>
  <si>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</si>
  <si>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</si>
  <si>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</si>
  <si>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</si>
  <si>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</si>
  <si>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</si>
  <si>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</si>
  <si>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</si>
  <si>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</si>
  <si>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</si>
  <si>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</si>
  <si>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</si>
  <si>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</si>
  <si>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</si>
  <si>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</si>
  <si>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</si>
  <si>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</si>
  <si>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</si>
  <si>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</si>
  <si>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</si>
  <si>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</si>
  <si>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</si>
  <si>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</si>
  <si>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</si>
  <si>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</si>
  <si>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</si>
  <si>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</si>
  <si>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</si>
  <si>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</si>
  <si>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</si>
  <si>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</si>
  <si>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</si>
  <si>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</si>
  <si>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</si>
  <si>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</si>
  <si>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</si>
  <si>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</si>
  <si>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</si>
  <si>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</si>
  <si>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</si>
  <si>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</si>
  <si>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</si>
  <si>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</si>
  <si>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</si>
  <si>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</si>
  <si>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</si>
  <si>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</si>
  <si>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</si>
  <si>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</si>
  <si>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</si>
  <si>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</si>
  <si>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</si>
  <si>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</si>
  <si>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</si>
  <si>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</si>
  <si>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</si>
  <si>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</si>
  <si>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</si>
  <si>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</si>
  <si>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</si>
  <si>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</si>
  <si>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</si>
  <si>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</si>
  <si>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</si>
  <si>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</si>
  <si>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</si>
  <si>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</si>
  <si>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</si>
  <si>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</si>
  <si>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</si>
  <si>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</si>
  <si>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</si>
  <si>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</si>
  <si>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</si>
  <si>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</si>
  <si>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</si>
  <si>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</si>
  <si>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</si>
  <si>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</si>
  <si>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</si>
  <si>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</si>
  <si>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</si>
  <si>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</si>
  <si>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</si>
  <si>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</si>
  <si>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</si>
  <si>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</si>
  <si>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</si>
  <si>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</si>
  <si>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</si>
  <si>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</si>
  <si>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</si>
  <si>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</si>
  <si>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</si>
  <si>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</si>
  <si>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</si>
  <si>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</si>
  <si>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</si>
  <si>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</si>
  <si>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</si>
  <si>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</si>
  <si>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</si>
  <si>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</si>
  <si>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</si>
  <si>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</si>
  <si>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</si>
  <si>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</si>
  <si>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</si>
  <si>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</si>
  <si>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</si>
  <si>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</si>
  <si>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</si>
  <si>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</si>
  <si>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</si>
  <si>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</si>
  <si>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</si>
  <si>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</si>
  <si>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</si>
  <si>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</si>
  <si>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</si>
  <si>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</si>
  <si>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</si>
  <si>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</si>
  <si>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</si>
  <si>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</si>
  <si>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</si>
  <si>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</si>
  <si>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</si>
  <si>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</si>
  <si>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</si>
  <si>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</si>
  <si>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</si>
  <si>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</si>
  <si>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</si>
  <si>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</si>
  <si>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</si>
  <si>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</si>
  <si>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</si>
  <si>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</si>
  <si>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</si>
  <si>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</si>
  <si>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</si>
  <si>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</si>
  <si>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</si>
  <si>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</si>
  <si>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</si>
  <si>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</si>
  <si>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</si>
  <si>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</si>
  <si>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</si>
  <si>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</si>
  <si>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</si>
  <si>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</si>
  <si>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</si>
  <si>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</si>
  <si>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</si>
  <si>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</si>
  <si>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</si>
  <si>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</si>
  <si>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</si>
  <si>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</si>
  <si>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</si>
  <si>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</si>
  <si>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</si>
  <si>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</si>
  <si>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</si>
  <si>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</si>
  <si>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</si>
  <si>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</si>
  <si>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</si>
  <si>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</si>
  <si>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</si>
  <si>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</si>
  <si>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</si>
  <si>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</si>
  <si>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</si>
  <si>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</si>
  <si>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</si>
  <si>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</si>
  <si>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</si>
  <si>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</si>
  <si>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</si>
  <si>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</si>
  <si>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</si>
  <si>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</si>
  <si>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</si>
  <si>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</si>
  <si>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</si>
  <si>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</si>
  <si>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</si>
  <si>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</si>
  <si>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</si>
  <si>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</si>
  <si>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</si>
  <si>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</si>
  <si>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</si>
  <si>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</si>
  <si>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</si>
  <si>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</si>
  <si>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</si>
  <si>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</si>
  <si>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</si>
  <si>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</si>
  <si>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</si>
  <si>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</si>
  <si>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</si>
  <si>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</si>
  <si>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</si>
  <si>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</si>
  <si>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</si>
  <si>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</si>
  <si>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</si>
  <si>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</si>
  <si>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</si>
  <si>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</si>
  <si>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</si>
  <si>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</si>
  <si>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</si>
  <si>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</si>
  <si>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</si>
  <si>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</si>
  <si>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</si>
  <si>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</si>
  <si>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</si>
  <si>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</si>
  <si>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</si>
  <si>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</si>
  <si>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</si>
  <si>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</si>
  <si>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</si>
  <si>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</si>
  <si>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</si>
  <si>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</si>
  <si>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</si>
  <si>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</si>
  <si>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</si>
  <si>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</si>
  <si>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</si>
  <si>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</si>
  <si>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</si>
  <si>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</si>
  <si>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</si>
  <si>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</si>
  <si>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</si>
  <si>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</si>
  <si>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</si>
  <si>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</si>
  <si>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</si>
  <si>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</si>
  <si>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</si>
  <si>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</si>
  <si>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</si>
  <si>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</si>
  <si>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</si>
  <si>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</si>
  <si>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</si>
  <si>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</si>
  <si>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</si>
  <si>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</si>
  <si>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</si>
  <si>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</si>
  <si>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</si>
  <si>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</si>
  <si>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</si>
  <si>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</si>
  <si>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</si>
  <si>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</si>
  <si>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</si>
  <si>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</si>
  <si>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</si>
  <si>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</si>
  <si>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</si>
  <si>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</si>
  <si>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</si>
  <si>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</si>
  <si>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</si>
  <si>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</si>
  <si>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</si>
  <si>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</si>
  <si>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</si>
  <si>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</si>
  <si>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</si>
  <si>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</si>
  <si>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</si>
  <si>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</si>
  <si>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</si>
  <si>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</si>
  <si>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</si>
  <si>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</si>
  <si>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</si>
  <si>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</si>
  <si>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</si>
  <si>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</si>
  <si>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</si>
  <si>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</si>
  <si>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</si>
  <si>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</si>
  <si>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</si>
  <si>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</si>
  <si>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</si>
  <si>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</si>
  <si>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</si>
  <si>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</si>
  <si>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</si>
  <si>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</si>
  <si>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</si>
  <si>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</si>
  <si>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</si>
  <si>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</si>
  <si>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</si>
  <si>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</si>
  <si>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</si>
  <si>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</si>
  <si>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</si>
  <si>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</si>
  <si>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</si>
  <si>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</si>
  <si>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</si>
  <si>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</si>
  <si>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</si>
  <si>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</si>
  <si>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</si>
  <si>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</si>
  <si>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</si>
  <si>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</si>
  <si>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</si>
  <si>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</si>
  <si>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</si>
  <si>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</si>
  <si>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</si>
  <si>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</si>
  <si>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</si>
  <si>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</si>
  <si>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</si>
  <si>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</si>
  <si>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</si>
  <si>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</si>
  <si>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</si>
  <si>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</si>
  <si>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</si>
  <si>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</si>
  <si>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</si>
  <si>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</si>
  <si>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</si>
  <si>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</si>
  <si>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</si>
  <si>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</si>
  <si>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</si>
  <si>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</si>
  <si>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</si>
  <si>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</si>
  <si>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</si>
  <si>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V2.1.3</t>
  </si>
  <si>
    <t>Verify that expectations for business logic limits and validations are documented, including both per-user and globally across the application.</t>
  </si>
  <si>
    <t>Business rules will be defined for both per-user and global constraints</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</si>
  <si>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</si>
  <si>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</si>
  <si>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</si>
  <si>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</si>
  <si>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</si>
  <si>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</si>
  <si>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</si>
  <si>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</si>
  <si>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</si>
  <si>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</si>
  <si>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</si>
  <si>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</si>
  <si>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</si>
  <si>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</si>
  <si>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</si>
  <si>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</si>
  <si>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</si>
  <si>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</si>
  <si>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</si>
  <si>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</si>
  <si>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</si>
  <si>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</si>
  <si>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</si>
  <si>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</si>
  <si>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</si>
  <si>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</si>
  <si>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</si>
  <si>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</si>
  <si>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</si>
  <si>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</si>
  <si>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</si>
  <si>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rcadeHeaven uses Spring Boot which automatically deserializes JSON inputs into Java objects ensuring a canonical form at entry. Validation will be enforced using Bean Validation</t>
  </si>
  <si>
    <t>V1.1.2</t>
  </si>
  <si>
    <t>Verify that the application performs output encoding and escaping either as a final step before being used by the interpreter for which it is intended or by the interpreter itself.</t>
  </si>
  <si>
    <t>Output is mainly JSON responses and server generated files (PDF invoices, activation keys). When writing files to filesystem, untrusted data will be properly escaped or sanitized</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</si>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</sst>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0%"/>
  </numFmts>
  <fonts count="12" x14ac:knownFonts="1">
    <font>
      <sz val="11"/>
      <color theme="1"/>
      <name val="Calibri"/>
      <family val="2"/>
      <scheme val="minor"/>
    </font>
    <font>
      <b/>
      <sz val="10"/>
      <color rgb="FFffffff"/>
      <name val="Cambria"/>
      <family val="2"/>
    </font>
    <font>
      <b/>
      <sz val="10"/>
      <color rgb="FF1f3864"/>
      <name val="Cambria"/>
      <family val="2"/>
    </font>
    <font>
      <sz val="11"/>
      <color rgb="FF000000"/>
      <name val="Calibri"/>
      <family val="2"/>
    </font>
    <font>
      <b/>
      <sz val="10"/>
      <color rgb="FF000000"/>
      <name val="Cambria"/>
      <family val="2"/>
    </font>
    <font>
      <b/>
      <sz val="16"/>
      <color rgb="FFffffff"/>
      <name val="Cambria"/>
      <family val="2"/>
    </font>
    <font>
      <i/>
      <sz val="10"/>
      <color rgb="FF595959"/>
      <name val="Cambria"/>
      <family val="2"/>
    </font>
    <font>
      <b/>
      <sz val="9"/>
      <color rgb="FF000000"/>
      <name val="Cambria"/>
      <family val="2"/>
    </font>
    <font>
      <sz val="11"/>
      <color theme="1"/>
      <name val="Calibri"/>
      <family val="2"/>
    </font>
    <font>
      <b/>
      <sz val="9"/>
      <color rgb="FFffffff"/>
      <name val="Cambria"/>
      <family val="2"/>
    </font>
    <font>
      <sz val="10"/>
      <color rgb="FF000000"/>
      <name val="Cambria"/>
      <family val="2"/>
    </font>
    <font>
      <b/>
      <sz val="11"/>
      <color rgb="FFffffff"/>
      <name val="Cambria"/>
      <family val="2"/>
    </font>
  </fonts>
  <fills count="10">
    <fill>
      <patternFill patternType="none"/>
    </fill>
    <fill>
      <patternFill patternType="gray125"/>
    </fill>
    <fill>
      <patternFill patternType="solid">
        <fgColor rgb="FF1f3864"/>
      </patternFill>
    </fill>
    <fill>
      <patternFill patternType="solid">
        <fgColor rgb="FFd6e4f0"/>
      </patternFill>
    </fill>
    <fill>
      <patternFill patternType="solid">
        <fgColor rgb="FFffffff"/>
      </patternFill>
    </fill>
    <fill>
      <patternFill patternType="solid">
        <fgColor rgb="FFffeb9c"/>
      </patternFill>
    </fill>
    <fill>
      <patternFill patternType="solid">
        <fgColor rgb="FFf2f2f2"/>
      </patternFill>
    </fill>
    <fill>
      <patternFill patternType="solid">
        <fgColor rgb="FFf7fbff"/>
      </patternFill>
    </fill>
    <fill>
      <patternFill patternType="solid">
        <fgColor rgb="FFfabf8f"/>
      </patternFill>
    </fill>
    <fill>
      <patternFill patternType="solid">
        <fgColor rgb="FFc6efce"/>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c6c6c6"/>
      </top>
      <bottom style="thin">
        <color rgb="FFc6c6c6"/>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51">
    <xf xfId="0" numFmtId="0" borderId="0" fontId="0" fillId="0"/>
    <xf xfId="0" numFmtId="0" borderId="0" fontId="0" fillId="0" applyAlignment="1">
      <alignment wrapText="1"/>
    </xf>
    <xf xfId="0" numFmtId="0" borderId="1" applyBorder="1" fontId="1" applyFont="1" fillId="2" applyFill="1" applyAlignment="1">
      <alignment horizontal="center" wrapText="1"/>
    </xf>
    <xf xfId="0" numFmtId="3" applyNumberFormat="1" borderId="1" applyBorder="1" fontId="1" applyFont="1" fillId="2" applyFill="1" applyAlignment="1">
      <alignment horizontal="center" wrapText="1"/>
    </xf>
    <xf xfId="0" numFmtId="0" borderId="1" applyBorder="1" fontId="2" applyFont="1" fillId="3" applyFill="1" applyAlignment="1">
      <alignment horizontal="left"/>
    </xf>
    <xf xfId="0" numFmtId="3" applyNumberFormat="1" borderId="1" applyBorder="1" fontId="2" applyFont="1" fillId="3" applyFill="1" applyAlignment="1">
      <alignment horizontal="left"/>
    </xf>
    <xf xfId="0" numFmtId="0" borderId="1" applyBorder="1" fontId="3" applyFont="1" fillId="4" applyFill="1" applyAlignment="1">
      <alignment horizontal="left"/>
    </xf>
    <xf xfId="0" numFmtId="0" borderId="1" applyBorder="1" fontId="3" applyFont="1" fillId="4" applyFill="1" applyAlignment="1">
      <alignment horizontal="center"/>
    </xf>
    <xf xfId="0" numFmtId="0" borderId="1" applyBorder="1" fontId="3" applyFont="1" fillId="4" applyFill="1" applyAlignment="1">
      <alignment horizontal="left" wrapText="1"/>
    </xf>
    <xf xfId="0" numFmtId="3" applyNumberFormat="1" borderId="1" applyBorder="1" fontId="4" applyFont="1" fillId="5" applyFill="1" applyAlignment="1">
      <alignment horizontal="center"/>
    </xf>
    <xf xfId="0" numFmtId="0" borderId="1" applyBorder="1" fontId="3" applyFont="1" fillId="6" applyFill="1" applyAlignment="1">
      <alignment horizontal="center"/>
    </xf>
    <xf xfId="0" numFmtId="0" borderId="1" applyBorder="1" fontId="3" applyFont="1" fillId="7" applyFill="1" applyAlignment="1">
      <alignment horizontal="left"/>
    </xf>
    <xf xfId="0" numFmtId="0" borderId="1" applyBorder="1" fontId="3" applyFont="1" fillId="7" applyFill="1" applyAlignment="1">
      <alignment horizontal="center"/>
    </xf>
    <xf xfId="0" numFmtId="0" borderId="1" applyBorder="1" fontId="3" applyFont="1" fillId="7" applyFill="1" applyAlignment="1">
      <alignment horizontal="left" wrapText="1"/>
    </xf>
    <xf xfId="0" numFmtId="3" applyNumberFormat="1" borderId="1" applyBorder="1" fontId="4" applyFont="1" fillId="8" applyFill="1" applyAlignment="1">
      <alignment horizontal="center"/>
    </xf>
    <xf xfId="0" numFmtId="0" borderId="0" fontId="0" fillId="0" applyAlignment="1">
      <alignment horizontal="left"/>
    </xf>
    <xf xfId="0" numFmtId="0" borderId="0" fontId="0" fillId="0" applyAlignment="1">
      <alignment horizontal="center"/>
    </xf>
    <xf xfId="0" numFmtId="3" applyNumberFormat="1" borderId="0" fontId="0" fillId="0" applyAlignment="1">
      <alignment horizontal="center"/>
    </xf>
    <xf xfId="0" numFmtId="3" applyNumberFormat="1" borderId="1" applyBorder="1" fontId="4" applyFont="1" fillId="9" applyFill="1" applyAlignment="1">
      <alignment horizontal="center"/>
    </xf>
    <xf xfId="0" numFmtId="0" borderId="2" applyBorder="1" fontId="3" applyFont="1" fillId="7" applyFill="1" applyAlignment="1">
      <alignment horizontal="left" wrapText="1"/>
    </xf>
    <xf xfId="0" numFmtId="0" borderId="0" fontId="0" fillId="0" applyAlignment="1">
      <alignment horizontal="general"/>
    </xf>
    <xf xfId="0" numFmtId="0" borderId="0" fontId="0" fillId="0" applyAlignment="1">
      <alignment horizontal="general"/>
    </xf>
    <xf xfId="0" numFmtId="0" borderId="3" applyBorder="1" fontId="3" applyFont="1" fillId="0" applyAlignment="1">
      <alignment horizontal="left"/>
    </xf>
    <xf xfId="0" numFmtId="0" borderId="4" applyBorder="1" fontId="5" applyFont="1" fillId="2" applyFill="1" applyAlignment="1">
      <alignment horizontal="center"/>
    </xf>
    <xf xfId="0" numFmtId="3" applyNumberFormat="1" borderId="4" applyBorder="1" fontId="5" applyFont="1" fillId="2" applyFill="1" applyAlignment="1">
      <alignment horizontal="center"/>
    </xf>
    <xf xfId="0" numFmtId="164" applyNumberFormat="1" borderId="4" applyBorder="1" fontId="5" applyFont="1" fillId="2" applyFill="1" applyAlignment="1">
      <alignment horizontal="center"/>
    </xf>
    <xf xfId="0" numFmtId="0" borderId="3" applyBorder="1" fontId="6" applyFont="1" fillId="0" applyAlignment="1">
      <alignment horizontal="center"/>
    </xf>
    <xf xfId="0" numFmtId="3" applyNumberFormat="1" borderId="3" applyBorder="1" fontId="6" applyFont="1" fillId="0" applyAlignment="1">
      <alignment horizontal="center"/>
    </xf>
    <xf xfId="0" numFmtId="164" applyNumberFormat="1" borderId="3" applyBorder="1" fontId="6" applyFont="1" fillId="0" applyAlignment="1">
      <alignment horizontal="center"/>
    </xf>
    <xf xfId="0" numFmtId="0" borderId="3" applyBorder="1" fontId="4" applyFont="1" fillId="0" applyAlignment="1">
      <alignment horizontal="left"/>
    </xf>
    <xf xfId="0" numFmtId="3" applyNumberFormat="1" borderId="3" applyBorder="1" fontId="4" applyFont="1" fillId="0" applyAlignment="1">
      <alignment horizontal="left"/>
    </xf>
    <xf xfId="0" numFmtId="3" applyNumberFormat="1" borderId="3" applyBorder="1" fontId="7" applyFont="1" fillId="0" applyAlignment="1">
      <alignment horizontal="center"/>
    </xf>
    <xf xfId="0" numFmtId="3" applyNumberFormat="1" borderId="3" applyBorder="1" fontId="8" applyFont="1" fillId="0" applyAlignment="1">
      <alignment horizontal="center"/>
    </xf>
    <xf xfId="0" numFmtId="164" applyNumberFormat="1" borderId="3" applyBorder="1" fontId="7" applyFont="1" fillId="0" applyAlignment="1">
      <alignment horizontal="center"/>
    </xf>
    <xf xfId="0" numFmtId="164" applyNumberFormat="1" borderId="3" applyBorder="1" fontId="8" applyFont="1" fillId="0" applyAlignment="1">
      <alignment horizontal="center"/>
    </xf>
    <xf xfId="0" numFmtId="0" borderId="3" applyBorder="1" fontId="7" applyFont="1" fillId="0" applyAlignment="1">
      <alignment horizontal="center"/>
    </xf>
    <xf xfId="0" numFmtId="0" borderId="0" fontId="0" fillId="0" applyAlignment="1">
      <alignment horizontal="left"/>
    </xf>
    <xf xfId="0" numFmtId="0" borderId="1" applyBorder="1" fontId="9" applyFont="1" fillId="2" applyFill="1" applyAlignment="1">
      <alignment horizontal="center" wrapText="1"/>
    </xf>
    <xf xfId="0" numFmtId="3" applyNumberFormat="1" borderId="1" applyBorder="1" fontId="9" applyFont="1" fillId="2" applyFill="1" applyAlignment="1">
      <alignment horizontal="center" wrapText="1"/>
    </xf>
    <xf xfId="0" numFmtId="164" applyNumberFormat="1" borderId="1" applyBorder="1" fontId="9" applyFont="1" fillId="2" applyFill="1" applyAlignment="1">
      <alignment horizontal="center" wrapText="1"/>
    </xf>
    <xf xfId="0" numFmtId="0" borderId="3" applyBorder="1" fontId="8" applyFont="1" fillId="0" applyAlignment="1">
      <alignment horizontal="left" wrapText="1"/>
    </xf>
    <xf xfId="0" numFmtId="0" borderId="1" applyBorder="1" fontId="10" applyFont="1" fillId="4" applyFill="1" applyAlignment="1">
      <alignment horizontal="left"/>
    </xf>
    <xf xfId="0" numFmtId="3" applyNumberFormat="1" borderId="1" applyBorder="1" fontId="10" applyFont="1" fillId="4" applyFill="1" applyAlignment="1">
      <alignment horizontal="center"/>
    </xf>
    <xf xfId="0" numFmtId="164" applyNumberFormat="1" borderId="1" applyBorder="1" fontId="10" applyFont="1" fillId="4" applyFill="1" applyAlignment="1">
      <alignment horizontal="center"/>
    </xf>
    <xf xfId="0" numFmtId="0" borderId="1" applyBorder="1" fontId="10" applyFont="1" fillId="7" applyFill="1" applyAlignment="1">
      <alignment horizontal="left"/>
    </xf>
    <xf xfId="0" numFmtId="3" applyNumberFormat="1" borderId="1" applyBorder="1" fontId="10" applyFont="1" fillId="7" applyFill="1" applyAlignment="1">
      <alignment horizontal="center"/>
    </xf>
    <xf xfId="0" numFmtId="164" applyNumberFormat="1" borderId="1" applyBorder="1" fontId="10" applyFont="1" fillId="7" applyFill="1" applyAlignment="1">
      <alignment horizontal="center"/>
    </xf>
    <xf xfId="0" numFmtId="0" borderId="1" applyBorder="1" fontId="11" applyFont="1" fillId="2" applyFill="1" applyAlignment="1">
      <alignment horizontal="left"/>
    </xf>
    <xf xfId="0" numFmtId="3" applyNumberFormat="1" borderId="1" applyBorder="1" fontId="1" applyFont="1" fillId="2" applyFill="1" applyAlignment="1">
      <alignment horizontal="center"/>
    </xf>
    <xf xfId="0" numFmtId="164" applyNumberFormat="1" borderId="1" applyBorder="1" fontId="1" applyFont="1" fillId="2" applyFill="1" applyAlignment="1">
      <alignment horizontal="center"/>
    </xf>
    <xf xfId="0" numFmtId="164" applyNumberFormat="1" borderId="0" fontId="0"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worksheets/sheet9.xml" Type="http://schemas.openxmlformats.org/officeDocument/2006/relationships/worksheet" Id="rId9"/><Relationship Target="worksheets/sheet10.xml" Type="http://schemas.openxmlformats.org/officeDocument/2006/relationships/worksheet" Id="rId10"/><Relationship Target="worksheets/sheet11.xml" Type="http://schemas.openxmlformats.org/officeDocument/2006/relationships/worksheet" Id="rId11"/><Relationship Target="worksheets/sheet12.xml" Type="http://schemas.openxmlformats.org/officeDocument/2006/relationships/worksheet" Id="rId12"/><Relationship Target="worksheets/sheet13.xml" Type="http://schemas.openxmlformats.org/officeDocument/2006/relationships/worksheet" Id="rId13"/><Relationship Target="worksheets/sheet14.xml" Type="http://schemas.openxmlformats.org/officeDocument/2006/relationships/worksheet" Id="rId14"/><Relationship Target="worksheets/sheet15.xml" Type="http://schemas.openxmlformats.org/officeDocument/2006/relationships/worksheet" Id="rId15"/><Relationship Target="worksheets/sheet16.xml" Type="http://schemas.openxmlformats.org/officeDocument/2006/relationships/worksheet" Id="rId16"/><Relationship Target="worksheets/sheet17.xml" Type="http://schemas.openxmlformats.org/officeDocument/2006/relationships/worksheet" Id="rId17"/><Relationship Target="worksheets/sheet18.xml" Type="http://schemas.openxmlformats.org/officeDocument/2006/relationships/worksheet" Id="rId18"/><Relationship Target="sharedStrings.xml" Type="http://schemas.openxmlformats.org/officeDocument/2006/relationships/sharedStrings" Id="rId19"/><Relationship Target="styles.xml" Type="http://schemas.openxmlformats.org/officeDocument/2006/relationships/styles" Id="rId20"/><Relationship Target="theme/theme1.xml" Type="http://schemas.openxmlformats.org/officeDocument/2006/relationships/theme" Id="rId21"/></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P23"/>
  <sheetViews>
    <sheetView workbookViewId="0"/>
  </sheetViews>
  <sheetFormatPr defaultRowHeight="15" x14ac:dyDescent="0.25"/>
  <cols>
    <col min="1" max="1" style="15" width="34.005" customWidth="1" bestFit="1"/>
    <col min="2" max="2" style="17" width="11.005" customWidth="1" bestFit="1"/>
    <col min="3" max="3" style="17" width="11.005" customWidth="1" bestFit="1"/>
    <col min="4" max="4" style="17" width="11.005" customWidth="1" bestFit="1"/>
    <col min="5" max="5" style="50" width="11.005" customWidth="1" bestFit="1"/>
    <col min="6" max="6" style="17" width="11.005" customWidth="1" bestFit="1"/>
    <col min="7" max="7" style="17" width="11.005" customWidth="1" bestFit="1"/>
    <col min="8" max="8" style="50" width="11.005" customWidth="1" bestFit="1"/>
    <col min="9" max="9" style="17" width="11.005" customWidth="1" bestFit="1"/>
    <col min="10" max="10" style="17" width="11.005" customWidth="1" bestFit="1"/>
    <col min="11" max="11" style="50" width="11.005" customWidth="1" bestFit="1"/>
    <col min="12" max="12" style="17" width="11.005" customWidth="1" bestFit="1"/>
    <col min="13" max="13" style="50" width="11.005" customWidth="1" bestFit="1"/>
    <col min="14" max="14" style="21" width="13.576428571428572" customWidth="1" bestFit="1"/>
    <col min="15" max="15" style="21" width="13.576428571428572" customWidth="1" bestFit="1"/>
    <col min="16" max="16" style="21" width="13.576428571428572" customWidth="1" bestFit="1"/>
  </cols>
  <sheetData>
    <row x14ac:dyDescent="0.25" r="1" customHeight="1" ht="36">
      <c r="A1" s="23" t="s">
        <v>1038</v>
      </c>
      <c r="B1" s="24"/>
      <c r="C1" s="24"/>
      <c r="D1" s="24"/>
      <c r="E1" s="25"/>
      <c r="F1" s="24"/>
      <c r="G1" s="24"/>
      <c r="H1" s="25"/>
      <c r="I1" s="24"/>
      <c r="J1" s="24"/>
      <c r="K1" s="25"/>
      <c r="L1" s="24"/>
      <c r="M1" s="25"/>
      <c r="N1" s="23"/>
      <c r="O1" s="23"/>
      <c r="P1" s="23"/>
    </row>
    <row x14ac:dyDescent="0.25" r="2" customHeight="1" ht="19.95">
      <c r="A2" s="26"/>
      <c r="B2" s="27"/>
      <c r="C2" s="27"/>
      <c r="D2" s="27"/>
      <c r="E2" s="28"/>
      <c r="F2" s="27"/>
      <c r="G2" s="27"/>
      <c r="H2" s="28"/>
      <c r="I2" s="27"/>
      <c r="J2" s="27"/>
      <c r="K2" s="28"/>
      <c r="L2" s="27"/>
      <c r="M2" s="28"/>
      <c r="N2" s="26"/>
      <c r="O2" s="26"/>
      <c r="P2" s="26"/>
    </row>
    <row x14ac:dyDescent="0.25" r="3" customHeight="1" ht="18">
      <c r="A3" s="29"/>
      <c r="B3" s="30"/>
      <c r="C3" s="31"/>
      <c r="D3" s="32"/>
      <c r="E3" s="33"/>
      <c r="F3" s="32"/>
      <c r="G3" s="31"/>
      <c r="H3" s="34"/>
      <c r="I3" s="31"/>
      <c r="J3" s="32"/>
      <c r="K3" s="33"/>
      <c r="L3" s="32"/>
      <c r="M3" s="33"/>
      <c r="N3" s="20"/>
      <c r="O3" s="35"/>
      <c r="P3" s="20"/>
    </row>
    <row x14ac:dyDescent="0.25" r="4" customHeight="1" ht="18.75">
      <c r="A4" s="36"/>
      <c r="B4" s="32"/>
      <c r="C4" s="32"/>
      <c r="D4" s="32"/>
      <c r="E4" s="34"/>
      <c r="F4" s="32"/>
      <c r="G4" s="32"/>
      <c r="H4" s="34"/>
      <c r="I4" s="32"/>
      <c r="J4" s="32"/>
      <c r="K4" s="34"/>
      <c r="L4" s="32"/>
      <c r="M4" s="34"/>
      <c r="N4" s="20"/>
      <c r="O4" s="20"/>
      <c r="P4" s="20"/>
    </row>
    <row x14ac:dyDescent="0.25" r="5" customHeight="1" ht="31.95" customFormat="1" s="1">
      <c r="A5" s="37" t="s">
        <v>1039</v>
      </c>
      <c r="B5" s="38" t="s">
        <v>1040</v>
      </c>
      <c r="C5" s="38" t="s">
        <v>1041</v>
      </c>
      <c r="D5" s="38" t="s">
        <v>1042</v>
      </c>
      <c r="E5" s="39" t="s">
        <v>1043</v>
      </c>
      <c r="F5" s="38" t="s">
        <v>1044</v>
      </c>
      <c r="G5" s="38" t="s">
        <v>1045</v>
      </c>
      <c r="H5" s="39" t="s">
        <v>1046</v>
      </c>
      <c r="I5" s="38" t="s">
        <v>1047</v>
      </c>
      <c r="J5" s="38" t="s">
        <v>1048</v>
      </c>
      <c r="K5" s="39" t="s">
        <v>1049</v>
      </c>
      <c r="L5" s="38" t="s">
        <v>1050</v>
      </c>
      <c r="M5" s="39" t="s">
        <v>1051</v>
      </c>
      <c r="N5" s="40"/>
      <c r="O5" s="40"/>
      <c r="P5" s="40"/>
    </row>
    <row x14ac:dyDescent="0.25" r="6" customHeight="1" ht="18">
      <c r="A6" s="41" t="s">
        <v>1052</v>
      </c>
      <c r="B6" s="42">
        <v>30</v>
      </c>
      <c r="C6" s="42">
        <v>8</v>
      </c>
      <c r="D6" s="42">
        <f>COUNTIFS('V1 - Encoding and Sanitization'!$F$2:$F$36,"Compliant",'V1 - Encoding and Sanitization'!$E$2:$E$36,1)</f>
      </c>
      <c r="E6" s="43">
        <f>IF(C6=0,"",D6/C6)</f>
      </c>
      <c r="F6" s="42">
        <v>19</v>
      </c>
      <c r="G6" s="42">
        <f>COUNTIFS('V1 - Encoding and Sanitization'!$F$2:$F$36,"Compliant",'V1 - Encoding and Sanitization'!$E$2:$E$36,2)</f>
      </c>
      <c r="H6" s="43">
        <f>IF(F6=0,"",G6/F6)</f>
      </c>
      <c r="I6" s="42">
        <v>3</v>
      </c>
      <c r="J6" s="42">
        <f>COUNTIFS('V1 - Encoding and Sanitization'!$F$2:$F$36,"Compliant",'V1 - Encoding and Sanitization'!$E$2:$E$36,3)</f>
      </c>
      <c r="K6" s="43">
        <f>IF(I6=0,"",J6/I6)</f>
      </c>
      <c r="L6" s="42">
        <f>COUNTIF('V1 - Encoding and Sanitization'!$F$2:$F$36,"Compliant")</f>
      </c>
      <c r="M6" s="43">
        <f>IF(B6=0,"",L6/B6)</f>
      </c>
      <c r="N6" s="20"/>
      <c r="O6" s="20"/>
      <c r="P6" s="20"/>
    </row>
    <row x14ac:dyDescent="0.25" r="7" customHeight="1" ht="18">
      <c r="A7" s="44" t="s">
        <v>1053</v>
      </c>
      <c r="B7" s="45">
        <v>13</v>
      </c>
      <c r="C7" s="45">
        <v>4</v>
      </c>
      <c r="D7" s="45">
        <f>COUNTIFS('V2 - Validation and Business Lo'!$F$2:$F$18,"Compliant",'V2 - Validation and Business Lo'!$E$2:$E$18,1)</f>
      </c>
      <c r="E7" s="46">
        <f>IF(C7=0,"",D7/C7)</f>
      </c>
      <c r="F7" s="45">
        <v>7</v>
      </c>
      <c r="G7" s="45">
        <f>COUNTIFS('V2 - Validation and Business Lo'!$F$2:$F$18,"Compliant",'V2 - Validation and Business Lo'!$E$2:$E$18,2)</f>
      </c>
      <c r="H7" s="46">
        <f>IF(F7=0,"",G7/F7)</f>
      </c>
      <c r="I7" s="45">
        <v>2</v>
      </c>
      <c r="J7" s="45">
        <f>COUNTIFS('V2 - Validation and Business Lo'!$F$2:$F$18,"Compliant",'V2 - Validation and Business Lo'!$E$2:$E$18,3)</f>
      </c>
      <c r="K7" s="46">
        <f>IF(I7=0,"",J7/I7)</f>
      </c>
      <c r="L7" s="45">
        <f>COUNTIF('V2 - Validation and Business Lo'!$F$2:$F$18,"Compliant")</f>
      </c>
      <c r="M7" s="46">
        <f>IF(B7=0,"",L7/B7)</f>
      </c>
      <c r="N7" s="20"/>
      <c r="O7" s="20"/>
      <c r="P7" s="20"/>
    </row>
    <row x14ac:dyDescent="0.25" r="8" customHeight="1" ht="18">
      <c r="A8" s="41" t="s">
        <v>1054</v>
      </c>
      <c r="B8" s="42">
        <v>31</v>
      </c>
      <c r="C8" s="42">
        <v>8</v>
      </c>
      <c r="D8" s="42">
        <f>COUNTIFS('V3 - Web Frontend Security'!$F$2:$F$39,"Compliant",'V3 - Web Frontend Security'!$E$2:$E$39,1)</f>
      </c>
      <c r="E8" s="43">
        <f>IF(C8=0,"",D8/C8)</f>
      </c>
      <c r="F8" s="42">
        <v>11</v>
      </c>
      <c r="G8" s="42">
        <f>COUNTIFS('V3 - Web Frontend Security'!$F$2:$F$39,"Compliant",'V3 - Web Frontend Security'!$E$2:$E$39,2)</f>
      </c>
      <c r="H8" s="43">
        <f>IF(F8=0,"",G8/F8)</f>
      </c>
      <c r="I8" s="42">
        <v>12</v>
      </c>
      <c r="J8" s="42">
        <f>COUNTIFS('V3 - Web Frontend Security'!$F$2:$F$39,"Compliant",'V3 - Web Frontend Security'!$E$2:$E$39,3)</f>
      </c>
      <c r="K8" s="43">
        <f>IF(I8=0,"",J8/I8)</f>
      </c>
      <c r="L8" s="42">
        <f>COUNTIF('V3 - Web Frontend Security'!$F$2:$F$39,"Compliant")</f>
      </c>
      <c r="M8" s="43">
        <f>IF(B8=0,"",L8/B8)</f>
      </c>
      <c r="N8" s="20"/>
      <c r="O8" s="20"/>
      <c r="P8" s="20"/>
    </row>
    <row x14ac:dyDescent="0.25" r="9" customHeight="1" ht="18">
      <c r="A9" s="44" t="s">
        <v>1055</v>
      </c>
      <c r="B9" s="45">
        <v>16</v>
      </c>
      <c r="C9" s="45">
        <v>2</v>
      </c>
      <c r="D9" s="45">
        <f>COUNTIFS('V4 - API and Web Service'!$F$2:$F$21,"Compliant",'V4 - API and Web Service'!$E$2:$E$21,1)</f>
      </c>
      <c r="E9" s="46">
        <f>IF(C9=0,"",D9/C9)</f>
      </c>
      <c r="F9" s="45">
        <v>8</v>
      </c>
      <c r="G9" s="45">
        <f>COUNTIFS('V4 - API and Web Service'!$F$2:$F$21,"Compliant",'V4 - API and Web Service'!$E$2:$E$21,2)</f>
      </c>
      <c r="H9" s="46">
        <f>IF(F9=0,"",G9/F9)</f>
      </c>
      <c r="I9" s="45">
        <v>6</v>
      </c>
      <c r="J9" s="45">
        <f>COUNTIFS('V4 - API and Web Service'!$F$2:$F$21,"Compliant",'V4 - API and Web Service'!$E$2:$E$21,3)</f>
      </c>
      <c r="K9" s="46">
        <f>IF(I9=0,"",J9/I9)</f>
      </c>
      <c r="L9" s="45">
        <f>COUNTIF('V4 - API and Web Service'!$F$2:$F$21,"Compliant")</f>
      </c>
      <c r="M9" s="46">
        <f>IF(B9=0,"",L9/B9)</f>
      </c>
      <c r="N9" s="20"/>
      <c r="O9" s="20"/>
      <c r="P9" s="20"/>
    </row>
    <row x14ac:dyDescent="0.25" r="10" customHeight="1" ht="18">
      <c r="A10" s="41" t="s">
        <v>1056</v>
      </c>
      <c r="B10" s="42">
        <v>13</v>
      </c>
      <c r="C10" s="42">
        <v>4</v>
      </c>
      <c r="D10" s="42">
        <f>COUNTIFS('V5 - File Handling'!$F$2:$F$18,"Compliant",'V5 - File Handling'!$E$2:$E$18,1)</f>
      </c>
      <c r="E10" s="43">
        <f>IF(C10=0,"",D10/C10)</f>
      </c>
      <c r="F10" s="42">
        <v>5</v>
      </c>
      <c r="G10" s="42">
        <f>COUNTIFS('V5 - File Handling'!$F$2:$F$18,"Compliant",'V5 - File Handling'!$E$2:$E$18,2)</f>
      </c>
      <c r="H10" s="43">
        <f>IF(F10=0,"",G10/F10)</f>
      </c>
      <c r="I10" s="42">
        <v>4</v>
      </c>
      <c r="J10" s="42">
        <f>COUNTIFS('V5 - File Handling'!$F$2:$F$18,"Compliant",'V5 - File Handling'!$E$2:$E$18,3)</f>
      </c>
      <c r="K10" s="43">
        <f>IF(I10=0,"",J10/I10)</f>
      </c>
      <c r="L10" s="42">
        <f>COUNTIF('V5 - File Handling'!$F$2:$F$18,"Compliant")</f>
      </c>
      <c r="M10" s="43">
        <f>IF(B10=0,"",L10/B10)</f>
      </c>
      <c r="N10" s="20"/>
      <c r="O10" s="20"/>
      <c r="P10" s="20"/>
    </row>
    <row x14ac:dyDescent="0.25" r="11" customHeight="1" ht="18">
      <c r="A11" s="44" t="s">
        <v>1057</v>
      </c>
      <c r="B11" s="45">
        <v>47</v>
      </c>
      <c r="C11" s="45">
        <v>13</v>
      </c>
      <c r="D11" s="45">
        <f>COUNTIFS('V6 - Authentication'!$F$2:$F$56,"Compliant",'V6 - Authentication'!$E$2:$E$56,1)</f>
      </c>
      <c r="E11" s="46">
        <f>IF(C11=0,"",D11/C11)</f>
      </c>
      <c r="F11" s="45">
        <v>22</v>
      </c>
      <c r="G11" s="45">
        <f>COUNTIFS('V6 - Authentication'!$F$2:$F$56,"Compliant",'V6 - Authentication'!$E$2:$E$56,2)</f>
      </c>
      <c r="H11" s="46">
        <f>IF(F11=0,"",G11/F11)</f>
      </c>
      <c r="I11" s="45">
        <v>12</v>
      </c>
      <c r="J11" s="45">
        <f>COUNTIFS('V6 - Authentication'!$F$2:$F$56,"Compliant",'V6 - Authentication'!$E$2:$E$56,3)</f>
      </c>
      <c r="K11" s="46">
        <f>IF(I11=0,"",J11/I11)</f>
      </c>
      <c r="L11" s="45">
        <f>COUNTIF('V6 - Authentication'!$F$2:$F$56,"Compliant")</f>
      </c>
      <c r="M11" s="46">
        <f>IF(B11=0,"",L11/B11)</f>
      </c>
      <c r="N11" s="20"/>
      <c r="O11" s="20"/>
      <c r="P11" s="20"/>
    </row>
    <row x14ac:dyDescent="0.25" r="12" customHeight="1" ht="18">
      <c r="A12" s="41" t="s">
        <v>1058</v>
      </c>
      <c r="B12" s="42">
        <v>19</v>
      </c>
      <c r="C12" s="42">
        <v>6</v>
      </c>
      <c r="D12" s="42">
        <f>COUNTIFS('V7 - Session Management'!$F$2:$F$26,"Compliant",'V7 - Session Management'!$E$2:$E$26,1)</f>
      </c>
      <c r="E12" s="43">
        <f>IF(C12=0,"",D12/C12)</f>
      </c>
      <c r="F12" s="42">
        <v>12</v>
      </c>
      <c r="G12" s="42">
        <f>COUNTIFS('V7 - Session Management'!$F$2:$F$26,"Compliant",'V7 - Session Management'!$E$2:$E$26,2)</f>
      </c>
      <c r="H12" s="43">
        <f>IF(F12=0,"",G12/F12)</f>
      </c>
      <c r="I12" s="42">
        <v>1</v>
      </c>
      <c r="J12" s="42">
        <f>COUNTIFS('V7 - Session Management'!$F$2:$F$26,"Compliant",'V7 - Session Management'!$E$2:$E$26,3)</f>
      </c>
      <c r="K12" s="43">
        <f>IF(I12=0,"",J12/I12)</f>
      </c>
      <c r="L12" s="42">
        <f>COUNTIF('V7 - Session Management'!$F$2:$F$26,"Compliant")</f>
      </c>
      <c r="M12" s="43">
        <f>IF(B12=0,"",L12/B12)</f>
      </c>
      <c r="N12" s="20"/>
      <c r="O12" s="20"/>
      <c r="P12" s="20"/>
    </row>
    <row x14ac:dyDescent="0.25" r="13" customHeight="1" ht="18">
      <c r="A13" s="44" t="s">
        <v>1059</v>
      </c>
      <c r="B13" s="45">
        <v>13</v>
      </c>
      <c r="C13" s="45">
        <v>4</v>
      </c>
      <c r="D13" s="45">
        <f>COUNTIFS('V8 - Authorization'!$F$2:$F$18,"Compliant",'V8 - Authorization'!$E$2:$E$18,1)</f>
      </c>
      <c r="E13" s="46">
        <f>IF(C13=0,"",D13/C13)</f>
      </c>
      <c r="F13" s="45">
        <v>3</v>
      </c>
      <c r="G13" s="45">
        <f>COUNTIFS('V8 - Authorization'!$F$2:$F$18,"Compliant",'V8 - Authorization'!$E$2:$E$18,2)</f>
      </c>
      <c r="H13" s="46">
        <f>IF(F13=0,"",G13/F13)</f>
      </c>
      <c r="I13" s="45">
        <v>6</v>
      </c>
      <c r="J13" s="45">
        <f>COUNTIFS('V8 - Authorization'!$F$2:$F$18,"Compliant",'V8 - Authorization'!$E$2:$E$18,3)</f>
      </c>
      <c r="K13" s="46">
        <f>IF(I13=0,"",J13/I13)</f>
      </c>
      <c r="L13" s="45">
        <f>COUNTIF('V8 - Authorization'!$F$2:$F$18,"Compliant")</f>
      </c>
      <c r="M13" s="46">
        <f>IF(B13=0,"",L13/B13)</f>
      </c>
      <c r="N13" s="20"/>
      <c r="O13" s="20"/>
      <c r="P13" s="20"/>
    </row>
    <row x14ac:dyDescent="0.25" r="14" customHeight="1" ht="18">
      <c r="A14" s="41" t="s">
        <v>1060</v>
      </c>
      <c r="B14" s="42">
        <v>7</v>
      </c>
      <c r="C14" s="42">
        <v>4</v>
      </c>
      <c r="D14" s="42">
        <f>COUNTIFS('V9 - Self-contained Tokens'!$F$2:$F$10,"Compliant",'V9 - Self-contained Tokens'!$E$2:$E$10,1)</f>
      </c>
      <c r="E14" s="43">
        <f>IF(C14=0,"",D14/C14)</f>
      </c>
      <c r="F14" s="42">
        <v>3</v>
      </c>
      <c r="G14" s="42">
        <f>COUNTIFS('V9 - Self-contained Tokens'!$F$2:$F$10,"Compliant",'V9 - Self-contained Tokens'!$E$2:$E$10,2)</f>
      </c>
      <c r="H14" s="43">
        <f>IF(F14=0,"",G14/F14)</f>
      </c>
      <c r="I14" s="42">
        <v>0</v>
      </c>
      <c r="J14" s="42" t="s">
        <v>1061</v>
      </c>
      <c r="K14" s="43" t="s">
        <v>1061</v>
      </c>
      <c r="L14" s="42">
        <f>COUNTIF('V9 - Self-contained Tokens'!$F$2:$F$10,"Compliant")</f>
      </c>
      <c r="M14" s="43">
        <f>IF(B14=0,"",L14/B14)</f>
      </c>
      <c r="N14" s="20"/>
      <c r="O14" s="20"/>
      <c r="P14" s="20"/>
    </row>
    <row x14ac:dyDescent="0.25" r="15" customHeight="1" ht="18">
      <c r="A15" s="44" t="s">
        <v>1062</v>
      </c>
      <c r="B15" s="45">
        <v>36</v>
      </c>
      <c r="C15" s="45">
        <v>5</v>
      </c>
      <c r="D15" s="45">
        <f>COUNTIFS('V10 - OAuth and OIDC'!$F$2:$F$44,"Compliant",'V10 - OAuth and OIDC'!$E$2:$E$44,1)</f>
      </c>
      <c r="E15" s="46">
        <f>IF(C15=0,"",D15/C15)</f>
      </c>
      <c r="F15" s="45">
        <v>24</v>
      </c>
      <c r="G15" s="45">
        <f>COUNTIFS('V10 - OAuth and OIDC'!$F$2:$F$44,"Compliant",'V10 - OAuth and OIDC'!$E$2:$E$44,2)</f>
      </c>
      <c r="H15" s="46">
        <f>IF(F15=0,"",G15/F15)</f>
      </c>
      <c r="I15" s="45">
        <v>7</v>
      </c>
      <c r="J15" s="45">
        <f>COUNTIFS('V10 - OAuth and OIDC'!$F$2:$F$44,"Compliant",'V10 - OAuth and OIDC'!$E$2:$E$44,3)</f>
      </c>
      <c r="K15" s="46">
        <f>IF(I15=0,"",J15/I15)</f>
      </c>
      <c r="L15" s="45">
        <f>COUNTIF('V10 - OAuth and OIDC'!$F$2:$F$44,"Compliant")</f>
      </c>
      <c r="M15" s="46">
        <f>IF(B15=0,"",L15/B15)</f>
      </c>
      <c r="N15" s="20"/>
      <c r="O15" s="20"/>
      <c r="P15" s="20"/>
    </row>
    <row x14ac:dyDescent="0.25" r="16" customHeight="1" ht="18">
      <c r="A16" s="41" t="s">
        <v>1063</v>
      </c>
      <c r="B16" s="42">
        <v>24</v>
      </c>
      <c r="C16" s="42">
        <v>3</v>
      </c>
      <c r="D16" s="42">
        <f>COUNTIFS('V11 - Cryptography'!$F$2:$F$32,"Compliant",'V11 - Cryptography'!$E$2:$E$32,1)</f>
      </c>
      <c r="E16" s="43">
        <f>IF(C16=0,"",D16/C16)</f>
      </c>
      <c r="F16" s="42">
        <v>11</v>
      </c>
      <c r="G16" s="42">
        <f>COUNTIFS('V11 - Cryptography'!$F$2:$F$32,"Compliant",'V11 - Cryptography'!$E$2:$E$32,2)</f>
      </c>
      <c r="H16" s="43">
        <f>IF(F16=0,"",G16/F16)</f>
      </c>
      <c r="I16" s="42">
        <v>10</v>
      </c>
      <c r="J16" s="42">
        <f>COUNTIFS('V11 - Cryptography'!$F$2:$F$32,"Compliant",'V11 - Cryptography'!$E$2:$E$32,3)</f>
      </c>
      <c r="K16" s="43">
        <f>IF(I16=0,"",J16/I16)</f>
      </c>
      <c r="L16" s="42">
        <f>COUNTIF('V11 - Cryptography'!$F$2:$F$32,"Compliant")</f>
      </c>
      <c r="M16" s="43">
        <f>IF(B16=0,"",L16/B16)</f>
      </c>
      <c r="N16" s="20"/>
      <c r="O16" s="20"/>
      <c r="P16" s="20"/>
    </row>
    <row x14ac:dyDescent="0.25" r="17" customHeight="1" ht="18">
      <c r="A17" s="44" t="s">
        <v>1064</v>
      </c>
      <c r="B17" s="45">
        <v>12</v>
      </c>
      <c r="C17" s="45">
        <v>3</v>
      </c>
      <c r="D17" s="45">
        <f>COUNTIFS('V12 - Secure Communication'!$F$2:$F$16,"Compliant",'V12 - Secure Communication'!$E$2:$E$16,1)</f>
      </c>
      <c r="E17" s="46">
        <f>IF(C17=0,"",D17/C17)</f>
      </c>
      <c r="F17" s="45">
        <v>6</v>
      </c>
      <c r="G17" s="45">
        <f>COUNTIFS('V12 - Secure Communication'!$F$2:$F$16,"Compliant",'V12 - Secure Communication'!$E$2:$E$16,2)</f>
      </c>
      <c r="H17" s="46">
        <f>IF(F17=0,"",G17/F17)</f>
      </c>
      <c r="I17" s="45">
        <v>3</v>
      </c>
      <c r="J17" s="45">
        <f>COUNTIFS('V12 - Secure Communication'!$F$2:$F$16,"Compliant",'V12 - Secure Communication'!$E$2:$E$16,3)</f>
      </c>
      <c r="K17" s="46">
        <f>IF(I17=0,"",J17/I17)</f>
      </c>
      <c r="L17" s="45">
        <f>COUNTIF('V12 - Secure Communication'!$F$2:$F$16,"Compliant")</f>
      </c>
      <c r="M17" s="46">
        <f>IF(B17=0,"",L17/B17)</f>
      </c>
      <c r="N17" s="20"/>
      <c r="O17" s="20"/>
      <c r="P17" s="20"/>
    </row>
    <row x14ac:dyDescent="0.25" r="18" customHeight="1" ht="18">
      <c r="A18" s="41" t="s">
        <v>1065</v>
      </c>
      <c r="B18" s="42">
        <v>21</v>
      </c>
      <c r="C18" s="42">
        <v>1</v>
      </c>
      <c r="D18" s="42">
        <f>COUNTIFS('V13 - Configuration'!$F$2:$F$26,"Compliant",'V13 - Configuration'!$E$2:$E$26,1)</f>
      </c>
      <c r="E18" s="43">
        <f>IF(C18=0,"",D18/C18)</f>
      </c>
      <c r="F18" s="42">
        <v>12</v>
      </c>
      <c r="G18" s="42">
        <f>COUNTIFS('V13 - Configuration'!$F$2:$F$26,"Compliant",'V13 - Configuration'!$E$2:$E$26,2)</f>
      </c>
      <c r="H18" s="43">
        <f>IF(F18=0,"",G18/F18)</f>
      </c>
      <c r="I18" s="42">
        <v>8</v>
      </c>
      <c r="J18" s="42">
        <f>COUNTIFS('V13 - Configuration'!$F$2:$F$26,"Compliant",'V13 - Configuration'!$E$2:$E$26,3)</f>
      </c>
      <c r="K18" s="43">
        <f>IF(I18=0,"",J18/I18)</f>
      </c>
      <c r="L18" s="42">
        <f>COUNTIF('V13 - Configuration'!$F$2:$F$26,"Compliant")</f>
      </c>
      <c r="M18" s="43">
        <f>IF(B18=0,"",L18/B18)</f>
      </c>
      <c r="N18" s="20"/>
      <c r="O18" s="20"/>
      <c r="P18" s="20"/>
    </row>
    <row x14ac:dyDescent="0.25" r="19" customHeight="1" ht="18">
      <c r="A19" s="44" t="s">
        <v>1066</v>
      </c>
      <c r="B19" s="45">
        <v>13</v>
      </c>
      <c r="C19" s="45">
        <v>2</v>
      </c>
      <c r="D19" s="45">
        <f>COUNTIFS('V14 - Data Protection'!$F$2:$F$17,"Compliant",'V14 - Data Protection'!$E$2:$E$17,1)</f>
      </c>
      <c r="E19" s="46">
        <f>IF(C19=0,"",D19/C19)</f>
      </c>
      <c r="F19" s="45">
        <v>7</v>
      </c>
      <c r="G19" s="45">
        <f>COUNTIFS('V14 - Data Protection'!$F$2:$F$17,"Compliant",'V14 - Data Protection'!$E$2:$E$17,2)</f>
      </c>
      <c r="H19" s="46">
        <f>IF(F19=0,"",G19/F19)</f>
      </c>
      <c r="I19" s="45">
        <v>4</v>
      </c>
      <c r="J19" s="45">
        <f>COUNTIFS('V14 - Data Protection'!$F$2:$F$17,"Compliant",'V14 - Data Protection'!$E$2:$E$17,3)</f>
      </c>
      <c r="K19" s="46">
        <f>IF(I19=0,"",J19/I19)</f>
      </c>
      <c r="L19" s="45">
        <f>COUNTIF('V14 - Data Protection'!$F$2:$F$17,"Compliant")</f>
      </c>
      <c r="M19" s="46">
        <f>IF(B19=0,"",L19/B19)</f>
      </c>
      <c r="N19" s="20"/>
      <c r="O19" s="20"/>
      <c r="P19" s="20"/>
    </row>
    <row x14ac:dyDescent="0.25" r="20" customHeight="1" ht="18">
      <c r="A20" s="41" t="s">
        <v>1067</v>
      </c>
      <c r="B20" s="42">
        <v>21</v>
      </c>
      <c r="C20" s="42">
        <v>3</v>
      </c>
      <c r="D20" s="42">
        <f>COUNTIFS('V15 - Secure Coding and Archite'!$F$2:$F$26,"Compliant",'V15 - Secure Coding and Archite'!$E$2:$E$26,1)</f>
      </c>
      <c r="E20" s="43">
        <f>IF(C20=0,"",D20/C20)</f>
      </c>
      <c r="F20" s="42">
        <v>10</v>
      </c>
      <c r="G20" s="42">
        <f>COUNTIFS('V15 - Secure Coding and Archite'!$F$2:$F$26,"Compliant",'V15 - Secure Coding and Archite'!$E$2:$E$26,2)</f>
      </c>
      <c r="H20" s="43">
        <f>IF(F20=0,"",G20/F20)</f>
      </c>
      <c r="I20" s="42">
        <v>8</v>
      </c>
      <c r="J20" s="42">
        <f>COUNTIFS('V15 - Secure Coding and Archite'!$F$2:$F$26,"Compliant",'V15 - Secure Coding and Archite'!$E$2:$E$26,3)</f>
      </c>
      <c r="K20" s="43">
        <f>IF(I20=0,"",J20/I20)</f>
      </c>
      <c r="L20" s="42">
        <f>COUNTIF('V15 - Secure Coding and Archite'!$F$2:$F$26,"Compliant")</f>
      </c>
      <c r="M20" s="43">
        <f>IF(B20=0,"",L20/B20)</f>
      </c>
      <c r="N20" s="20"/>
      <c r="O20" s="20"/>
      <c r="P20" s="20"/>
    </row>
    <row x14ac:dyDescent="0.25" r="21" customHeight="1" ht="18">
      <c r="A21" s="44" t="s">
        <v>1068</v>
      </c>
      <c r="B21" s="45">
        <v>17</v>
      </c>
      <c r="C21" s="45">
        <v>0</v>
      </c>
      <c r="D21" s="45" t="s">
        <v>1061</v>
      </c>
      <c r="E21" s="46" t="s">
        <v>1061</v>
      </c>
      <c r="F21" s="45">
        <v>16</v>
      </c>
      <c r="G21" s="45">
        <f>COUNTIFS('V16 - Security Logging and Erro'!$F$2:$F$23,"Compliant",'V16 - Security Logging and Erro'!$E$2:$E$23,2)</f>
      </c>
      <c r="H21" s="46">
        <f>IF(F21=0,"",G21/F21)</f>
      </c>
      <c r="I21" s="45">
        <v>1</v>
      </c>
      <c r="J21" s="45">
        <f>COUNTIFS('V16 - Security Logging and Erro'!$F$2:$F$23,"Compliant",'V16 - Security Logging and Erro'!$E$2:$E$23,3)</f>
      </c>
      <c r="K21" s="46">
        <f>IF(I21=0,"",J21/I21)</f>
      </c>
      <c r="L21" s="45">
        <f>COUNTIF('V16 - Security Logging and Erro'!$F$2:$F$23,"Compliant")</f>
      </c>
      <c r="M21" s="46">
        <f>IF(B21=0,"",L21/B21)</f>
      </c>
      <c r="N21" s="20"/>
      <c r="O21" s="20"/>
      <c r="P21" s="20"/>
    </row>
    <row x14ac:dyDescent="0.25" r="22" customHeight="1" ht="18">
      <c r="A22" s="41" t="s">
        <v>1069</v>
      </c>
      <c r="B22" s="42">
        <v>12</v>
      </c>
      <c r="C22" s="42">
        <v>0</v>
      </c>
      <c r="D22" s="42" t="s">
        <v>1061</v>
      </c>
      <c r="E22" s="43" t="s">
        <v>1061</v>
      </c>
      <c r="F22" s="42">
        <v>7</v>
      </c>
      <c r="G22" s="42">
        <f>COUNTIFS('V17 - WebRTC'!$F$2:$F$16,"Compliant",'V17 - WebRTC'!$E$2:$E$16,2)</f>
      </c>
      <c r="H22" s="43">
        <f>IF(F22=0,"",G22/F22)</f>
      </c>
      <c r="I22" s="42">
        <v>5</v>
      </c>
      <c r="J22" s="42">
        <f>COUNTIFS('V17 - WebRTC'!$F$2:$F$16,"Compliant",'V17 - WebRTC'!$E$2:$E$16,3)</f>
      </c>
      <c r="K22" s="43">
        <f>IF(I22=0,"",J22/I22)</f>
      </c>
      <c r="L22" s="42">
        <f>COUNTIF('V17 - WebRTC'!$F$2:$F$16,"Compliant")</f>
      </c>
      <c r="M22" s="43">
        <f>IF(B22=0,"",L22/B22)</f>
      </c>
      <c r="N22" s="20"/>
      <c r="O22" s="20"/>
      <c r="P22" s="20"/>
    </row>
    <row x14ac:dyDescent="0.25" r="23" customHeight="1" ht="22.05">
      <c r="A23" s="47" t="s">
        <v>1070</v>
      </c>
      <c r="B23" s="48">
        <f>SUM(B6:B22)</f>
      </c>
      <c r="C23" s="48">
        <f>SUM(C6:C22)</f>
      </c>
      <c r="D23" s="48">
        <f>SUM(D6:D22)</f>
      </c>
      <c r="E23" s="49">
        <f>IFERROR(AVERAGE(E6:E22),"")</f>
      </c>
      <c r="F23" s="48">
        <f>SUM(F6:F22)</f>
      </c>
      <c r="G23" s="48">
        <f>SUM(G6:G22)</f>
      </c>
      <c r="H23" s="49">
        <f>IFERROR(AVERAGE(H6:H22),"")</f>
      </c>
      <c r="I23" s="48">
        <f>SUM(I6:I22)</f>
      </c>
      <c r="J23" s="48">
        <f>SUM(J6:J22)</f>
      </c>
      <c r="K23" s="49">
        <f>IFERROR(AVERAGE(K6:K22),"")</f>
      </c>
      <c r="L23" s="48">
        <f>SUM(L6:L22)</f>
      </c>
      <c r="M23" s="49">
        <f>IFERROR(AVERAGE(M6:M22),"")</f>
      </c>
      <c r="N23" s="20"/>
      <c r="O23" s="20"/>
      <c r="P23" s="20"/>
    </row>
  </sheetData>
  <mergeCells count="3">
    <mergeCell ref="A1:P1"/>
    <mergeCell ref="A2:P2"/>
    <mergeCell ref="A3:B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3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953</v>
      </c>
      <c r="B2" s="4" t="s">
        <v>954</v>
      </c>
      <c r="C2" s="4"/>
      <c r="D2" s="4"/>
      <c r="E2" s="5"/>
      <c r="F2" s="4"/>
      <c r="G2" s="4"/>
      <c r="H2" s="4"/>
    </row>
    <row x14ac:dyDescent="0.25" r="3" customHeight="1" ht="30">
      <c r="A3" s="6" t="s">
        <v>953</v>
      </c>
      <c r="B3" s="6" t="s">
        <v>954</v>
      </c>
      <c r="C3" s="7" t="s">
        <v>955</v>
      </c>
      <c r="D3" s="8" t="s">
        <v>956</v>
      </c>
      <c r="E3" s="9">
        <v>2</v>
      </c>
      <c r="F3" s="10" t="s">
        <v>55</v>
      </c>
      <c r="G3" s="8" t="s">
        <v>957</v>
      </c>
      <c r="H3" s="8"/>
    </row>
    <row x14ac:dyDescent="0.25" r="4" customHeight="1" ht="30">
      <c r="A4" s="11" t="s">
        <v>953</v>
      </c>
      <c r="B4" s="11" t="s">
        <v>954</v>
      </c>
      <c r="C4" s="12" t="s">
        <v>958</v>
      </c>
      <c r="D4" s="13" t="s">
        <v>959</v>
      </c>
      <c r="E4" s="9">
        <v>2</v>
      </c>
      <c r="F4" s="10" t="s">
        <v>55</v>
      </c>
      <c r="G4" s="13" t="s">
        <v>960</v>
      </c>
      <c r="H4" s="13"/>
    </row>
    <row x14ac:dyDescent="0.25" r="5" customHeight="1" ht="18">
      <c r="A5" s="4" t="s">
        <v>961</v>
      </c>
      <c r="B5" s="4" t="s">
        <v>962</v>
      </c>
      <c r="C5" s="4"/>
      <c r="D5" s="4"/>
      <c r="E5" s="5"/>
      <c r="F5" s="4"/>
      <c r="G5" s="4"/>
      <c r="H5" s="4"/>
    </row>
    <row x14ac:dyDescent="0.25" r="6" customHeight="1" ht="30">
      <c r="A6" s="6" t="s">
        <v>961</v>
      </c>
      <c r="B6" s="6" t="s">
        <v>962</v>
      </c>
      <c r="C6" s="7" t="s">
        <v>963</v>
      </c>
      <c r="D6" s="8" t="s">
        <v>964</v>
      </c>
      <c r="E6" s="18">
        <v>1</v>
      </c>
      <c r="F6" s="10" t="s">
        <v>12</v>
      </c>
      <c r="G6" s="8" t="s">
        <v>965</v>
      </c>
      <c r="H6" s="8"/>
    </row>
    <row x14ac:dyDescent="0.25" r="7" customHeight="1" ht="30">
      <c r="A7" s="11" t="s">
        <v>961</v>
      </c>
      <c r="B7" s="11" t="s">
        <v>962</v>
      </c>
      <c r="C7" s="12" t="s">
        <v>966</v>
      </c>
      <c r="D7" s="13" t="s">
        <v>967</v>
      </c>
      <c r="E7" s="18">
        <v>1</v>
      </c>
      <c r="F7" s="10" t="s">
        <v>126</v>
      </c>
      <c r="G7" s="13"/>
      <c r="H7" s="13"/>
    </row>
    <row x14ac:dyDescent="0.25" r="8" customHeight="1" ht="30">
      <c r="A8" s="6" t="s">
        <v>961</v>
      </c>
      <c r="B8" s="6" t="s">
        <v>962</v>
      </c>
      <c r="C8" s="7" t="s">
        <v>968</v>
      </c>
      <c r="D8" s="8" t="s">
        <v>969</v>
      </c>
      <c r="E8" s="18">
        <v>1</v>
      </c>
      <c r="F8" s="10" t="s">
        <v>126</v>
      </c>
      <c r="G8" s="8"/>
      <c r="H8" s="8"/>
    </row>
    <row x14ac:dyDescent="0.25" r="9" customHeight="1" ht="30">
      <c r="A9" s="11" t="s">
        <v>961</v>
      </c>
      <c r="B9" s="11" t="s">
        <v>962</v>
      </c>
      <c r="C9" s="12" t="s">
        <v>970</v>
      </c>
      <c r="D9" s="13" t="s">
        <v>971</v>
      </c>
      <c r="E9" s="18">
        <v>1</v>
      </c>
      <c r="F9" s="10" t="s">
        <v>126</v>
      </c>
      <c r="G9" s="13"/>
      <c r="H9" s="13"/>
    </row>
    <row x14ac:dyDescent="0.25" r="10" customHeight="1" ht="30">
      <c r="A10" s="6" t="s">
        <v>961</v>
      </c>
      <c r="B10" s="6" t="s">
        <v>962</v>
      </c>
      <c r="C10" s="7" t="s">
        <v>972</v>
      </c>
      <c r="D10" s="8" t="s">
        <v>973</v>
      </c>
      <c r="E10" s="18">
        <v>1</v>
      </c>
      <c r="F10" s="10" t="s">
        <v>12</v>
      </c>
      <c r="G10" s="8" t="s">
        <v>974</v>
      </c>
      <c r="H10" s="8"/>
    </row>
    <row x14ac:dyDescent="0.25" r="11" customHeight="1" ht="30">
      <c r="A11" s="11" t="s">
        <v>961</v>
      </c>
      <c r="B11" s="11" t="s">
        <v>962</v>
      </c>
      <c r="C11" s="12" t="s">
        <v>975</v>
      </c>
      <c r="D11" s="13" t="s">
        <v>976</v>
      </c>
      <c r="E11" s="9">
        <v>2</v>
      </c>
      <c r="F11" s="10" t="s">
        <v>12</v>
      </c>
      <c r="G11" s="13" t="s">
        <v>977</v>
      </c>
      <c r="H11" s="13"/>
    </row>
    <row x14ac:dyDescent="0.25" r="12" customHeight="1" ht="30">
      <c r="A12" s="6" t="s">
        <v>961</v>
      </c>
      <c r="B12" s="6" t="s">
        <v>962</v>
      </c>
      <c r="C12" s="7" t="s">
        <v>978</v>
      </c>
      <c r="D12" s="8" t="s">
        <v>979</v>
      </c>
      <c r="E12" s="9">
        <v>2</v>
      </c>
      <c r="F12" s="10" t="s">
        <v>12</v>
      </c>
      <c r="G12" s="8" t="s">
        <v>980</v>
      </c>
      <c r="H12" s="8"/>
    </row>
    <row x14ac:dyDescent="0.25" r="13" customHeight="1" ht="30">
      <c r="A13" s="11" t="s">
        <v>961</v>
      </c>
      <c r="B13" s="11" t="s">
        <v>962</v>
      </c>
      <c r="C13" s="12" t="s">
        <v>981</v>
      </c>
      <c r="D13" s="13" t="s">
        <v>982</v>
      </c>
      <c r="E13" s="9">
        <v>2</v>
      </c>
      <c r="F13" s="10" t="s">
        <v>12</v>
      </c>
      <c r="G13" s="13" t="s">
        <v>983</v>
      </c>
      <c r="H13" s="13"/>
    </row>
    <row x14ac:dyDescent="0.25" r="14" customHeight="1" ht="30">
      <c r="A14" s="6" t="s">
        <v>961</v>
      </c>
      <c r="B14" s="6" t="s">
        <v>962</v>
      </c>
      <c r="C14" s="7" t="s">
        <v>984</v>
      </c>
      <c r="D14" s="8" t="s">
        <v>985</v>
      </c>
      <c r="E14" s="9">
        <v>2</v>
      </c>
      <c r="F14" s="10" t="s">
        <v>126</v>
      </c>
      <c r="G14" s="8"/>
      <c r="H14" s="8"/>
    </row>
    <row x14ac:dyDescent="0.25" r="15" customHeight="1" ht="30">
      <c r="A15" s="11" t="s">
        <v>961</v>
      </c>
      <c r="B15" s="11" t="s">
        <v>962</v>
      </c>
      <c r="C15" s="12" t="s">
        <v>986</v>
      </c>
      <c r="D15" s="13" t="s">
        <v>987</v>
      </c>
      <c r="E15" s="14">
        <v>3</v>
      </c>
      <c r="F15" s="10" t="s">
        <v>12</v>
      </c>
      <c r="G15" s="13" t="s">
        <v>988</v>
      </c>
      <c r="H15" s="13"/>
    </row>
    <row x14ac:dyDescent="0.25" r="16" customHeight="1" ht="18">
      <c r="A16" s="4" t="s">
        <v>989</v>
      </c>
      <c r="B16" s="4" t="s">
        <v>990</v>
      </c>
      <c r="C16" s="4"/>
      <c r="D16" s="4"/>
      <c r="E16" s="5"/>
      <c r="F16" s="4"/>
      <c r="G16" s="4"/>
      <c r="H16" s="4"/>
    </row>
    <row x14ac:dyDescent="0.25" r="17" customHeight="1" ht="30">
      <c r="A17" s="6" t="s">
        <v>989</v>
      </c>
      <c r="B17" s="6" t="s">
        <v>990</v>
      </c>
      <c r="C17" s="7" t="s">
        <v>991</v>
      </c>
      <c r="D17" s="8" t="s">
        <v>992</v>
      </c>
      <c r="E17" s="18">
        <v>1</v>
      </c>
      <c r="F17" s="10" t="s">
        <v>12</v>
      </c>
      <c r="G17" s="8" t="s">
        <v>993</v>
      </c>
      <c r="H17" s="8"/>
    </row>
    <row x14ac:dyDescent="0.25" r="18" customHeight="1" ht="30">
      <c r="A18" s="11" t="s">
        <v>989</v>
      </c>
      <c r="B18" s="11" t="s">
        <v>990</v>
      </c>
      <c r="C18" s="12" t="s">
        <v>994</v>
      </c>
      <c r="D18" s="13" t="s">
        <v>995</v>
      </c>
      <c r="E18" s="18">
        <v>1</v>
      </c>
      <c r="F18" s="10" t="s">
        <v>126</v>
      </c>
      <c r="G18" s="13"/>
      <c r="H18" s="13"/>
    </row>
    <row x14ac:dyDescent="0.25" r="19" customHeight="1" ht="30">
      <c r="A19" s="6" t="s">
        <v>989</v>
      </c>
      <c r="B19" s="6" t="s">
        <v>990</v>
      </c>
      <c r="C19" s="7" t="s">
        <v>996</v>
      </c>
      <c r="D19" s="8" t="s">
        <v>997</v>
      </c>
      <c r="E19" s="9">
        <v>2</v>
      </c>
      <c r="F19" s="10" t="s">
        <v>126</v>
      </c>
      <c r="G19" s="8"/>
      <c r="H19" s="8"/>
    </row>
    <row x14ac:dyDescent="0.25" r="20" customHeight="1" ht="30">
      <c r="A20" s="11" t="s">
        <v>989</v>
      </c>
      <c r="B20" s="11" t="s">
        <v>990</v>
      </c>
      <c r="C20" s="12" t="s">
        <v>998</v>
      </c>
      <c r="D20" s="13" t="s">
        <v>999</v>
      </c>
      <c r="E20" s="9">
        <v>2</v>
      </c>
      <c r="F20" s="10" t="s">
        <v>12</v>
      </c>
      <c r="G20" s="13" t="s">
        <v>1000</v>
      </c>
      <c r="H20" s="13"/>
    </row>
    <row x14ac:dyDescent="0.25" r="21" customHeight="1" ht="30">
      <c r="A21" s="6" t="s">
        <v>989</v>
      </c>
      <c r="B21" s="6" t="s">
        <v>990</v>
      </c>
      <c r="C21" s="7" t="s">
        <v>1001</v>
      </c>
      <c r="D21" s="8" t="s">
        <v>1002</v>
      </c>
      <c r="E21" s="9">
        <v>2</v>
      </c>
      <c r="F21" s="10" t="s">
        <v>12</v>
      </c>
      <c r="G21" s="8" t="s">
        <v>1003</v>
      </c>
      <c r="H21" s="8"/>
    </row>
    <row x14ac:dyDescent="0.25" r="22" customHeight="1" ht="30">
      <c r="A22" s="11" t="s">
        <v>989</v>
      </c>
      <c r="B22" s="11" t="s">
        <v>990</v>
      </c>
      <c r="C22" s="12" t="s">
        <v>1004</v>
      </c>
      <c r="D22" s="13" t="s">
        <v>1005</v>
      </c>
      <c r="E22" s="9">
        <v>2</v>
      </c>
      <c r="F22" s="10" t="s">
        <v>126</v>
      </c>
      <c r="G22" s="13"/>
      <c r="H22" s="13"/>
    </row>
    <row x14ac:dyDescent="0.25" r="23" customHeight="1" ht="30">
      <c r="A23" s="6" t="s">
        <v>989</v>
      </c>
      <c r="B23" s="6" t="s">
        <v>990</v>
      </c>
      <c r="C23" s="7" t="s">
        <v>1006</v>
      </c>
      <c r="D23" s="8" t="s">
        <v>1007</v>
      </c>
      <c r="E23" s="9">
        <v>2</v>
      </c>
      <c r="F23" s="10" t="s">
        <v>126</v>
      </c>
      <c r="G23" s="8"/>
      <c r="H23" s="8"/>
    </row>
    <row x14ac:dyDescent="0.25" r="24" customHeight="1" ht="30">
      <c r="A24" s="11" t="s">
        <v>989</v>
      </c>
      <c r="B24" s="11" t="s">
        <v>990</v>
      </c>
      <c r="C24" s="12" t="s">
        <v>1008</v>
      </c>
      <c r="D24" s="13" t="s">
        <v>1009</v>
      </c>
      <c r="E24" s="9">
        <v>2</v>
      </c>
      <c r="F24" s="10" t="s">
        <v>12</v>
      </c>
      <c r="G24" s="13" t="s">
        <v>1010</v>
      </c>
      <c r="H24" s="13"/>
    </row>
    <row x14ac:dyDescent="0.25" r="25" customHeight="1" ht="30">
      <c r="A25" s="6" t="s">
        <v>989</v>
      </c>
      <c r="B25" s="6" t="s">
        <v>990</v>
      </c>
      <c r="C25" s="7" t="s">
        <v>1011</v>
      </c>
      <c r="D25" s="8" t="s">
        <v>1012</v>
      </c>
      <c r="E25" s="9">
        <v>2</v>
      </c>
      <c r="F25" s="10" t="s">
        <v>12</v>
      </c>
      <c r="G25" s="8" t="s">
        <v>1013</v>
      </c>
      <c r="H25" s="8"/>
    </row>
    <row x14ac:dyDescent="0.25" r="26" customHeight="1" ht="30">
      <c r="A26" s="11" t="s">
        <v>989</v>
      </c>
      <c r="B26" s="11" t="s">
        <v>990</v>
      </c>
      <c r="C26" s="12" t="s">
        <v>1014</v>
      </c>
      <c r="D26" s="13" t="s">
        <v>1015</v>
      </c>
      <c r="E26" s="9">
        <v>2</v>
      </c>
      <c r="F26" s="10" t="s">
        <v>126</v>
      </c>
      <c r="G26" s="13"/>
      <c r="H26" s="13"/>
    </row>
    <row x14ac:dyDescent="0.25" r="27" customHeight="1" ht="30">
      <c r="A27" s="6" t="s">
        <v>989</v>
      </c>
      <c r="B27" s="6" t="s">
        <v>990</v>
      </c>
      <c r="C27" s="7" t="s">
        <v>1016</v>
      </c>
      <c r="D27" s="8" t="s">
        <v>1017</v>
      </c>
      <c r="E27" s="9">
        <v>2</v>
      </c>
      <c r="F27" s="10" t="s">
        <v>12</v>
      </c>
      <c r="G27" s="8" t="s">
        <v>1018</v>
      </c>
      <c r="H27" s="8"/>
    </row>
    <row x14ac:dyDescent="0.25" r="28" customHeight="1" ht="30">
      <c r="A28" s="11" t="s">
        <v>989</v>
      </c>
      <c r="B28" s="11" t="s">
        <v>990</v>
      </c>
      <c r="C28" s="12" t="s">
        <v>1019</v>
      </c>
      <c r="D28" s="13" t="s">
        <v>1020</v>
      </c>
      <c r="E28" s="14">
        <v>3</v>
      </c>
      <c r="F28" s="10" t="s">
        <v>126</v>
      </c>
      <c r="G28" s="13"/>
      <c r="H28" s="13"/>
    </row>
    <row x14ac:dyDescent="0.25" r="29" customHeight="1" ht="18">
      <c r="A29" s="4" t="s">
        <v>1021</v>
      </c>
      <c r="B29" s="4" t="s">
        <v>1022</v>
      </c>
      <c r="C29" s="4"/>
      <c r="D29" s="4"/>
      <c r="E29" s="5"/>
      <c r="F29" s="4"/>
      <c r="G29" s="4"/>
      <c r="H29" s="4"/>
    </row>
    <row x14ac:dyDescent="0.25" r="30" customHeight="1" ht="30">
      <c r="A30" s="6" t="s">
        <v>1021</v>
      </c>
      <c r="B30" s="6" t="s">
        <v>1022</v>
      </c>
      <c r="C30" s="7" t="s">
        <v>1023</v>
      </c>
      <c r="D30" s="8" t="s">
        <v>1024</v>
      </c>
      <c r="E30" s="9">
        <v>2</v>
      </c>
      <c r="F30" s="10" t="s">
        <v>12</v>
      </c>
      <c r="G30" s="8" t="s">
        <v>1025</v>
      </c>
      <c r="H30" s="8"/>
    </row>
    <row x14ac:dyDescent="0.25" r="31" customHeight="1" ht="30">
      <c r="A31" s="11" t="s">
        <v>1021</v>
      </c>
      <c r="B31" s="11" t="s">
        <v>1022</v>
      </c>
      <c r="C31" s="12" t="s">
        <v>1026</v>
      </c>
      <c r="D31" s="13" t="s">
        <v>1027</v>
      </c>
      <c r="E31" s="9">
        <v>2</v>
      </c>
      <c r="F31" s="10" t="s">
        <v>126</v>
      </c>
      <c r="G31" s="13"/>
      <c r="H31" s="13"/>
    </row>
    <row x14ac:dyDescent="0.25" r="32" customHeight="1" ht="30">
      <c r="A32" s="6" t="s">
        <v>1021</v>
      </c>
      <c r="B32" s="6" t="s">
        <v>1022</v>
      </c>
      <c r="C32" s="7" t="s">
        <v>1028</v>
      </c>
      <c r="D32" s="8" t="s">
        <v>1029</v>
      </c>
      <c r="E32" s="9">
        <v>2</v>
      </c>
      <c r="F32" s="10" t="s">
        <v>126</v>
      </c>
      <c r="G32" s="8"/>
      <c r="H32" s="8"/>
    </row>
    <row x14ac:dyDescent="0.25" r="33" customHeight="1" ht="18">
      <c r="A33" s="4" t="s">
        <v>1030</v>
      </c>
      <c r="B33" s="4" t="s">
        <v>1031</v>
      </c>
      <c r="C33" s="4"/>
      <c r="D33" s="4"/>
      <c r="E33" s="5"/>
      <c r="F33" s="4"/>
      <c r="G33" s="4"/>
      <c r="H33" s="4"/>
    </row>
    <row x14ac:dyDescent="0.25" r="34" customHeight="1" ht="30">
      <c r="A34" s="6" t="s">
        <v>1030</v>
      </c>
      <c r="B34" s="6" t="s">
        <v>1031</v>
      </c>
      <c r="C34" s="7" t="s">
        <v>1032</v>
      </c>
      <c r="D34" s="8" t="s">
        <v>1033</v>
      </c>
      <c r="E34" s="18">
        <v>1</v>
      </c>
      <c r="F34" s="10" t="s">
        <v>126</v>
      </c>
      <c r="G34" s="8"/>
      <c r="H34" s="8"/>
    </row>
    <row x14ac:dyDescent="0.25" r="35" customHeight="1" ht="30">
      <c r="A35" s="11" t="s">
        <v>1030</v>
      </c>
      <c r="B35" s="11" t="s">
        <v>1031</v>
      </c>
      <c r="C35" s="12" t="s">
        <v>1034</v>
      </c>
      <c r="D35" s="13" t="s">
        <v>1035</v>
      </c>
      <c r="E35" s="9">
        <v>2</v>
      </c>
      <c r="F35" s="10" t="s">
        <v>126</v>
      </c>
      <c r="G35" s="13"/>
      <c r="H35" s="13"/>
    </row>
    <row x14ac:dyDescent="0.25" r="36" customHeight="1" ht="30">
      <c r="A36" s="6" t="s">
        <v>1030</v>
      </c>
      <c r="B36" s="6" t="s">
        <v>1031</v>
      </c>
      <c r="C36" s="7" t="s">
        <v>1036</v>
      </c>
      <c r="D36" s="8" t="s">
        <v>1037</v>
      </c>
      <c r="E36" s="14">
        <v>3</v>
      </c>
      <c r="F36" s="10" t="s">
        <v>126</v>
      </c>
      <c r="G36" s="8"/>
      <c r="H36"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8"/>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75">
      <c r="A2" s="4" t="s">
        <v>915</v>
      </c>
      <c r="B2" s="4" t="s">
        <v>916</v>
      </c>
      <c r="C2" s="4"/>
      <c r="D2" s="4"/>
      <c r="E2" s="5"/>
      <c r="F2" s="4"/>
      <c r="G2" s="4"/>
      <c r="H2" s="4"/>
    </row>
    <row x14ac:dyDescent="0.25" r="3" customHeight="1" ht="73.5">
      <c r="A3" s="6" t="s">
        <v>915</v>
      </c>
      <c r="B3" s="6" t="s">
        <v>916</v>
      </c>
      <c r="C3" s="7" t="s">
        <v>917</v>
      </c>
      <c r="D3" s="8" t="s">
        <v>918</v>
      </c>
      <c r="E3" s="18">
        <v>1</v>
      </c>
      <c r="F3" s="10" t="s">
        <v>55</v>
      </c>
      <c r="G3" s="8" t="s">
        <v>919</v>
      </c>
      <c r="H3" s="8"/>
    </row>
    <row x14ac:dyDescent="0.25" r="4" customHeight="1" ht="60">
      <c r="A4" s="11" t="s">
        <v>915</v>
      </c>
      <c r="B4" s="11" t="s">
        <v>916</v>
      </c>
      <c r="C4" s="12" t="s">
        <v>920</v>
      </c>
      <c r="D4" s="13" t="s">
        <v>921</v>
      </c>
      <c r="E4" s="9">
        <v>2</v>
      </c>
      <c r="F4" s="10" t="s">
        <v>55</v>
      </c>
      <c r="G4" s="13" t="s">
        <v>922</v>
      </c>
      <c r="H4" s="13"/>
    </row>
    <row x14ac:dyDescent="0.25" r="5" customHeight="1" ht="46.5">
      <c r="A5" s="6" t="s">
        <v>915</v>
      </c>
      <c r="B5" s="6" t="s">
        <v>916</v>
      </c>
      <c r="C5" s="7" t="s">
        <v>923</v>
      </c>
      <c r="D5" s="8" t="s">
        <v>924</v>
      </c>
      <c r="E5" s="9">
        <v>2</v>
      </c>
      <c r="F5" s="10" t="s">
        <v>55</v>
      </c>
      <c r="G5" s="8" t="s">
        <v>925</v>
      </c>
      <c r="H5" s="8"/>
    </row>
    <row x14ac:dyDescent="0.25" r="6" customHeight="1" ht="18.75">
      <c r="A6" s="4" t="s">
        <v>926</v>
      </c>
      <c r="B6" s="4" t="s">
        <v>927</v>
      </c>
      <c r="C6" s="4"/>
      <c r="D6" s="4"/>
      <c r="E6" s="5"/>
      <c r="F6" s="4"/>
      <c r="G6" s="4"/>
      <c r="H6" s="4"/>
    </row>
    <row x14ac:dyDescent="0.25" r="7" customHeight="1" ht="100.5">
      <c r="A7" s="6" t="s">
        <v>926</v>
      </c>
      <c r="B7" s="6" t="s">
        <v>927</v>
      </c>
      <c r="C7" s="7" t="s">
        <v>928</v>
      </c>
      <c r="D7" s="8" t="s">
        <v>929</v>
      </c>
      <c r="E7" s="18">
        <v>1</v>
      </c>
      <c r="F7" s="10" t="s">
        <v>126</v>
      </c>
      <c r="G7" s="8"/>
      <c r="H7" s="8"/>
    </row>
    <row x14ac:dyDescent="0.25" r="8" customHeight="1" ht="60">
      <c r="A8" s="11" t="s">
        <v>926</v>
      </c>
      <c r="B8" s="11" t="s">
        <v>927</v>
      </c>
      <c r="C8" s="12" t="s">
        <v>930</v>
      </c>
      <c r="D8" s="13" t="s">
        <v>931</v>
      </c>
      <c r="E8" s="18">
        <v>1</v>
      </c>
      <c r="F8" s="10" t="s">
        <v>126</v>
      </c>
      <c r="G8" s="13"/>
      <c r="H8" s="13"/>
    </row>
    <row x14ac:dyDescent="0.25" r="9" customHeight="1" ht="33">
      <c r="A9" s="6" t="s">
        <v>926</v>
      </c>
      <c r="B9" s="6" t="s">
        <v>927</v>
      </c>
      <c r="C9" s="7" t="s">
        <v>932</v>
      </c>
      <c r="D9" s="8" t="s">
        <v>933</v>
      </c>
      <c r="E9" s="9">
        <v>2</v>
      </c>
      <c r="F9" s="10" t="s">
        <v>126</v>
      </c>
      <c r="G9" s="8"/>
      <c r="H9" s="8"/>
    </row>
    <row x14ac:dyDescent="0.25" r="10" customHeight="1" ht="18.75">
      <c r="A10" s="4" t="s">
        <v>934</v>
      </c>
      <c r="B10" s="4" t="s">
        <v>935</v>
      </c>
      <c r="C10" s="4"/>
      <c r="D10" s="4"/>
      <c r="E10" s="5"/>
      <c r="F10" s="4"/>
      <c r="G10" s="4"/>
      <c r="H10" s="4"/>
    </row>
    <row x14ac:dyDescent="0.25" r="11" customHeight="1" ht="46.5">
      <c r="A11" s="6" t="s">
        <v>934</v>
      </c>
      <c r="B11" s="6" t="s">
        <v>935</v>
      </c>
      <c r="C11" s="7" t="s">
        <v>936</v>
      </c>
      <c r="D11" s="8" t="s">
        <v>937</v>
      </c>
      <c r="E11" s="18">
        <v>1</v>
      </c>
      <c r="F11" s="10" t="s">
        <v>126</v>
      </c>
      <c r="G11" s="8"/>
      <c r="H11" s="8"/>
    </row>
    <row x14ac:dyDescent="0.25" r="12" customHeight="1" ht="46.5">
      <c r="A12" s="11" t="s">
        <v>934</v>
      </c>
      <c r="B12" s="11" t="s">
        <v>935</v>
      </c>
      <c r="C12" s="12" t="s">
        <v>938</v>
      </c>
      <c r="D12" s="13" t="s">
        <v>939</v>
      </c>
      <c r="E12" s="9">
        <v>2</v>
      </c>
      <c r="F12" s="10" t="s">
        <v>126</v>
      </c>
      <c r="G12" s="13"/>
      <c r="H12" s="13"/>
    </row>
    <row x14ac:dyDescent="0.25" r="13" customHeight="1" ht="46.5">
      <c r="A13" s="6" t="s">
        <v>934</v>
      </c>
      <c r="B13" s="6" t="s">
        <v>935</v>
      </c>
      <c r="C13" s="7" t="s">
        <v>940</v>
      </c>
      <c r="D13" s="8" t="s">
        <v>941</v>
      </c>
      <c r="E13" s="9">
        <v>2</v>
      </c>
      <c r="F13" s="10" t="s">
        <v>126</v>
      </c>
      <c r="G13" s="8"/>
      <c r="H13" s="8"/>
    </row>
    <row x14ac:dyDescent="0.25" r="14" customHeight="1" ht="60">
      <c r="A14" s="11" t="s">
        <v>934</v>
      </c>
      <c r="B14" s="11" t="s">
        <v>935</v>
      </c>
      <c r="C14" s="12" t="s">
        <v>942</v>
      </c>
      <c r="D14" s="13" t="s">
        <v>943</v>
      </c>
      <c r="E14" s="9">
        <v>2</v>
      </c>
      <c r="F14" s="10" t="s">
        <v>126</v>
      </c>
      <c r="G14" s="13"/>
      <c r="H14" s="13"/>
    </row>
    <row x14ac:dyDescent="0.25" r="15" customHeight="1" ht="73.5">
      <c r="A15" s="6" t="s">
        <v>934</v>
      </c>
      <c r="B15" s="6" t="s">
        <v>935</v>
      </c>
      <c r="C15" s="7" t="s">
        <v>944</v>
      </c>
      <c r="D15" s="8" t="s">
        <v>945</v>
      </c>
      <c r="E15" s="14">
        <v>3</v>
      </c>
      <c r="F15" s="10" t="s">
        <v>12</v>
      </c>
      <c r="G15" s="8" t="s">
        <v>946</v>
      </c>
      <c r="H15" s="8"/>
    </row>
    <row x14ac:dyDescent="0.25" r="16" customHeight="1" ht="18.75">
      <c r="A16" s="4" t="s">
        <v>947</v>
      </c>
      <c r="B16" s="4" t="s">
        <v>948</v>
      </c>
      <c r="C16" s="4"/>
      <c r="D16" s="4"/>
      <c r="E16" s="5"/>
      <c r="F16" s="4"/>
      <c r="G16" s="4"/>
      <c r="H16" s="4"/>
    </row>
    <row x14ac:dyDescent="0.25" r="17" customHeight="1" ht="60">
      <c r="A17" s="6" t="s">
        <v>947</v>
      </c>
      <c r="B17" s="6" t="s">
        <v>948</v>
      </c>
      <c r="C17" s="7" t="s">
        <v>949</v>
      </c>
      <c r="D17" s="8" t="s">
        <v>950</v>
      </c>
      <c r="E17" s="9">
        <v>2</v>
      </c>
      <c r="F17" s="10" t="s">
        <v>126</v>
      </c>
      <c r="G17" s="8"/>
      <c r="H17" s="8"/>
    </row>
    <row x14ac:dyDescent="0.25" r="18" customHeight="1" ht="33.75">
      <c r="A18" s="11" t="s">
        <v>947</v>
      </c>
      <c r="B18" s="11" t="s">
        <v>948</v>
      </c>
      <c r="C18" s="12" t="s">
        <v>951</v>
      </c>
      <c r="D18" s="13" t="s">
        <v>952</v>
      </c>
      <c r="E18" s="14">
        <v>3</v>
      </c>
      <c r="F18" s="10" t="s">
        <v>126</v>
      </c>
      <c r="G18" s="13"/>
      <c r="H18"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39"/>
  <sheetViews>
    <sheetView workbookViewId="0">
      <pane state="frozen" activePane="bottomLeft" topLeftCell="A2" ySplit="1" xSplit="0"/>
    </sheetView>
  </sheetViews>
  <sheetFormatPr defaultRowHeight="15" x14ac:dyDescent="0.25"/>
  <cols>
    <col min="1" max="1" style="15" width="12.005" customWidth="1" bestFit="1"/>
    <col min="2" max="2" style="15" width="33.005" customWidth="1" bestFit="1"/>
    <col min="3" max="3" style="16" width="12.005" customWidth="1" bestFit="1"/>
    <col min="4" max="4" style="15" width="60.005" customWidth="1" bestFit="1"/>
    <col min="5" max="5" style="17" width="8.005" customWidth="1" bestFit="1"/>
    <col min="6" max="6" style="16" width="16.005" customWidth="1" bestFit="1"/>
    <col min="7" max="7" style="21" width="81.7192857142857" customWidth="1" bestFit="1"/>
    <col min="8" max="8" style="15" width="35.005" customWidth="1" bestFit="1"/>
  </cols>
  <sheetData>
    <row x14ac:dyDescent="0.25" r="1" customHeight="1" ht="39.75" customFormat="1" s="1">
      <c r="A1" s="2" t="s">
        <v>827</v>
      </c>
      <c r="B1" s="2" t="s">
        <v>1</v>
      </c>
      <c r="C1" s="2" t="s">
        <v>2</v>
      </c>
      <c r="D1" s="2" t="s">
        <v>3</v>
      </c>
      <c r="E1" s="3" t="s">
        <v>4</v>
      </c>
      <c r="F1" s="2" t="s">
        <v>5</v>
      </c>
      <c r="G1" s="2" t="s">
        <v>6</v>
      </c>
      <c r="H1" s="2" t="s">
        <v>7</v>
      </c>
    </row>
    <row x14ac:dyDescent="0.25" r="2" customHeight="1" ht="18.75">
      <c r="A2" s="4" t="s">
        <v>828</v>
      </c>
      <c r="B2" s="4" t="s">
        <v>829</v>
      </c>
      <c r="C2" s="4"/>
      <c r="D2" s="4"/>
      <c r="E2" s="5"/>
      <c r="F2" s="4"/>
      <c r="G2" s="4"/>
      <c r="H2" s="4"/>
    </row>
    <row x14ac:dyDescent="0.25" r="3" customHeight="1" ht="85.05">
      <c r="A3" s="6" t="s">
        <v>828</v>
      </c>
      <c r="B3" s="6" t="s">
        <v>829</v>
      </c>
      <c r="C3" s="7" t="s">
        <v>830</v>
      </c>
      <c r="D3" s="8" t="s">
        <v>831</v>
      </c>
      <c r="E3" s="14">
        <v>3</v>
      </c>
      <c r="F3" s="10" t="s">
        <v>12</v>
      </c>
      <c r="G3" s="22" t="s">
        <v>832</v>
      </c>
      <c r="H3" s="8"/>
    </row>
    <row x14ac:dyDescent="0.25" r="4" customHeight="1" ht="18.75">
      <c r="A4" s="4" t="s">
        <v>833</v>
      </c>
      <c r="B4" s="4" t="s">
        <v>834</v>
      </c>
      <c r="C4" s="4"/>
      <c r="D4" s="4"/>
      <c r="E4" s="5"/>
      <c r="F4" s="4"/>
      <c r="G4" s="4"/>
      <c r="H4" s="4"/>
    </row>
    <row x14ac:dyDescent="0.25" r="5" customHeight="1" ht="127.95">
      <c r="A5" s="6" t="s">
        <v>833</v>
      </c>
      <c r="B5" s="6" t="s">
        <v>834</v>
      </c>
      <c r="C5" s="7" t="s">
        <v>835</v>
      </c>
      <c r="D5" s="8" t="s">
        <v>836</v>
      </c>
      <c r="E5" s="18">
        <v>1</v>
      </c>
      <c r="F5" s="10" t="s">
        <v>126</v>
      </c>
      <c r="G5" s="8"/>
      <c r="H5" s="8"/>
    </row>
    <row x14ac:dyDescent="0.25" r="6" customHeight="1" ht="85.05">
      <c r="A6" s="11" t="s">
        <v>833</v>
      </c>
      <c r="B6" s="11" t="s">
        <v>834</v>
      </c>
      <c r="C6" s="12" t="s">
        <v>837</v>
      </c>
      <c r="D6" s="13" t="s">
        <v>838</v>
      </c>
      <c r="E6" s="18">
        <v>1</v>
      </c>
      <c r="F6" s="10" t="s">
        <v>12</v>
      </c>
      <c r="G6" s="20" t="s">
        <v>839</v>
      </c>
      <c r="H6" s="13"/>
    </row>
    <row x14ac:dyDescent="0.25" r="7" customHeight="1" ht="85.05">
      <c r="A7" s="6" t="s">
        <v>833</v>
      </c>
      <c r="B7" s="6" t="s">
        <v>834</v>
      </c>
      <c r="C7" s="7" t="s">
        <v>840</v>
      </c>
      <c r="D7" s="8" t="s">
        <v>841</v>
      </c>
      <c r="E7" s="14">
        <v>3</v>
      </c>
      <c r="F7" s="10" t="s">
        <v>12</v>
      </c>
      <c r="G7" s="20" t="s">
        <v>842</v>
      </c>
      <c r="H7" s="8"/>
    </row>
    <row x14ac:dyDescent="0.25" r="8" customHeight="1" ht="18.75">
      <c r="A8" s="4" t="s">
        <v>843</v>
      </c>
      <c r="B8" s="4" t="s">
        <v>844</v>
      </c>
      <c r="C8" s="4"/>
      <c r="D8" s="4"/>
      <c r="E8" s="5"/>
      <c r="F8" s="4"/>
      <c r="G8" s="4"/>
      <c r="H8" s="4"/>
    </row>
    <row x14ac:dyDescent="0.25" r="9" customHeight="1" ht="72">
      <c r="A9" s="6" t="s">
        <v>843</v>
      </c>
      <c r="B9" s="6" t="s">
        <v>844</v>
      </c>
      <c r="C9" s="7" t="s">
        <v>845</v>
      </c>
      <c r="D9" s="8" t="s">
        <v>846</v>
      </c>
      <c r="E9" s="18">
        <v>1</v>
      </c>
      <c r="F9" s="10" t="s">
        <v>12</v>
      </c>
      <c r="G9" s="8" t="s">
        <v>847</v>
      </c>
      <c r="H9" s="8"/>
    </row>
    <row x14ac:dyDescent="0.25" r="10" customHeight="1" ht="72">
      <c r="A10" s="11" t="s">
        <v>843</v>
      </c>
      <c r="B10" s="11" t="s">
        <v>844</v>
      </c>
      <c r="C10" s="12" t="s">
        <v>848</v>
      </c>
      <c r="D10" s="13" t="s">
        <v>849</v>
      </c>
      <c r="E10" s="9">
        <v>2</v>
      </c>
      <c r="F10" s="10" t="s">
        <v>12</v>
      </c>
      <c r="G10" s="20" t="s">
        <v>850</v>
      </c>
      <c r="H10" s="13"/>
    </row>
    <row x14ac:dyDescent="0.25" r="11" customHeight="1" ht="72">
      <c r="A11" s="6" t="s">
        <v>843</v>
      </c>
      <c r="B11" s="6" t="s">
        <v>844</v>
      </c>
      <c r="C11" s="7" t="s">
        <v>851</v>
      </c>
      <c r="D11" s="8" t="s">
        <v>852</v>
      </c>
      <c r="E11" s="9">
        <v>2</v>
      </c>
      <c r="F11" s="10" t="s">
        <v>12</v>
      </c>
      <c r="G11" s="20" t="s">
        <v>850</v>
      </c>
      <c r="H11" s="8"/>
    </row>
    <row x14ac:dyDescent="0.25" r="12" customHeight="1" ht="72">
      <c r="A12" s="11" t="s">
        <v>843</v>
      </c>
      <c r="B12" s="11" t="s">
        <v>844</v>
      </c>
      <c r="C12" s="12" t="s">
        <v>853</v>
      </c>
      <c r="D12" s="13" t="s">
        <v>854</v>
      </c>
      <c r="E12" s="9">
        <v>2</v>
      </c>
      <c r="F12" s="10" t="s">
        <v>12</v>
      </c>
      <c r="G12" s="13" t="s">
        <v>855</v>
      </c>
      <c r="H12" s="13"/>
    </row>
    <row x14ac:dyDescent="0.25" r="13" customHeight="1" ht="72">
      <c r="A13" s="6" t="s">
        <v>843</v>
      </c>
      <c r="B13" s="6" t="s">
        <v>844</v>
      </c>
      <c r="C13" s="7" t="s">
        <v>856</v>
      </c>
      <c r="D13" s="8" t="s">
        <v>857</v>
      </c>
      <c r="E13" s="14">
        <v>3</v>
      </c>
      <c r="F13" s="10" t="s">
        <v>12</v>
      </c>
      <c r="G13" s="20" t="s">
        <v>858</v>
      </c>
      <c r="H13" s="8"/>
    </row>
    <row x14ac:dyDescent="0.25" r="14" customHeight="1" ht="18.75">
      <c r="A14" s="4" t="s">
        <v>859</v>
      </c>
      <c r="B14" s="4" t="s">
        <v>860</v>
      </c>
      <c r="C14" s="4"/>
      <c r="D14" s="4"/>
      <c r="E14" s="5"/>
      <c r="F14" s="4"/>
      <c r="G14" s="4"/>
      <c r="H14" s="4"/>
    </row>
    <row x14ac:dyDescent="0.25" r="15" customHeight="1" ht="72">
      <c r="A15" s="6" t="s">
        <v>859</v>
      </c>
      <c r="B15" s="6" t="s">
        <v>860</v>
      </c>
      <c r="C15" s="7" t="s">
        <v>861</v>
      </c>
      <c r="D15" s="8" t="s">
        <v>862</v>
      </c>
      <c r="E15" s="18">
        <v>1</v>
      </c>
      <c r="F15" s="10" t="s">
        <v>126</v>
      </c>
      <c r="G15" s="8"/>
      <c r="H15" s="8"/>
    </row>
    <row x14ac:dyDescent="0.25" r="16" customHeight="1" ht="104.25">
      <c r="A16" s="11" t="s">
        <v>859</v>
      </c>
      <c r="B16" s="11" t="s">
        <v>860</v>
      </c>
      <c r="C16" s="12" t="s">
        <v>863</v>
      </c>
      <c r="D16" s="13" t="s">
        <v>864</v>
      </c>
      <c r="E16" s="18">
        <v>1</v>
      </c>
      <c r="F16" s="10" t="s">
        <v>126</v>
      </c>
      <c r="G16" s="13"/>
      <c r="H16" s="13"/>
    </row>
    <row x14ac:dyDescent="0.25" r="17" customHeight="1" ht="138">
      <c r="A17" s="6" t="s">
        <v>859</v>
      </c>
      <c r="B17" s="6" t="s">
        <v>860</v>
      </c>
      <c r="C17" s="7" t="s">
        <v>865</v>
      </c>
      <c r="D17" s="8" t="s">
        <v>866</v>
      </c>
      <c r="E17" s="9">
        <v>2</v>
      </c>
      <c r="F17" s="10" t="s">
        <v>126</v>
      </c>
      <c r="G17" s="8"/>
      <c r="H17" s="8"/>
    </row>
    <row x14ac:dyDescent="0.25" r="18" customHeight="1" ht="78">
      <c r="A18" s="11" t="s">
        <v>859</v>
      </c>
      <c r="B18" s="11" t="s">
        <v>860</v>
      </c>
      <c r="C18" s="12" t="s">
        <v>867</v>
      </c>
      <c r="D18" s="13" t="s">
        <v>868</v>
      </c>
      <c r="E18" s="9">
        <v>2</v>
      </c>
      <c r="F18" s="10" t="s">
        <v>126</v>
      </c>
      <c r="G18" s="13"/>
      <c r="H18" s="13"/>
    </row>
    <row x14ac:dyDescent="0.25" r="19" customHeight="1" ht="18.75">
      <c r="A19" s="6" t="s">
        <v>859</v>
      </c>
      <c r="B19" s="6" t="s">
        <v>860</v>
      </c>
      <c r="C19" s="7" t="s">
        <v>869</v>
      </c>
      <c r="D19" s="8" t="s">
        <v>870</v>
      </c>
      <c r="E19" s="9">
        <v>2</v>
      </c>
      <c r="F19" s="10" t="s">
        <v>126</v>
      </c>
      <c r="G19" s="8"/>
      <c r="H19" s="8"/>
    </row>
    <row x14ac:dyDescent="0.25" r="20" customHeight="1" ht="18.75">
      <c r="A20" s="11" t="s">
        <v>859</v>
      </c>
      <c r="B20" s="11" t="s">
        <v>860</v>
      </c>
      <c r="C20" s="12" t="s">
        <v>871</v>
      </c>
      <c r="D20" s="13" t="s">
        <v>872</v>
      </c>
      <c r="E20" s="9">
        <v>2</v>
      </c>
      <c r="F20" s="10" t="s">
        <v>126</v>
      </c>
      <c r="G20" s="13"/>
      <c r="H20" s="13"/>
    </row>
    <row x14ac:dyDescent="0.25" r="21" customHeight="1" ht="72">
      <c r="A21" s="6" t="s">
        <v>859</v>
      </c>
      <c r="B21" s="6" t="s">
        <v>860</v>
      </c>
      <c r="C21" s="7" t="s">
        <v>873</v>
      </c>
      <c r="D21" s="8" t="s">
        <v>874</v>
      </c>
      <c r="E21" s="14">
        <v>3</v>
      </c>
      <c r="F21" s="10" t="s">
        <v>126</v>
      </c>
      <c r="G21" s="8"/>
      <c r="H21" s="8"/>
    </row>
    <row x14ac:dyDescent="0.25" r="22" customHeight="1" ht="18.75">
      <c r="A22" s="11" t="s">
        <v>859</v>
      </c>
      <c r="B22" s="11" t="s">
        <v>860</v>
      </c>
      <c r="C22" s="12" t="s">
        <v>875</v>
      </c>
      <c r="D22" s="13" t="s">
        <v>876</v>
      </c>
      <c r="E22" s="14">
        <v>3</v>
      </c>
      <c r="F22" s="10" t="s">
        <v>12</v>
      </c>
      <c r="G22" s="13"/>
      <c r="H22" s="13"/>
    </row>
    <row x14ac:dyDescent="0.25" r="23" customHeight="1" ht="18.75">
      <c r="A23" s="4" t="s">
        <v>877</v>
      </c>
      <c r="B23" s="4" t="s">
        <v>878</v>
      </c>
      <c r="C23" s="4"/>
      <c r="D23" s="4"/>
      <c r="E23" s="5"/>
      <c r="F23" s="4"/>
      <c r="G23" s="4"/>
      <c r="H23" s="4"/>
    </row>
    <row x14ac:dyDescent="0.25" r="24" customHeight="1" ht="18.75">
      <c r="A24" s="6" t="s">
        <v>877</v>
      </c>
      <c r="B24" s="6" t="s">
        <v>878</v>
      </c>
      <c r="C24" s="7" t="s">
        <v>879</v>
      </c>
      <c r="D24" s="8" t="s">
        <v>880</v>
      </c>
      <c r="E24" s="18">
        <v>1</v>
      </c>
      <c r="F24" s="10" t="s">
        <v>126</v>
      </c>
      <c r="G24" s="8"/>
      <c r="H24" s="8"/>
    </row>
    <row x14ac:dyDescent="0.25" r="25" customHeight="1" ht="18.75">
      <c r="A25" s="11" t="s">
        <v>877</v>
      </c>
      <c r="B25" s="11" t="s">
        <v>878</v>
      </c>
      <c r="C25" s="12" t="s">
        <v>881</v>
      </c>
      <c r="D25" s="13" t="s">
        <v>882</v>
      </c>
      <c r="E25" s="18">
        <v>1</v>
      </c>
      <c r="F25" s="10" t="s">
        <v>126</v>
      </c>
      <c r="G25" s="13"/>
      <c r="H25" s="13"/>
    </row>
    <row x14ac:dyDescent="0.25" r="26" customHeight="1" ht="18.75">
      <c r="A26" s="6" t="s">
        <v>877</v>
      </c>
      <c r="B26" s="6" t="s">
        <v>878</v>
      </c>
      <c r="C26" s="7" t="s">
        <v>883</v>
      </c>
      <c r="D26" s="8" t="s">
        <v>884</v>
      </c>
      <c r="E26" s="18">
        <v>1</v>
      </c>
      <c r="F26" s="10" t="s">
        <v>126</v>
      </c>
      <c r="G26" s="8"/>
      <c r="H26" s="8"/>
    </row>
    <row x14ac:dyDescent="0.25" r="27" customHeight="1" ht="18.75">
      <c r="A27" s="11" t="s">
        <v>877</v>
      </c>
      <c r="B27" s="11" t="s">
        <v>878</v>
      </c>
      <c r="C27" s="12" t="s">
        <v>885</v>
      </c>
      <c r="D27" s="13" t="s">
        <v>886</v>
      </c>
      <c r="E27" s="9">
        <v>2</v>
      </c>
      <c r="F27" s="10" t="s">
        <v>126</v>
      </c>
      <c r="G27" s="13"/>
      <c r="H27" s="13"/>
    </row>
    <row x14ac:dyDescent="0.25" r="28" customHeight="1" ht="72">
      <c r="A28" s="6" t="s">
        <v>877</v>
      </c>
      <c r="B28" s="6" t="s">
        <v>878</v>
      </c>
      <c r="C28" s="7" t="s">
        <v>887</v>
      </c>
      <c r="D28" s="8" t="s">
        <v>888</v>
      </c>
      <c r="E28" s="9">
        <v>2</v>
      </c>
      <c r="F28" s="10" t="s">
        <v>126</v>
      </c>
      <c r="G28" s="8"/>
      <c r="H28" s="8"/>
    </row>
    <row x14ac:dyDescent="0.25" r="29" customHeight="1" ht="72">
      <c r="A29" s="11" t="s">
        <v>877</v>
      </c>
      <c r="B29" s="11" t="s">
        <v>878</v>
      </c>
      <c r="C29" s="12" t="s">
        <v>889</v>
      </c>
      <c r="D29" s="13" t="s">
        <v>890</v>
      </c>
      <c r="E29" s="14">
        <v>3</v>
      </c>
      <c r="F29" s="10" t="s">
        <v>126</v>
      </c>
      <c r="G29" s="13"/>
      <c r="H29" s="13"/>
    </row>
    <row x14ac:dyDescent="0.25" r="30" customHeight="1" ht="72">
      <c r="A30" s="6" t="s">
        <v>877</v>
      </c>
      <c r="B30" s="6" t="s">
        <v>878</v>
      </c>
      <c r="C30" s="7" t="s">
        <v>891</v>
      </c>
      <c r="D30" s="8" t="s">
        <v>892</v>
      </c>
      <c r="E30" s="14">
        <v>3</v>
      </c>
      <c r="F30" s="10" t="s">
        <v>126</v>
      </c>
      <c r="G30" s="8"/>
      <c r="H30" s="8"/>
    </row>
    <row x14ac:dyDescent="0.25" r="31" customHeight="1" ht="120.45">
      <c r="A31" s="11" t="s">
        <v>877</v>
      </c>
      <c r="B31" s="11" t="s">
        <v>878</v>
      </c>
      <c r="C31" s="12" t="s">
        <v>893</v>
      </c>
      <c r="D31" s="13" t="s">
        <v>894</v>
      </c>
      <c r="E31" s="14">
        <v>3</v>
      </c>
      <c r="F31" s="10" t="s">
        <v>126</v>
      </c>
      <c r="G31" s="13"/>
      <c r="H31" s="13"/>
    </row>
    <row x14ac:dyDescent="0.25" r="32" customHeight="1" ht="18.75">
      <c r="A32" s="4" t="s">
        <v>895</v>
      </c>
      <c r="B32" s="4" t="s">
        <v>896</v>
      </c>
      <c r="C32" s="4"/>
      <c r="D32" s="4"/>
      <c r="E32" s="5"/>
      <c r="F32" s="4"/>
      <c r="G32" s="4"/>
      <c r="H32" s="4"/>
    </row>
    <row x14ac:dyDescent="0.25" r="33" customHeight="1" ht="106.5">
      <c r="A33" s="6" t="s">
        <v>895</v>
      </c>
      <c r="B33" s="6" t="s">
        <v>896</v>
      </c>
      <c r="C33" s="7" t="s">
        <v>897</v>
      </c>
      <c r="D33" s="8" t="s">
        <v>898</v>
      </c>
      <c r="E33" s="14">
        <v>3</v>
      </c>
      <c r="F33" s="10" t="s">
        <v>12</v>
      </c>
      <c r="G33" s="20" t="s">
        <v>899</v>
      </c>
      <c r="H33" s="8"/>
    </row>
    <row x14ac:dyDescent="0.25" r="34" customHeight="1" ht="18.75">
      <c r="A34" s="4" t="s">
        <v>900</v>
      </c>
      <c r="B34" s="4" t="s">
        <v>901</v>
      </c>
      <c r="C34" s="4"/>
      <c r="D34" s="4"/>
      <c r="E34" s="5"/>
      <c r="F34" s="4"/>
      <c r="G34" s="4"/>
      <c r="H34" s="4"/>
    </row>
    <row x14ac:dyDescent="0.25" r="35" customHeight="1" ht="72">
      <c r="A35" s="6" t="s">
        <v>900</v>
      </c>
      <c r="B35" s="6" t="s">
        <v>901</v>
      </c>
      <c r="C35" s="7" t="s">
        <v>902</v>
      </c>
      <c r="D35" s="8" t="s">
        <v>903</v>
      </c>
      <c r="E35" s="9">
        <v>2</v>
      </c>
      <c r="F35" s="10" t="s">
        <v>12</v>
      </c>
      <c r="G35" s="20" t="s">
        <v>904</v>
      </c>
      <c r="H35" s="8"/>
    </row>
    <row x14ac:dyDescent="0.25" r="36" customHeight="1" ht="72">
      <c r="A36" s="11" t="s">
        <v>900</v>
      </c>
      <c r="B36" s="11" t="s">
        <v>901</v>
      </c>
      <c r="C36" s="12" t="s">
        <v>905</v>
      </c>
      <c r="D36" s="13" t="s">
        <v>906</v>
      </c>
      <c r="E36" s="9">
        <v>2</v>
      </c>
      <c r="F36" s="10" t="s">
        <v>126</v>
      </c>
      <c r="G36" s="13"/>
      <c r="H36" s="13"/>
    </row>
    <row x14ac:dyDescent="0.25" r="37" customHeight="1" ht="72">
      <c r="A37" s="6" t="s">
        <v>900</v>
      </c>
      <c r="B37" s="6" t="s">
        <v>901</v>
      </c>
      <c r="C37" s="7" t="s">
        <v>907</v>
      </c>
      <c r="D37" s="8" t="s">
        <v>908</v>
      </c>
      <c r="E37" s="14">
        <v>3</v>
      </c>
      <c r="F37" s="10" t="s">
        <v>12</v>
      </c>
      <c r="G37" s="20" t="s">
        <v>909</v>
      </c>
      <c r="H37" s="8"/>
    </row>
    <row x14ac:dyDescent="0.25" r="38" customHeight="1" ht="72">
      <c r="A38" s="11" t="s">
        <v>900</v>
      </c>
      <c r="B38" s="11" t="s">
        <v>901</v>
      </c>
      <c r="C38" s="12" t="s">
        <v>910</v>
      </c>
      <c r="D38" s="13" t="s">
        <v>911</v>
      </c>
      <c r="E38" s="14">
        <v>3</v>
      </c>
      <c r="F38" s="10" t="s">
        <v>126</v>
      </c>
      <c r="G38" s="13"/>
      <c r="H38" s="13"/>
    </row>
    <row x14ac:dyDescent="0.25" r="39" customHeight="1" ht="72">
      <c r="A39" s="6" t="s">
        <v>900</v>
      </c>
      <c r="B39" s="6" t="s">
        <v>901</v>
      </c>
      <c r="C39" s="7" t="s">
        <v>912</v>
      </c>
      <c r="D39" s="8" t="s">
        <v>913</v>
      </c>
      <c r="E39" s="14">
        <v>3</v>
      </c>
      <c r="F39" s="10" t="s">
        <v>12</v>
      </c>
      <c r="G39" s="20" t="s">
        <v>914</v>
      </c>
      <c r="H39"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21"/>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21" width="87.43357142857143"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780</v>
      </c>
      <c r="B2" s="4" t="s">
        <v>781</v>
      </c>
      <c r="C2" s="4"/>
      <c r="D2" s="4"/>
      <c r="E2" s="5"/>
      <c r="F2" s="4"/>
      <c r="G2" s="4"/>
      <c r="H2" s="4"/>
    </row>
    <row x14ac:dyDescent="0.25" r="3" customHeight="1" ht="18.75">
      <c r="A3" s="6" t="s">
        <v>780</v>
      </c>
      <c r="B3" s="6" t="s">
        <v>781</v>
      </c>
      <c r="C3" s="7" t="s">
        <v>782</v>
      </c>
      <c r="D3" s="8" t="s">
        <v>783</v>
      </c>
      <c r="E3" s="18">
        <v>1</v>
      </c>
      <c r="F3" s="10" t="s">
        <v>55</v>
      </c>
      <c r="G3" s="8"/>
      <c r="H3" s="8"/>
    </row>
    <row x14ac:dyDescent="0.25" r="4" customHeight="1" ht="18.75">
      <c r="A4" s="11" t="s">
        <v>780</v>
      </c>
      <c r="B4" s="11" t="s">
        <v>781</v>
      </c>
      <c r="C4" s="12" t="s">
        <v>784</v>
      </c>
      <c r="D4" s="13" t="s">
        <v>785</v>
      </c>
      <c r="E4" s="9">
        <v>2</v>
      </c>
      <c r="F4" s="10" t="s">
        <v>126</v>
      </c>
      <c r="G4" s="13"/>
      <c r="H4" s="13"/>
    </row>
    <row x14ac:dyDescent="0.25" r="5" customHeight="1" ht="18.75">
      <c r="A5" s="6" t="s">
        <v>780</v>
      </c>
      <c r="B5" s="6" t="s">
        <v>781</v>
      </c>
      <c r="C5" s="7" t="s">
        <v>786</v>
      </c>
      <c r="D5" s="8" t="s">
        <v>787</v>
      </c>
      <c r="E5" s="9">
        <v>2</v>
      </c>
      <c r="F5" s="10" t="s">
        <v>126</v>
      </c>
      <c r="G5" s="8"/>
      <c r="H5" s="8"/>
    </row>
    <row x14ac:dyDescent="0.25" r="6" customHeight="1" ht="30">
      <c r="A6" s="11" t="s">
        <v>780</v>
      </c>
      <c r="B6" s="11" t="s">
        <v>781</v>
      </c>
      <c r="C6" s="12" t="s">
        <v>788</v>
      </c>
      <c r="D6" s="13" t="s">
        <v>789</v>
      </c>
      <c r="E6" s="14">
        <v>3</v>
      </c>
      <c r="F6" s="10" t="s">
        <v>126</v>
      </c>
      <c r="G6" s="13"/>
      <c r="H6" s="13"/>
    </row>
    <row x14ac:dyDescent="0.25" r="7" customHeight="1" ht="30">
      <c r="A7" s="6" t="s">
        <v>780</v>
      </c>
      <c r="B7" s="6" t="s">
        <v>781</v>
      </c>
      <c r="C7" s="7" t="s">
        <v>790</v>
      </c>
      <c r="D7" s="8" t="s">
        <v>791</v>
      </c>
      <c r="E7" s="14">
        <v>3</v>
      </c>
      <c r="F7" s="10" t="s">
        <v>12</v>
      </c>
      <c r="G7" s="8"/>
      <c r="H7" s="8"/>
    </row>
    <row x14ac:dyDescent="0.25" r="8" customHeight="1" ht="18">
      <c r="A8" s="4" t="s">
        <v>792</v>
      </c>
      <c r="B8" s="4" t="s">
        <v>793</v>
      </c>
      <c r="C8" s="4"/>
      <c r="D8" s="4"/>
      <c r="E8" s="5"/>
      <c r="F8" s="4"/>
      <c r="G8" s="4"/>
      <c r="H8" s="4"/>
    </row>
    <row x14ac:dyDescent="0.25" r="9" customHeight="1" ht="30">
      <c r="A9" s="6" t="s">
        <v>792</v>
      </c>
      <c r="B9" s="6" t="s">
        <v>793</v>
      </c>
      <c r="C9" s="7" t="s">
        <v>794</v>
      </c>
      <c r="D9" s="8" t="s">
        <v>795</v>
      </c>
      <c r="E9" s="9">
        <v>2</v>
      </c>
      <c r="F9" s="10" t="s">
        <v>55</v>
      </c>
      <c r="G9" s="8" t="s">
        <v>796</v>
      </c>
      <c r="H9" s="8"/>
    </row>
    <row x14ac:dyDescent="0.25" r="10" customHeight="1" ht="30">
      <c r="A10" s="11" t="s">
        <v>792</v>
      </c>
      <c r="B10" s="11" t="s">
        <v>793</v>
      </c>
      <c r="C10" s="12" t="s">
        <v>797</v>
      </c>
      <c r="D10" s="13" t="s">
        <v>798</v>
      </c>
      <c r="E10" s="14">
        <v>3</v>
      </c>
      <c r="F10" s="10" t="s">
        <v>126</v>
      </c>
      <c r="G10" s="13"/>
      <c r="H10" s="13"/>
    </row>
    <row x14ac:dyDescent="0.25" r="11" customHeight="1" ht="30">
      <c r="A11" s="6" t="s">
        <v>792</v>
      </c>
      <c r="B11" s="6" t="s">
        <v>793</v>
      </c>
      <c r="C11" s="7" t="s">
        <v>799</v>
      </c>
      <c r="D11" s="8" t="s">
        <v>800</v>
      </c>
      <c r="E11" s="14">
        <v>3</v>
      </c>
      <c r="F11" s="10" t="s">
        <v>126</v>
      </c>
      <c r="G11" s="8"/>
      <c r="H11" s="8"/>
    </row>
    <row x14ac:dyDescent="0.25" r="12" customHeight="1" ht="30">
      <c r="A12" s="11" t="s">
        <v>792</v>
      </c>
      <c r="B12" s="11" t="s">
        <v>793</v>
      </c>
      <c r="C12" s="12" t="s">
        <v>801</v>
      </c>
      <c r="D12" s="13" t="s">
        <v>802</v>
      </c>
      <c r="E12" s="14">
        <v>3</v>
      </c>
      <c r="F12" s="10" t="s">
        <v>126</v>
      </c>
      <c r="G12" s="13"/>
      <c r="H12" s="13"/>
    </row>
    <row x14ac:dyDescent="0.25" r="13" customHeight="1" ht="30">
      <c r="A13" s="6" t="s">
        <v>792</v>
      </c>
      <c r="B13" s="6" t="s">
        <v>793</v>
      </c>
      <c r="C13" s="7" t="s">
        <v>803</v>
      </c>
      <c r="D13" s="8" t="s">
        <v>804</v>
      </c>
      <c r="E13" s="14">
        <v>3</v>
      </c>
      <c r="F13" s="10" t="s">
        <v>126</v>
      </c>
      <c r="G13" s="8"/>
      <c r="H13" s="8"/>
    </row>
    <row x14ac:dyDescent="0.25" r="14" customHeight="1" ht="18">
      <c r="A14" s="4" t="s">
        <v>805</v>
      </c>
      <c r="B14" s="4" t="s">
        <v>806</v>
      </c>
      <c r="C14" s="4"/>
      <c r="D14" s="4"/>
      <c r="E14" s="5"/>
      <c r="F14" s="4"/>
      <c r="G14" s="4"/>
      <c r="H14" s="4"/>
    </row>
    <row x14ac:dyDescent="0.25" r="15" customHeight="1" ht="18.75">
      <c r="A15" s="6" t="s">
        <v>805</v>
      </c>
      <c r="B15" s="6" t="s">
        <v>806</v>
      </c>
      <c r="C15" s="7" t="s">
        <v>807</v>
      </c>
      <c r="D15" s="8" t="s">
        <v>808</v>
      </c>
      <c r="E15" s="9">
        <v>2</v>
      </c>
      <c r="F15" s="10" t="s">
        <v>12</v>
      </c>
      <c r="G15" s="8" t="s">
        <v>809</v>
      </c>
      <c r="H15" s="8"/>
    </row>
    <row x14ac:dyDescent="0.25" r="16" customHeight="1" ht="30">
      <c r="A16" s="11" t="s">
        <v>805</v>
      </c>
      <c r="B16" s="11" t="s">
        <v>806</v>
      </c>
      <c r="C16" s="12" t="s">
        <v>810</v>
      </c>
      <c r="D16" s="13" t="s">
        <v>811</v>
      </c>
      <c r="E16" s="9">
        <v>2</v>
      </c>
      <c r="F16" s="10" t="s">
        <v>12</v>
      </c>
      <c r="G16" s="13" t="s">
        <v>812</v>
      </c>
      <c r="H16" s="13"/>
    </row>
    <row x14ac:dyDescent="0.25" r="17" customHeight="1" ht="18">
      <c r="A17" s="4" t="s">
        <v>813</v>
      </c>
      <c r="B17" s="4" t="s">
        <v>814</v>
      </c>
      <c r="C17" s="4"/>
      <c r="D17" s="4"/>
      <c r="E17" s="5"/>
      <c r="F17" s="4"/>
      <c r="G17" s="4"/>
      <c r="H17" s="4"/>
    </row>
    <row x14ac:dyDescent="0.25" r="18" customHeight="1" ht="30">
      <c r="A18" s="6" t="s">
        <v>813</v>
      </c>
      <c r="B18" s="6" t="s">
        <v>814</v>
      </c>
      <c r="C18" s="7" t="s">
        <v>815</v>
      </c>
      <c r="D18" s="8" t="s">
        <v>816</v>
      </c>
      <c r="E18" s="18">
        <v>1</v>
      </c>
      <c r="F18" s="10" t="s">
        <v>12</v>
      </c>
      <c r="G18" s="8" t="s">
        <v>817</v>
      </c>
      <c r="H18" s="8"/>
    </row>
    <row x14ac:dyDescent="0.25" r="19" customHeight="1" ht="30">
      <c r="A19" s="11" t="s">
        <v>813</v>
      </c>
      <c r="B19" s="11" t="s">
        <v>814</v>
      </c>
      <c r="C19" s="12" t="s">
        <v>818</v>
      </c>
      <c r="D19" s="13" t="s">
        <v>819</v>
      </c>
      <c r="E19" s="9">
        <v>2</v>
      </c>
      <c r="F19" s="10" t="s">
        <v>12</v>
      </c>
      <c r="G19" s="20" t="s">
        <v>820</v>
      </c>
      <c r="H19" s="13"/>
    </row>
    <row x14ac:dyDescent="0.25" r="20" customHeight="1" ht="30">
      <c r="A20" s="6" t="s">
        <v>813</v>
      </c>
      <c r="B20" s="6" t="s">
        <v>814</v>
      </c>
      <c r="C20" s="7" t="s">
        <v>821</v>
      </c>
      <c r="D20" s="8" t="s">
        <v>822</v>
      </c>
      <c r="E20" s="9">
        <v>2</v>
      </c>
      <c r="F20" s="10" t="s">
        <v>12</v>
      </c>
      <c r="G20" s="20" t="s">
        <v>823</v>
      </c>
      <c r="H20" s="8"/>
    </row>
    <row x14ac:dyDescent="0.25" r="21" customHeight="1" ht="30">
      <c r="A21" s="11" t="s">
        <v>813</v>
      </c>
      <c r="B21" s="11" t="s">
        <v>814</v>
      </c>
      <c r="C21" s="12" t="s">
        <v>824</v>
      </c>
      <c r="D21" s="13" t="s">
        <v>825</v>
      </c>
      <c r="E21" s="9">
        <v>2</v>
      </c>
      <c r="F21" s="10" t="s">
        <v>12</v>
      </c>
      <c r="G21" s="20" t="s">
        <v>826</v>
      </c>
      <c r="H21"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8"/>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740</v>
      </c>
      <c r="B2" s="4" t="s">
        <v>741</v>
      </c>
      <c r="C2" s="4"/>
      <c r="D2" s="4"/>
      <c r="E2" s="5"/>
      <c r="F2" s="4"/>
      <c r="G2" s="4"/>
      <c r="H2" s="4"/>
    </row>
    <row x14ac:dyDescent="0.25" r="3" customHeight="1" ht="18.75">
      <c r="A3" s="6" t="s">
        <v>740</v>
      </c>
      <c r="B3" s="6" t="s">
        <v>741</v>
      </c>
      <c r="C3" s="7" t="s">
        <v>742</v>
      </c>
      <c r="D3" s="8" t="s">
        <v>743</v>
      </c>
      <c r="E3" s="9">
        <v>2</v>
      </c>
      <c r="F3" s="10" t="s">
        <v>55</v>
      </c>
      <c r="G3" s="8" t="s">
        <v>744</v>
      </c>
      <c r="H3" s="8"/>
    </row>
    <row x14ac:dyDescent="0.25" r="4" customHeight="1" ht="18">
      <c r="A4" s="4" t="s">
        <v>745</v>
      </c>
      <c r="B4" s="4" t="s">
        <v>746</v>
      </c>
      <c r="C4" s="4"/>
      <c r="D4" s="4"/>
      <c r="E4" s="5"/>
      <c r="F4" s="4"/>
      <c r="G4" s="4"/>
      <c r="H4" s="4"/>
    </row>
    <row x14ac:dyDescent="0.25" r="5" customHeight="1" ht="30">
      <c r="A5" s="6" t="s">
        <v>745</v>
      </c>
      <c r="B5" s="6" t="s">
        <v>746</v>
      </c>
      <c r="C5" s="7" t="s">
        <v>747</v>
      </c>
      <c r="D5" s="8" t="s">
        <v>748</v>
      </c>
      <c r="E5" s="18">
        <v>1</v>
      </c>
      <c r="F5" s="10" t="s">
        <v>55</v>
      </c>
      <c r="G5" s="8" t="s">
        <v>749</v>
      </c>
      <c r="H5" s="8"/>
    </row>
    <row x14ac:dyDescent="0.25" r="6" customHeight="1" ht="18.75">
      <c r="A6" s="11" t="s">
        <v>745</v>
      </c>
      <c r="B6" s="11" t="s">
        <v>746</v>
      </c>
      <c r="C6" s="12" t="s">
        <v>750</v>
      </c>
      <c r="D6" s="13" t="s">
        <v>751</v>
      </c>
      <c r="E6" s="18">
        <v>1</v>
      </c>
      <c r="F6" s="10" t="s">
        <v>55</v>
      </c>
      <c r="G6" s="13" t="s">
        <v>752</v>
      </c>
      <c r="H6" s="13"/>
    </row>
    <row x14ac:dyDescent="0.25" r="7" customHeight="1" ht="18.75">
      <c r="A7" s="6" t="s">
        <v>745</v>
      </c>
      <c r="B7" s="6" t="s">
        <v>746</v>
      </c>
      <c r="C7" s="7" t="s">
        <v>753</v>
      </c>
      <c r="D7" s="8" t="s">
        <v>754</v>
      </c>
      <c r="E7" s="9">
        <v>2</v>
      </c>
      <c r="F7" s="10" t="s">
        <v>12</v>
      </c>
      <c r="G7" s="8" t="s">
        <v>755</v>
      </c>
      <c r="H7" s="8"/>
    </row>
    <row x14ac:dyDescent="0.25" r="8" customHeight="1" ht="30">
      <c r="A8" s="11" t="s">
        <v>745</v>
      </c>
      <c r="B8" s="11" t="s">
        <v>746</v>
      </c>
      <c r="C8" s="12" t="s">
        <v>756</v>
      </c>
      <c r="D8" s="13" t="s">
        <v>757</v>
      </c>
      <c r="E8" s="14">
        <v>3</v>
      </c>
      <c r="F8" s="10" t="s">
        <v>126</v>
      </c>
      <c r="G8" s="13"/>
      <c r="H8" s="13"/>
    </row>
    <row x14ac:dyDescent="0.25" r="9" customHeight="1" ht="18.75">
      <c r="A9" s="6" t="s">
        <v>745</v>
      </c>
      <c r="B9" s="6" t="s">
        <v>746</v>
      </c>
      <c r="C9" s="7" t="s">
        <v>758</v>
      </c>
      <c r="D9" s="8" t="s">
        <v>759</v>
      </c>
      <c r="E9" s="14">
        <v>3</v>
      </c>
      <c r="F9" s="10" t="s">
        <v>12</v>
      </c>
      <c r="G9" s="8" t="s">
        <v>760</v>
      </c>
      <c r="H9" s="8"/>
    </row>
    <row x14ac:dyDescent="0.25" r="10" customHeight="1" ht="30">
      <c r="A10" s="11" t="s">
        <v>745</v>
      </c>
      <c r="B10" s="11" t="s">
        <v>746</v>
      </c>
      <c r="C10" s="12" t="s">
        <v>761</v>
      </c>
      <c r="D10" s="13" t="s">
        <v>762</v>
      </c>
      <c r="E10" s="14">
        <v>3</v>
      </c>
      <c r="F10" s="10" t="s">
        <v>126</v>
      </c>
      <c r="G10" s="13"/>
      <c r="H10" s="13"/>
    </row>
    <row x14ac:dyDescent="0.25" r="11" customHeight="1" ht="18">
      <c r="A11" s="4" t="s">
        <v>763</v>
      </c>
      <c r="B11" s="4" t="s">
        <v>764</v>
      </c>
      <c r="C11" s="4"/>
      <c r="D11" s="4"/>
      <c r="E11" s="5"/>
      <c r="F11" s="4"/>
      <c r="G11" s="4"/>
      <c r="H11" s="4"/>
    </row>
    <row x14ac:dyDescent="0.25" r="12" customHeight="1" ht="30">
      <c r="A12" s="6" t="s">
        <v>763</v>
      </c>
      <c r="B12" s="6" t="s">
        <v>764</v>
      </c>
      <c r="C12" s="7" t="s">
        <v>765</v>
      </c>
      <c r="D12" s="8" t="s">
        <v>766</v>
      </c>
      <c r="E12" s="18">
        <v>1</v>
      </c>
      <c r="F12" s="10" t="s">
        <v>126</v>
      </c>
      <c r="G12" s="8"/>
      <c r="H12" s="8"/>
    </row>
    <row x14ac:dyDescent="0.25" r="13" customHeight="1" ht="30">
      <c r="A13" s="11" t="s">
        <v>763</v>
      </c>
      <c r="B13" s="11" t="s">
        <v>764</v>
      </c>
      <c r="C13" s="12" t="s">
        <v>767</v>
      </c>
      <c r="D13" s="13" t="s">
        <v>768</v>
      </c>
      <c r="E13" s="18">
        <v>1</v>
      </c>
      <c r="F13" s="10" t="s">
        <v>126</v>
      </c>
      <c r="G13" s="13"/>
      <c r="H13" s="13"/>
    </row>
    <row x14ac:dyDescent="0.25" r="14" customHeight="1" ht="18.75">
      <c r="A14" s="6" t="s">
        <v>763</v>
      </c>
      <c r="B14" s="6" t="s">
        <v>764</v>
      </c>
      <c r="C14" s="7" t="s">
        <v>769</v>
      </c>
      <c r="D14" s="8" t="s">
        <v>770</v>
      </c>
      <c r="E14" s="14">
        <v>3</v>
      </c>
      <c r="F14" s="10" t="s">
        <v>12</v>
      </c>
      <c r="G14" s="8" t="s">
        <v>771</v>
      </c>
      <c r="H14" s="8"/>
    </row>
    <row x14ac:dyDescent="0.25" r="15" customHeight="1" ht="18">
      <c r="A15" s="4" t="s">
        <v>772</v>
      </c>
      <c r="B15" s="4" t="s">
        <v>773</v>
      </c>
      <c r="C15" s="4"/>
      <c r="D15" s="4"/>
      <c r="E15" s="5"/>
      <c r="F15" s="4"/>
      <c r="G15" s="4"/>
      <c r="H15" s="4"/>
    </row>
    <row x14ac:dyDescent="0.25" r="16" customHeight="1" ht="30">
      <c r="A16" s="6" t="s">
        <v>772</v>
      </c>
      <c r="B16" s="6" t="s">
        <v>773</v>
      </c>
      <c r="C16" s="7" t="s">
        <v>774</v>
      </c>
      <c r="D16" s="8" t="s">
        <v>775</v>
      </c>
      <c r="E16" s="9">
        <v>2</v>
      </c>
      <c r="F16" s="10" t="s">
        <v>126</v>
      </c>
      <c r="G16" s="8"/>
      <c r="H16" s="8"/>
    </row>
    <row x14ac:dyDescent="0.25" r="17" customHeight="1" ht="30">
      <c r="A17" s="11" t="s">
        <v>772</v>
      </c>
      <c r="B17" s="11" t="s">
        <v>773</v>
      </c>
      <c r="C17" s="12" t="s">
        <v>776</v>
      </c>
      <c r="D17" s="13" t="s">
        <v>777</v>
      </c>
      <c r="E17" s="9">
        <v>2</v>
      </c>
      <c r="F17" s="10" t="s">
        <v>126</v>
      </c>
      <c r="G17" s="13"/>
      <c r="H17" s="13"/>
    </row>
    <row x14ac:dyDescent="0.25" r="18" customHeight="1" ht="30">
      <c r="A18" s="6" t="s">
        <v>772</v>
      </c>
      <c r="B18" s="6" t="s">
        <v>773</v>
      </c>
      <c r="C18" s="7" t="s">
        <v>778</v>
      </c>
      <c r="D18" s="8" t="s">
        <v>779</v>
      </c>
      <c r="E18" s="9">
        <v>2</v>
      </c>
      <c r="F18" s="10" t="s">
        <v>126</v>
      </c>
      <c r="G18" s="8"/>
      <c r="H1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5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18.75" customFormat="1" s="1">
      <c r="A1" s="2" t="s">
        <v>0</v>
      </c>
      <c r="B1" s="2" t="s">
        <v>1</v>
      </c>
      <c r="C1" s="2" t="s">
        <v>2</v>
      </c>
      <c r="D1" s="2" t="s">
        <v>3</v>
      </c>
      <c r="E1" s="3" t="s">
        <v>4</v>
      </c>
      <c r="F1" s="2" t="s">
        <v>5</v>
      </c>
      <c r="G1" s="2" t="s">
        <v>6</v>
      </c>
      <c r="H1" s="2" t="s">
        <v>7</v>
      </c>
    </row>
    <row x14ac:dyDescent="0.25" r="2" customHeight="1" ht="18">
      <c r="A2" s="4" t="s">
        <v>630</v>
      </c>
      <c r="B2" s="4" t="s">
        <v>631</v>
      </c>
      <c r="C2" s="4"/>
      <c r="D2" s="4"/>
      <c r="E2" s="5"/>
      <c r="F2" s="4"/>
      <c r="G2" s="4"/>
      <c r="H2" s="4"/>
    </row>
    <row x14ac:dyDescent="0.25" r="3" customHeight="1" ht="18.75">
      <c r="A3" s="6" t="s">
        <v>630</v>
      </c>
      <c r="B3" s="6" t="s">
        <v>631</v>
      </c>
      <c r="C3" s="7" t="s">
        <v>632</v>
      </c>
      <c r="D3" s="8" t="s">
        <v>633</v>
      </c>
      <c r="E3" s="18">
        <v>1</v>
      </c>
      <c r="F3" s="10" t="s">
        <v>55</v>
      </c>
      <c r="G3" s="8"/>
      <c r="H3" s="8"/>
    </row>
    <row x14ac:dyDescent="0.25" r="4" customHeight="1" ht="18.75">
      <c r="A4" s="11" t="s">
        <v>630</v>
      </c>
      <c r="B4" s="11" t="s">
        <v>631</v>
      </c>
      <c r="C4" s="12" t="s">
        <v>634</v>
      </c>
      <c r="D4" s="13" t="s">
        <v>635</v>
      </c>
      <c r="E4" s="9">
        <v>2</v>
      </c>
      <c r="F4" s="10" t="s">
        <v>55</v>
      </c>
      <c r="G4" s="13"/>
      <c r="H4" s="13"/>
    </row>
    <row x14ac:dyDescent="0.25" r="5" customHeight="1" ht="18.75">
      <c r="A5" s="6" t="s">
        <v>630</v>
      </c>
      <c r="B5" s="6" t="s">
        <v>631</v>
      </c>
      <c r="C5" s="7" t="s">
        <v>636</v>
      </c>
      <c r="D5" s="8" t="s">
        <v>637</v>
      </c>
      <c r="E5" s="9">
        <v>2</v>
      </c>
      <c r="F5" s="10" t="s">
        <v>55</v>
      </c>
      <c r="G5" s="8"/>
      <c r="H5" s="8"/>
    </row>
    <row x14ac:dyDescent="0.25" r="6" customHeight="1" ht="18">
      <c r="A6" s="4" t="s">
        <v>638</v>
      </c>
      <c r="B6" s="4" t="s">
        <v>639</v>
      </c>
      <c r="C6" s="4"/>
      <c r="D6" s="4"/>
      <c r="E6" s="5"/>
      <c r="F6" s="4"/>
      <c r="G6" s="4"/>
      <c r="H6" s="4"/>
    </row>
    <row x14ac:dyDescent="0.25" r="7" customHeight="1" ht="30">
      <c r="A7" s="6" t="s">
        <v>638</v>
      </c>
      <c r="B7" s="6" t="s">
        <v>639</v>
      </c>
      <c r="C7" s="7" t="s">
        <v>640</v>
      </c>
      <c r="D7" s="8" t="s">
        <v>641</v>
      </c>
      <c r="E7" s="18">
        <v>1</v>
      </c>
      <c r="F7" s="10" t="s">
        <v>55</v>
      </c>
      <c r="G7" s="8"/>
      <c r="H7" s="8"/>
    </row>
    <row x14ac:dyDescent="0.25" r="8" customHeight="1" ht="30">
      <c r="A8" s="11" t="s">
        <v>638</v>
      </c>
      <c r="B8" s="11" t="s">
        <v>639</v>
      </c>
      <c r="C8" s="12" t="s">
        <v>642</v>
      </c>
      <c r="D8" s="13" t="s">
        <v>643</v>
      </c>
      <c r="E8" s="18">
        <v>1</v>
      </c>
      <c r="F8" s="10" t="s">
        <v>55</v>
      </c>
      <c r="G8" s="13"/>
      <c r="H8" s="13"/>
    </row>
    <row x14ac:dyDescent="0.25" r="9" customHeight="1" ht="30">
      <c r="A9" s="6" t="s">
        <v>638</v>
      </c>
      <c r="B9" s="6" t="s">
        <v>639</v>
      </c>
      <c r="C9" s="7" t="s">
        <v>644</v>
      </c>
      <c r="D9" s="8" t="s">
        <v>645</v>
      </c>
      <c r="E9" s="18">
        <v>1</v>
      </c>
      <c r="F9" s="10" t="s">
        <v>55</v>
      </c>
      <c r="G9" s="8"/>
      <c r="H9" s="8"/>
    </row>
    <row x14ac:dyDescent="0.25" r="10" customHeight="1" ht="30">
      <c r="A10" s="11" t="s">
        <v>638</v>
      </c>
      <c r="B10" s="11" t="s">
        <v>639</v>
      </c>
      <c r="C10" s="12" t="s">
        <v>646</v>
      </c>
      <c r="D10" s="13" t="s">
        <v>647</v>
      </c>
      <c r="E10" s="18">
        <v>1</v>
      </c>
      <c r="F10" s="10" t="s">
        <v>55</v>
      </c>
      <c r="G10" s="13"/>
      <c r="H10" s="13"/>
    </row>
    <row x14ac:dyDescent="0.25" r="11" customHeight="1" ht="30">
      <c r="A11" s="6" t="s">
        <v>638</v>
      </c>
      <c r="B11" s="6" t="s">
        <v>639</v>
      </c>
      <c r="C11" s="7" t="s">
        <v>648</v>
      </c>
      <c r="D11" s="8" t="s">
        <v>649</v>
      </c>
      <c r="E11" s="18">
        <v>1</v>
      </c>
      <c r="F11" s="10" t="s">
        <v>55</v>
      </c>
      <c r="G11" s="8"/>
      <c r="H11" s="8"/>
    </row>
    <row x14ac:dyDescent="0.25" r="12" customHeight="1" ht="30">
      <c r="A12" s="11" t="s">
        <v>638</v>
      </c>
      <c r="B12" s="11" t="s">
        <v>639</v>
      </c>
      <c r="C12" s="12" t="s">
        <v>650</v>
      </c>
      <c r="D12" s="13" t="s">
        <v>651</v>
      </c>
      <c r="E12" s="18">
        <v>1</v>
      </c>
      <c r="F12" s="10" t="s">
        <v>12</v>
      </c>
      <c r="G12" s="13"/>
      <c r="H12" s="13"/>
    </row>
    <row x14ac:dyDescent="0.25" r="13" customHeight="1" ht="30">
      <c r="A13" s="6" t="s">
        <v>638</v>
      </c>
      <c r="B13" s="6" t="s">
        <v>639</v>
      </c>
      <c r="C13" s="7" t="s">
        <v>652</v>
      </c>
      <c r="D13" s="8" t="s">
        <v>653</v>
      </c>
      <c r="E13" s="18">
        <v>1</v>
      </c>
      <c r="F13" s="10" t="s">
        <v>12</v>
      </c>
      <c r="G13" s="8"/>
      <c r="H13" s="8"/>
    </row>
    <row x14ac:dyDescent="0.25" r="14" customHeight="1" ht="30">
      <c r="A14" s="11" t="s">
        <v>638</v>
      </c>
      <c r="B14" s="11" t="s">
        <v>639</v>
      </c>
      <c r="C14" s="12" t="s">
        <v>654</v>
      </c>
      <c r="D14" s="13" t="s">
        <v>655</v>
      </c>
      <c r="E14" s="18">
        <v>1</v>
      </c>
      <c r="F14" s="10" t="s">
        <v>55</v>
      </c>
      <c r="G14" s="13"/>
      <c r="H14" s="13"/>
    </row>
    <row x14ac:dyDescent="0.25" r="15" customHeight="1" ht="30">
      <c r="A15" s="6" t="s">
        <v>638</v>
      </c>
      <c r="B15" s="6" t="s">
        <v>639</v>
      </c>
      <c r="C15" s="7" t="s">
        <v>656</v>
      </c>
      <c r="D15" s="8" t="s">
        <v>657</v>
      </c>
      <c r="E15" s="9">
        <v>2</v>
      </c>
      <c r="F15" s="10" t="s">
        <v>55</v>
      </c>
      <c r="G15" s="8"/>
      <c r="H15" s="8"/>
    </row>
    <row x14ac:dyDescent="0.25" r="16" customHeight="1" ht="30">
      <c r="A16" s="11" t="s">
        <v>638</v>
      </c>
      <c r="B16" s="11" t="s">
        <v>639</v>
      </c>
      <c r="C16" s="12" t="s">
        <v>658</v>
      </c>
      <c r="D16" s="13" t="s">
        <v>659</v>
      </c>
      <c r="E16" s="9">
        <v>2</v>
      </c>
      <c r="F16" s="10" t="s">
        <v>55</v>
      </c>
      <c r="G16" s="13"/>
      <c r="H16" s="13"/>
    </row>
    <row x14ac:dyDescent="0.25" r="17" customHeight="1" ht="30">
      <c r="A17" s="6" t="s">
        <v>638</v>
      </c>
      <c r="B17" s="6" t="s">
        <v>639</v>
      </c>
      <c r="C17" s="7" t="s">
        <v>660</v>
      </c>
      <c r="D17" s="8" t="s">
        <v>661</v>
      </c>
      <c r="E17" s="9">
        <v>2</v>
      </c>
      <c r="F17" s="10" t="s">
        <v>55</v>
      </c>
      <c r="G17" s="8"/>
      <c r="H17" s="8"/>
    </row>
    <row x14ac:dyDescent="0.25" r="18" customHeight="1" ht="30">
      <c r="A18" s="11" t="s">
        <v>638</v>
      </c>
      <c r="B18" s="11" t="s">
        <v>639</v>
      </c>
      <c r="C18" s="12" t="s">
        <v>662</v>
      </c>
      <c r="D18" s="13" t="s">
        <v>663</v>
      </c>
      <c r="E18" s="9">
        <v>2</v>
      </c>
      <c r="F18" s="10" t="s">
        <v>55</v>
      </c>
      <c r="G18" s="13"/>
      <c r="H18" s="13"/>
    </row>
    <row x14ac:dyDescent="0.25" r="19" customHeight="1" ht="18">
      <c r="A19" s="4" t="s">
        <v>664</v>
      </c>
      <c r="B19" s="4" t="s">
        <v>665</v>
      </c>
      <c r="C19" s="4"/>
      <c r="D19" s="4"/>
      <c r="E19" s="5"/>
      <c r="F19" s="4"/>
      <c r="G19" s="4"/>
      <c r="H19" s="4"/>
    </row>
    <row x14ac:dyDescent="0.25" r="20" customHeight="1" ht="30">
      <c r="A20" s="6" t="s">
        <v>664</v>
      </c>
      <c r="B20" s="6" t="s">
        <v>665</v>
      </c>
      <c r="C20" s="7" t="s">
        <v>666</v>
      </c>
      <c r="D20" s="8" t="s">
        <v>667</v>
      </c>
      <c r="E20" s="18">
        <v>1</v>
      </c>
      <c r="F20" s="10" t="s">
        <v>55</v>
      </c>
      <c r="G20" s="8"/>
      <c r="H20" s="8"/>
    </row>
    <row x14ac:dyDescent="0.25" r="21" customHeight="1" ht="30">
      <c r="A21" s="11" t="s">
        <v>664</v>
      </c>
      <c r="B21" s="11" t="s">
        <v>665</v>
      </c>
      <c r="C21" s="12" t="s">
        <v>668</v>
      </c>
      <c r="D21" s="13" t="s">
        <v>669</v>
      </c>
      <c r="E21" s="18">
        <v>1</v>
      </c>
      <c r="F21" s="10" t="s">
        <v>55</v>
      </c>
      <c r="G21" s="13"/>
      <c r="H21" s="13"/>
    </row>
    <row x14ac:dyDescent="0.25" r="22" customHeight="1" ht="30">
      <c r="A22" s="6" t="s">
        <v>664</v>
      </c>
      <c r="B22" s="6" t="s">
        <v>665</v>
      </c>
      <c r="C22" s="7" t="s">
        <v>670</v>
      </c>
      <c r="D22" s="8" t="s">
        <v>671</v>
      </c>
      <c r="E22" s="9">
        <v>2</v>
      </c>
      <c r="F22" s="10" t="s">
        <v>55</v>
      </c>
      <c r="G22" s="8"/>
      <c r="H22" s="8"/>
    </row>
    <row x14ac:dyDescent="0.25" r="23" customHeight="1" ht="30">
      <c r="A23" s="11" t="s">
        <v>664</v>
      </c>
      <c r="B23" s="11" t="s">
        <v>665</v>
      </c>
      <c r="C23" s="12" t="s">
        <v>672</v>
      </c>
      <c r="D23" s="13" t="s">
        <v>673</v>
      </c>
      <c r="E23" s="9">
        <v>2</v>
      </c>
      <c r="F23" s="10" t="s">
        <v>55</v>
      </c>
      <c r="G23" s="13"/>
      <c r="H23" s="13"/>
    </row>
    <row x14ac:dyDescent="0.25" r="24" customHeight="1" ht="30">
      <c r="A24" s="6" t="s">
        <v>664</v>
      </c>
      <c r="B24" s="6" t="s">
        <v>665</v>
      </c>
      <c r="C24" s="7" t="s">
        <v>674</v>
      </c>
      <c r="D24" s="8" t="s">
        <v>675</v>
      </c>
      <c r="E24" s="14">
        <v>3</v>
      </c>
      <c r="F24" s="10" t="s">
        <v>126</v>
      </c>
      <c r="G24" s="8"/>
      <c r="H24" s="8"/>
    </row>
    <row x14ac:dyDescent="0.25" r="25" customHeight="1" ht="30">
      <c r="A25" s="11" t="s">
        <v>664</v>
      </c>
      <c r="B25" s="11" t="s">
        <v>665</v>
      </c>
      <c r="C25" s="12" t="s">
        <v>676</v>
      </c>
      <c r="D25" s="13" t="s">
        <v>677</v>
      </c>
      <c r="E25" s="14">
        <v>3</v>
      </c>
      <c r="F25" s="10" t="s">
        <v>12</v>
      </c>
      <c r="G25" s="13"/>
      <c r="H25" s="13"/>
    </row>
    <row x14ac:dyDescent="0.25" r="26" customHeight="1" ht="30">
      <c r="A26" s="6" t="s">
        <v>664</v>
      </c>
      <c r="B26" s="6" t="s">
        <v>665</v>
      </c>
      <c r="C26" s="7" t="s">
        <v>678</v>
      </c>
      <c r="D26" s="8" t="s">
        <v>679</v>
      </c>
      <c r="E26" s="14">
        <v>3</v>
      </c>
      <c r="F26" s="10" t="s">
        <v>126</v>
      </c>
      <c r="G26" s="8"/>
      <c r="H26" s="8"/>
    </row>
    <row x14ac:dyDescent="0.25" r="27" customHeight="1" ht="30">
      <c r="A27" s="11" t="s">
        <v>664</v>
      </c>
      <c r="B27" s="11" t="s">
        <v>665</v>
      </c>
      <c r="C27" s="12" t="s">
        <v>680</v>
      </c>
      <c r="D27" s="13" t="s">
        <v>681</v>
      </c>
      <c r="E27" s="14">
        <v>3</v>
      </c>
      <c r="F27" s="10" t="s">
        <v>126</v>
      </c>
      <c r="G27" s="13"/>
      <c r="H27" s="13"/>
    </row>
    <row x14ac:dyDescent="0.25" r="28" customHeight="1" ht="18">
      <c r="A28" s="4" t="s">
        <v>682</v>
      </c>
      <c r="B28" s="4" t="s">
        <v>683</v>
      </c>
      <c r="C28" s="4"/>
      <c r="D28" s="4"/>
      <c r="E28" s="5"/>
      <c r="F28" s="4"/>
      <c r="G28" s="4"/>
      <c r="H28" s="4"/>
    </row>
    <row x14ac:dyDescent="0.25" r="29" customHeight="1" ht="30">
      <c r="A29" s="6" t="s">
        <v>682</v>
      </c>
      <c r="B29" s="6" t="s">
        <v>683</v>
      </c>
      <c r="C29" s="7" t="s">
        <v>684</v>
      </c>
      <c r="D29" s="8" t="s">
        <v>685</v>
      </c>
      <c r="E29" s="18">
        <v>1</v>
      </c>
      <c r="F29" s="10" t="s">
        <v>55</v>
      </c>
      <c r="G29" s="8"/>
      <c r="H29" s="8"/>
    </row>
    <row x14ac:dyDescent="0.25" r="30" customHeight="1" ht="30">
      <c r="A30" s="11" t="s">
        <v>682</v>
      </c>
      <c r="B30" s="11" t="s">
        <v>683</v>
      </c>
      <c r="C30" s="12" t="s">
        <v>686</v>
      </c>
      <c r="D30" s="13" t="s">
        <v>687</v>
      </c>
      <c r="E30" s="18">
        <v>1</v>
      </c>
      <c r="F30" s="10" t="s">
        <v>55</v>
      </c>
      <c r="G30" s="13"/>
      <c r="H30" s="13"/>
    </row>
    <row x14ac:dyDescent="0.25" r="31" customHeight="1" ht="30">
      <c r="A31" s="6" t="s">
        <v>682</v>
      </c>
      <c r="B31" s="6" t="s">
        <v>683</v>
      </c>
      <c r="C31" s="7" t="s">
        <v>688</v>
      </c>
      <c r="D31" s="8" t="s">
        <v>689</v>
      </c>
      <c r="E31" s="9">
        <v>2</v>
      </c>
      <c r="F31" s="10" t="s">
        <v>55</v>
      </c>
      <c r="G31" s="8"/>
      <c r="H31" s="8"/>
    </row>
    <row x14ac:dyDescent="0.25" r="32" customHeight="1" ht="30">
      <c r="A32" s="11" t="s">
        <v>682</v>
      </c>
      <c r="B32" s="11" t="s">
        <v>683</v>
      </c>
      <c r="C32" s="12" t="s">
        <v>690</v>
      </c>
      <c r="D32" s="13" t="s">
        <v>691</v>
      </c>
      <c r="E32" s="9">
        <v>2</v>
      </c>
      <c r="F32" s="10" t="s">
        <v>55</v>
      </c>
      <c r="G32" s="13"/>
      <c r="H32" s="13"/>
    </row>
    <row x14ac:dyDescent="0.25" r="33" customHeight="1" ht="30">
      <c r="A33" s="6" t="s">
        <v>682</v>
      </c>
      <c r="B33" s="6" t="s">
        <v>683</v>
      </c>
      <c r="C33" s="7" t="s">
        <v>692</v>
      </c>
      <c r="D33" s="8" t="s">
        <v>693</v>
      </c>
      <c r="E33" s="14">
        <v>3</v>
      </c>
      <c r="F33" s="10" t="s">
        <v>126</v>
      </c>
      <c r="G33" s="8"/>
      <c r="H33" s="8"/>
    </row>
    <row x14ac:dyDescent="0.25" r="34" customHeight="1" ht="30">
      <c r="A34" s="11" t="s">
        <v>682</v>
      </c>
      <c r="B34" s="11" t="s">
        <v>683</v>
      </c>
      <c r="C34" s="12" t="s">
        <v>694</v>
      </c>
      <c r="D34" s="13" t="s">
        <v>695</v>
      </c>
      <c r="E34" s="14">
        <v>3</v>
      </c>
      <c r="F34" s="10" t="s">
        <v>126</v>
      </c>
      <c r="G34" s="13"/>
      <c r="H34" s="13"/>
    </row>
    <row x14ac:dyDescent="0.25" r="35" customHeight="1" ht="18">
      <c r="A35" s="4" t="s">
        <v>696</v>
      </c>
      <c r="B35" s="4" t="s">
        <v>697</v>
      </c>
      <c r="C35" s="4"/>
      <c r="D35" s="4"/>
      <c r="E35" s="5"/>
      <c r="F35" s="4"/>
      <c r="G35" s="4"/>
      <c r="H35" s="4"/>
    </row>
    <row x14ac:dyDescent="0.25" r="36" customHeight="1" ht="30">
      <c r="A36" s="6" t="s">
        <v>696</v>
      </c>
      <c r="B36" s="6" t="s">
        <v>697</v>
      </c>
      <c r="C36" s="7" t="s">
        <v>698</v>
      </c>
      <c r="D36" s="8" t="s">
        <v>699</v>
      </c>
      <c r="E36" s="9">
        <v>2</v>
      </c>
      <c r="F36" s="10" t="s">
        <v>55</v>
      </c>
      <c r="G36" s="8"/>
      <c r="H36" s="8"/>
    </row>
    <row x14ac:dyDescent="0.25" r="37" customHeight="1" ht="30">
      <c r="A37" s="11" t="s">
        <v>696</v>
      </c>
      <c r="B37" s="11" t="s">
        <v>697</v>
      </c>
      <c r="C37" s="12" t="s">
        <v>700</v>
      </c>
      <c r="D37" s="13" t="s">
        <v>701</v>
      </c>
      <c r="E37" s="9">
        <v>2</v>
      </c>
      <c r="F37" s="10" t="s">
        <v>55</v>
      </c>
      <c r="G37" s="13"/>
      <c r="H37" s="13"/>
    </row>
    <row x14ac:dyDescent="0.25" r="38" customHeight="1" ht="30">
      <c r="A38" s="6" t="s">
        <v>696</v>
      </c>
      <c r="B38" s="6" t="s">
        <v>697</v>
      </c>
      <c r="C38" s="7" t="s">
        <v>702</v>
      </c>
      <c r="D38" s="8" t="s">
        <v>703</v>
      </c>
      <c r="E38" s="9">
        <v>2</v>
      </c>
      <c r="F38" s="10" t="s">
        <v>55</v>
      </c>
      <c r="G38" s="8"/>
      <c r="H38" s="8"/>
    </row>
    <row x14ac:dyDescent="0.25" r="39" customHeight="1" ht="30">
      <c r="A39" s="11" t="s">
        <v>696</v>
      </c>
      <c r="B39" s="11" t="s">
        <v>697</v>
      </c>
      <c r="C39" s="12" t="s">
        <v>704</v>
      </c>
      <c r="D39" s="13" t="s">
        <v>705</v>
      </c>
      <c r="E39" s="9">
        <v>2</v>
      </c>
      <c r="F39" s="10" t="s">
        <v>55</v>
      </c>
      <c r="G39" s="13"/>
      <c r="H39" s="13"/>
    </row>
    <row x14ac:dyDescent="0.25" r="40" customHeight="1" ht="30">
      <c r="A40" s="6" t="s">
        <v>696</v>
      </c>
      <c r="B40" s="6" t="s">
        <v>697</v>
      </c>
      <c r="C40" s="7" t="s">
        <v>706</v>
      </c>
      <c r="D40" s="8" t="s">
        <v>707</v>
      </c>
      <c r="E40" s="9">
        <v>2</v>
      </c>
      <c r="F40" s="10" t="s">
        <v>55</v>
      </c>
      <c r="G40" s="8"/>
      <c r="H40" s="8"/>
    </row>
    <row x14ac:dyDescent="0.25" r="41" customHeight="1" ht="30">
      <c r="A41" s="11" t="s">
        <v>696</v>
      </c>
      <c r="B41" s="11" t="s">
        <v>697</v>
      </c>
      <c r="C41" s="12" t="s">
        <v>708</v>
      </c>
      <c r="D41" s="13" t="s">
        <v>709</v>
      </c>
      <c r="E41" s="14">
        <v>3</v>
      </c>
      <c r="F41" s="10" t="s">
        <v>126</v>
      </c>
      <c r="G41" s="13"/>
      <c r="H41" s="13"/>
    </row>
    <row x14ac:dyDescent="0.25" r="42" customHeight="1" ht="30">
      <c r="A42" s="6" t="s">
        <v>696</v>
      </c>
      <c r="B42" s="6" t="s">
        <v>697</v>
      </c>
      <c r="C42" s="7" t="s">
        <v>710</v>
      </c>
      <c r="D42" s="8" t="s">
        <v>711</v>
      </c>
      <c r="E42" s="14">
        <v>3</v>
      </c>
      <c r="F42" s="10" t="s">
        <v>12</v>
      </c>
      <c r="G42" s="8"/>
      <c r="H42" s="8"/>
    </row>
    <row x14ac:dyDescent="0.25" r="43" customHeight="1" ht="30">
      <c r="A43" s="11" t="s">
        <v>696</v>
      </c>
      <c r="B43" s="11" t="s">
        <v>697</v>
      </c>
      <c r="C43" s="12" t="s">
        <v>712</v>
      </c>
      <c r="D43" s="13" t="s">
        <v>713</v>
      </c>
      <c r="E43" s="14">
        <v>3</v>
      </c>
      <c r="F43" s="10" t="s">
        <v>126</v>
      </c>
      <c r="G43" s="13"/>
      <c r="H43" s="13"/>
    </row>
    <row x14ac:dyDescent="0.25" r="44" customHeight="1" ht="18">
      <c r="A44" s="4" t="s">
        <v>714</v>
      </c>
      <c r="B44" s="4" t="s">
        <v>715</v>
      </c>
      <c r="C44" s="4"/>
      <c r="D44" s="4"/>
      <c r="E44" s="5"/>
      <c r="F44" s="4"/>
      <c r="G44" s="4"/>
      <c r="H44" s="4"/>
    </row>
    <row x14ac:dyDescent="0.25" r="45" customHeight="1" ht="30">
      <c r="A45" s="6" t="s">
        <v>714</v>
      </c>
      <c r="B45" s="6" t="s">
        <v>715</v>
      </c>
      <c r="C45" s="7" t="s">
        <v>716</v>
      </c>
      <c r="D45" s="8" t="s">
        <v>717</v>
      </c>
      <c r="E45" s="9">
        <v>2</v>
      </c>
      <c r="F45" s="10" t="s">
        <v>12</v>
      </c>
      <c r="G45" s="8"/>
      <c r="H45" s="8"/>
    </row>
    <row x14ac:dyDescent="0.25" r="46" customHeight="1" ht="30">
      <c r="A46" s="11" t="s">
        <v>714</v>
      </c>
      <c r="B46" s="11" t="s">
        <v>715</v>
      </c>
      <c r="C46" s="12" t="s">
        <v>718</v>
      </c>
      <c r="D46" s="13" t="s">
        <v>719</v>
      </c>
      <c r="E46" s="9">
        <v>2</v>
      </c>
      <c r="F46" s="10" t="s">
        <v>55</v>
      </c>
      <c r="G46" s="13"/>
      <c r="H46" s="13"/>
    </row>
    <row x14ac:dyDescent="0.25" r="47" customHeight="1" ht="30">
      <c r="A47" s="6" t="s">
        <v>714</v>
      </c>
      <c r="B47" s="6" t="s">
        <v>715</v>
      </c>
      <c r="C47" s="7" t="s">
        <v>720</v>
      </c>
      <c r="D47" s="8" t="s">
        <v>721</v>
      </c>
      <c r="E47" s="9">
        <v>2</v>
      </c>
      <c r="F47" s="10" t="s">
        <v>55</v>
      </c>
      <c r="G47" s="8"/>
      <c r="H47" s="8"/>
    </row>
    <row x14ac:dyDescent="0.25" r="48" customHeight="1" ht="30">
      <c r="A48" s="11" t="s">
        <v>714</v>
      </c>
      <c r="B48" s="11" t="s">
        <v>715</v>
      </c>
      <c r="C48" s="12" t="s">
        <v>722</v>
      </c>
      <c r="D48" s="13" t="s">
        <v>723</v>
      </c>
      <c r="E48" s="14">
        <v>3</v>
      </c>
      <c r="F48" s="10" t="s">
        <v>12</v>
      </c>
      <c r="G48" s="13"/>
      <c r="H48" s="13"/>
    </row>
    <row x14ac:dyDescent="0.25" r="49" customHeight="1" ht="18">
      <c r="A49" s="4" t="s">
        <v>724</v>
      </c>
      <c r="B49" s="4" t="s">
        <v>725</v>
      </c>
      <c r="C49" s="4"/>
      <c r="D49" s="4"/>
      <c r="E49" s="5"/>
      <c r="F49" s="4"/>
      <c r="G49" s="4"/>
      <c r="H49" s="4"/>
    </row>
    <row x14ac:dyDescent="0.25" r="50" customHeight="1" ht="30">
      <c r="A50" s="6" t="s">
        <v>724</v>
      </c>
      <c r="B50" s="6" t="s">
        <v>725</v>
      </c>
      <c r="C50" s="7" t="s">
        <v>726</v>
      </c>
      <c r="D50" s="8" t="s">
        <v>727</v>
      </c>
      <c r="E50" s="14">
        <v>3</v>
      </c>
      <c r="F50" s="10" t="s">
        <v>12</v>
      </c>
      <c r="G50" s="8"/>
      <c r="H50" s="8"/>
    </row>
    <row x14ac:dyDescent="0.25" r="51" customHeight="1" ht="30">
      <c r="A51" s="11" t="s">
        <v>724</v>
      </c>
      <c r="B51" s="11" t="s">
        <v>725</v>
      </c>
      <c r="C51" s="12" t="s">
        <v>728</v>
      </c>
      <c r="D51" s="13" t="s">
        <v>729</v>
      </c>
      <c r="E51" s="14">
        <v>3</v>
      </c>
      <c r="F51" s="10" t="s">
        <v>12</v>
      </c>
      <c r="G51" s="13"/>
      <c r="H51" s="13"/>
    </row>
    <row x14ac:dyDescent="0.25" r="52" customHeight="1" ht="18">
      <c r="A52" s="4" t="s">
        <v>730</v>
      </c>
      <c r="B52" s="4" t="s">
        <v>731</v>
      </c>
      <c r="C52" s="4"/>
      <c r="D52" s="4"/>
      <c r="E52" s="5"/>
      <c r="F52" s="4"/>
      <c r="G52" s="4"/>
      <c r="H52" s="4"/>
    </row>
    <row x14ac:dyDescent="0.25" r="53" customHeight="1" ht="30">
      <c r="A53" s="6" t="s">
        <v>730</v>
      </c>
      <c r="B53" s="6" t="s">
        <v>731</v>
      </c>
      <c r="C53" s="7" t="s">
        <v>732</v>
      </c>
      <c r="D53" s="8" t="s">
        <v>733</v>
      </c>
      <c r="E53" s="9">
        <v>2</v>
      </c>
      <c r="F53" s="10" t="s">
        <v>12</v>
      </c>
      <c r="G53" s="8"/>
      <c r="H53" s="8"/>
    </row>
    <row x14ac:dyDescent="0.25" r="54" customHeight="1" ht="30">
      <c r="A54" s="11" t="s">
        <v>730</v>
      </c>
      <c r="B54" s="11" t="s">
        <v>731</v>
      </c>
      <c r="C54" s="12" t="s">
        <v>734</v>
      </c>
      <c r="D54" s="13" t="s">
        <v>735</v>
      </c>
      <c r="E54" s="9">
        <v>2</v>
      </c>
      <c r="F54" s="10" t="s">
        <v>55</v>
      </c>
      <c r="G54" s="13"/>
      <c r="H54" s="13"/>
    </row>
    <row x14ac:dyDescent="0.25" r="55" customHeight="1" ht="30">
      <c r="A55" s="6" t="s">
        <v>730</v>
      </c>
      <c r="B55" s="6" t="s">
        <v>731</v>
      </c>
      <c r="C55" s="7" t="s">
        <v>736</v>
      </c>
      <c r="D55" s="8" t="s">
        <v>737</v>
      </c>
      <c r="E55" s="9">
        <v>2</v>
      </c>
      <c r="F55" s="10" t="s">
        <v>55</v>
      </c>
      <c r="G55" s="8"/>
      <c r="H55" s="8"/>
    </row>
    <row x14ac:dyDescent="0.25" r="56" customHeight="1" ht="30">
      <c r="A56" s="11" t="s">
        <v>730</v>
      </c>
      <c r="B56" s="11" t="s">
        <v>731</v>
      </c>
      <c r="C56" s="12" t="s">
        <v>738</v>
      </c>
      <c r="D56" s="13" t="s">
        <v>739</v>
      </c>
      <c r="E56" s="9">
        <v>2</v>
      </c>
      <c r="F56" s="10" t="s">
        <v>12</v>
      </c>
      <c r="G56" s="13"/>
      <c r="H56" s="1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2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577</v>
      </c>
      <c r="B2" s="4" t="s">
        <v>578</v>
      </c>
      <c r="C2" s="4"/>
      <c r="D2" s="4"/>
      <c r="E2" s="5"/>
      <c r="F2" s="4"/>
      <c r="G2" s="4"/>
      <c r="H2" s="4"/>
    </row>
    <row x14ac:dyDescent="0.25" r="3" customHeight="1" ht="30">
      <c r="A3" s="6" t="s">
        <v>577</v>
      </c>
      <c r="B3" s="6" t="s">
        <v>578</v>
      </c>
      <c r="C3" s="7" t="s">
        <v>579</v>
      </c>
      <c r="D3" s="8" t="s">
        <v>580</v>
      </c>
      <c r="E3" s="9">
        <v>2</v>
      </c>
      <c r="F3" s="10" t="s">
        <v>55</v>
      </c>
      <c r="G3" s="8" t="s">
        <v>581</v>
      </c>
      <c r="H3" s="8"/>
    </row>
    <row x14ac:dyDescent="0.25" r="4" customHeight="1" ht="30">
      <c r="A4" s="11" t="s">
        <v>577</v>
      </c>
      <c r="B4" s="11" t="s">
        <v>578</v>
      </c>
      <c r="C4" s="12" t="s">
        <v>582</v>
      </c>
      <c r="D4" s="13" t="s">
        <v>583</v>
      </c>
      <c r="E4" s="9">
        <v>2</v>
      </c>
      <c r="F4" s="10" t="s">
        <v>55</v>
      </c>
      <c r="G4" s="13" t="s">
        <v>584</v>
      </c>
      <c r="H4" s="13"/>
    </row>
    <row x14ac:dyDescent="0.25" r="5" customHeight="1" ht="30">
      <c r="A5" s="6" t="s">
        <v>577</v>
      </c>
      <c r="B5" s="6" t="s">
        <v>578</v>
      </c>
      <c r="C5" s="7" t="s">
        <v>585</v>
      </c>
      <c r="D5" s="8" t="s">
        <v>586</v>
      </c>
      <c r="E5" s="9">
        <v>2</v>
      </c>
      <c r="F5" s="10" t="s">
        <v>55</v>
      </c>
      <c r="G5" s="8" t="s">
        <v>587</v>
      </c>
      <c r="H5" s="8"/>
    </row>
    <row x14ac:dyDescent="0.25" r="6" customHeight="1" ht="18">
      <c r="A6" s="4" t="s">
        <v>588</v>
      </c>
      <c r="B6" s="4" t="s">
        <v>589</v>
      </c>
      <c r="C6" s="4"/>
      <c r="D6" s="4"/>
      <c r="E6" s="5"/>
      <c r="F6" s="4"/>
      <c r="G6" s="4"/>
      <c r="H6" s="4"/>
    </row>
    <row x14ac:dyDescent="0.25" r="7" customHeight="1" ht="30">
      <c r="A7" s="6" t="s">
        <v>588</v>
      </c>
      <c r="B7" s="6" t="s">
        <v>589</v>
      </c>
      <c r="C7" s="7" t="s">
        <v>590</v>
      </c>
      <c r="D7" s="8" t="s">
        <v>591</v>
      </c>
      <c r="E7" s="18">
        <v>1</v>
      </c>
      <c r="F7" s="10" t="s">
        <v>126</v>
      </c>
      <c r="G7" s="8"/>
      <c r="H7" s="8"/>
    </row>
    <row x14ac:dyDescent="0.25" r="8" customHeight="1" ht="30">
      <c r="A8" s="11" t="s">
        <v>588</v>
      </c>
      <c r="B8" s="11" t="s">
        <v>589</v>
      </c>
      <c r="C8" s="12" t="s">
        <v>592</v>
      </c>
      <c r="D8" s="13" t="s">
        <v>593</v>
      </c>
      <c r="E8" s="18">
        <v>1</v>
      </c>
      <c r="F8" s="10" t="s">
        <v>126</v>
      </c>
      <c r="G8" s="13"/>
      <c r="H8" s="13"/>
    </row>
    <row x14ac:dyDescent="0.25" r="9" customHeight="1" ht="30">
      <c r="A9" s="6" t="s">
        <v>588</v>
      </c>
      <c r="B9" s="6" t="s">
        <v>589</v>
      </c>
      <c r="C9" s="7" t="s">
        <v>594</v>
      </c>
      <c r="D9" s="8" t="s">
        <v>595</v>
      </c>
      <c r="E9" s="18">
        <v>1</v>
      </c>
      <c r="F9" s="10" t="s">
        <v>126</v>
      </c>
      <c r="G9" s="8"/>
      <c r="H9" s="8"/>
    </row>
    <row x14ac:dyDescent="0.25" r="10" customHeight="1" ht="30">
      <c r="A10" s="11" t="s">
        <v>588</v>
      </c>
      <c r="B10" s="11" t="s">
        <v>589</v>
      </c>
      <c r="C10" s="12" t="s">
        <v>596</v>
      </c>
      <c r="D10" s="13" t="s">
        <v>597</v>
      </c>
      <c r="E10" s="18">
        <v>1</v>
      </c>
      <c r="F10" s="10" t="s">
        <v>126</v>
      </c>
      <c r="G10" s="13"/>
      <c r="H10" s="13"/>
    </row>
    <row x14ac:dyDescent="0.25" r="11" customHeight="1" ht="18">
      <c r="A11" s="4" t="s">
        <v>598</v>
      </c>
      <c r="B11" s="4" t="s">
        <v>599</v>
      </c>
      <c r="C11" s="4"/>
      <c r="D11" s="4"/>
      <c r="E11" s="5"/>
      <c r="F11" s="4"/>
      <c r="G11" s="4"/>
      <c r="H11" s="4"/>
    </row>
    <row x14ac:dyDescent="0.25" r="12" customHeight="1" ht="30">
      <c r="A12" s="6" t="s">
        <v>598</v>
      </c>
      <c r="B12" s="6" t="s">
        <v>599</v>
      </c>
      <c r="C12" s="7" t="s">
        <v>600</v>
      </c>
      <c r="D12" s="8" t="s">
        <v>601</v>
      </c>
      <c r="E12" s="9">
        <v>2</v>
      </c>
      <c r="F12" s="10" t="s">
        <v>126</v>
      </c>
      <c r="G12" s="8"/>
      <c r="H12" s="8"/>
    </row>
    <row x14ac:dyDescent="0.25" r="13" customHeight="1" ht="30">
      <c r="A13" s="11" t="s">
        <v>598</v>
      </c>
      <c r="B13" s="11" t="s">
        <v>599</v>
      </c>
      <c r="C13" s="12" t="s">
        <v>602</v>
      </c>
      <c r="D13" s="13" t="s">
        <v>603</v>
      </c>
      <c r="E13" s="9">
        <v>2</v>
      </c>
      <c r="F13" s="10" t="s">
        <v>126</v>
      </c>
      <c r="G13" s="13"/>
      <c r="H13" s="13"/>
    </row>
    <row x14ac:dyDescent="0.25" r="14" customHeight="1" ht="18">
      <c r="A14" s="4" t="s">
        <v>604</v>
      </c>
      <c r="B14" s="4" t="s">
        <v>605</v>
      </c>
      <c r="C14" s="4"/>
      <c r="D14" s="4"/>
      <c r="E14" s="5"/>
      <c r="F14" s="4"/>
      <c r="G14" s="4"/>
      <c r="H14" s="4"/>
    </row>
    <row x14ac:dyDescent="0.25" r="15" customHeight="1" ht="30">
      <c r="A15" s="6" t="s">
        <v>604</v>
      </c>
      <c r="B15" s="6" t="s">
        <v>605</v>
      </c>
      <c r="C15" s="7" t="s">
        <v>606</v>
      </c>
      <c r="D15" s="8" t="s">
        <v>607</v>
      </c>
      <c r="E15" s="18">
        <v>1</v>
      </c>
      <c r="F15" s="10" t="s">
        <v>126</v>
      </c>
      <c r="G15" s="8"/>
      <c r="H15" s="8"/>
    </row>
    <row x14ac:dyDescent="0.25" r="16" customHeight="1" ht="30">
      <c r="A16" s="11" t="s">
        <v>604</v>
      </c>
      <c r="B16" s="11" t="s">
        <v>605</v>
      </c>
      <c r="C16" s="12" t="s">
        <v>608</v>
      </c>
      <c r="D16" s="13" t="s">
        <v>609</v>
      </c>
      <c r="E16" s="18">
        <v>1</v>
      </c>
      <c r="F16" s="10" t="s">
        <v>126</v>
      </c>
      <c r="G16" s="13"/>
      <c r="H16" s="13"/>
    </row>
    <row x14ac:dyDescent="0.25" r="17" customHeight="1" ht="30">
      <c r="A17" s="6" t="s">
        <v>604</v>
      </c>
      <c r="B17" s="6" t="s">
        <v>605</v>
      </c>
      <c r="C17" s="7" t="s">
        <v>610</v>
      </c>
      <c r="D17" s="8" t="s">
        <v>611</v>
      </c>
      <c r="E17" s="9">
        <v>2</v>
      </c>
      <c r="F17" s="10" t="s">
        <v>126</v>
      </c>
      <c r="G17" s="8"/>
      <c r="H17" s="8"/>
    </row>
    <row x14ac:dyDescent="0.25" r="18" customHeight="1" ht="30">
      <c r="A18" s="11" t="s">
        <v>604</v>
      </c>
      <c r="B18" s="11" t="s">
        <v>605</v>
      </c>
      <c r="C18" s="12" t="s">
        <v>612</v>
      </c>
      <c r="D18" s="13" t="s">
        <v>613</v>
      </c>
      <c r="E18" s="9">
        <v>2</v>
      </c>
      <c r="F18" s="10" t="s">
        <v>126</v>
      </c>
      <c r="G18" s="13"/>
      <c r="H18" s="13"/>
    </row>
    <row x14ac:dyDescent="0.25" r="19" customHeight="1" ht="30">
      <c r="A19" s="6" t="s">
        <v>604</v>
      </c>
      <c r="B19" s="6" t="s">
        <v>605</v>
      </c>
      <c r="C19" s="7" t="s">
        <v>614</v>
      </c>
      <c r="D19" s="8" t="s">
        <v>615</v>
      </c>
      <c r="E19" s="9">
        <v>2</v>
      </c>
      <c r="F19" s="10" t="s">
        <v>126</v>
      </c>
      <c r="G19" s="8"/>
      <c r="H19" s="8"/>
    </row>
    <row x14ac:dyDescent="0.25" r="20" customHeight="1" ht="18">
      <c r="A20" s="4" t="s">
        <v>616</v>
      </c>
      <c r="B20" s="4" t="s">
        <v>617</v>
      </c>
      <c r="C20" s="4"/>
      <c r="D20" s="4"/>
      <c r="E20" s="5"/>
      <c r="F20" s="4"/>
      <c r="G20" s="4"/>
      <c r="H20" s="4"/>
    </row>
    <row x14ac:dyDescent="0.25" r="21" customHeight="1" ht="30">
      <c r="A21" s="6" t="s">
        <v>616</v>
      </c>
      <c r="B21" s="6" t="s">
        <v>617</v>
      </c>
      <c r="C21" s="7" t="s">
        <v>618</v>
      </c>
      <c r="D21" s="8" t="s">
        <v>619</v>
      </c>
      <c r="E21" s="9">
        <v>2</v>
      </c>
      <c r="F21" s="10" t="s">
        <v>126</v>
      </c>
      <c r="G21" s="8"/>
      <c r="H21" s="8"/>
    </row>
    <row x14ac:dyDescent="0.25" r="22" customHeight="1" ht="30">
      <c r="A22" s="11" t="s">
        <v>616</v>
      </c>
      <c r="B22" s="11" t="s">
        <v>617</v>
      </c>
      <c r="C22" s="12" t="s">
        <v>620</v>
      </c>
      <c r="D22" s="13" t="s">
        <v>621</v>
      </c>
      <c r="E22" s="9">
        <v>2</v>
      </c>
      <c r="F22" s="10" t="s">
        <v>126</v>
      </c>
      <c r="G22" s="13"/>
      <c r="H22" s="13"/>
    </row>
    <row x14ac:dyDescent="0.25" r="23" customHeight="1" ht="30">
      <c r="A23" s="6" t="s">
        <v>616</v>
      </c>
      <c r="B23" s="6" t="s">
        <v>617</v>
      </c>
      <c r="C23" s="7" t="s">
        <v>622</v>
      </c>
      <c r="D23" s="8" t="s">
        <v>623</v>
      </c>
      <c r="E23" s="14">
        <v>3</v>
      </c>
      <c r="F23" s="10" t="s">
        <v>126</v>
      </c>
      <c r="G23" s="8"/>
      <c r="H23" s="8"/>
    </row>
    <row x14ac:dyDescent="0.25" r="24" customHeight="1" ht="18">
      <c r="A24" s="4" t="s">
        <v>624</v>
      </c>
      <c r="B24" s="4" t="s">
        <v>625</v>
      </c>
      <c r="C24" s="4"/>
      <c r="D24" s="4"/>
      <c r="E24" s="5"/>
      <c r="F24" s="4"/>
      <c r="G24" s="4"/>
      <c r="H24" s="4"/>
    </row>
    <row x14ac:dyDescent="0.25" r="25" customHeight="1" ht="30">
      <c r="A25" s="6" t="s">
        <v>624</v>
      </c>
      <c r="B25" s="6" t="s">
        <v>625</v>
      </c>
      <c r="C25" s="7" t="s">
        <v>626</v>
      </c>
      <c r="D25" s="8" t="s">
        <v>627</v>
      </c>
      <c r="E25" s="9">
        <v>2</v>
      </c>
      <c r="F25" s="10" t="s">
        <v>126</v>
      </c>
      <c r="G25" s="8"/>
      <c r="H25" s="8"/>
    </row>
    <row x14ac:dyDescent="0.25" r="26" customHeight="1" ht="30">
      <c r="A26" s="11" t="s">
        <v>624</v>
      </c>
      <c r="B26" s="11" t="s">
        <v>625</v>
      </c>
      <c r="C26" s="12" t="s">
        <v>628</v>
      </c>
      <c r="D26" s="13" t="s">
        <v>629</v>
      </c>
      <c r="E26" s="9">
        <v>2</v>
      </c>
      <c r="F26" s="10" t="s">
        <v>126</v>
      </c>
      <c r="G26" s="13"/>
      <c r="H26" s="1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8"/>
  <sheetViews>
    <sheetView workbookViewId="0" tabSelected="1">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533</v>
      </c>
      <c r="B2" s="4" t="s">
        <v>534</v>
      </c>
      <c r="C2" s="4"/>
      <c r="D2" s="4"/>
      <c r="E2" s="5"/>
      <c r="F2" s="4"/>
      <c r="G2" s="4"/>
      <c r="H2" s="4"/>
    </row>
    <row x14ac:dyDescent="0.25" r="3" customHeight="1" ht="30">
      <c r="A3" s="6" t="s">
        <v>533</v>
      </c>
      <c r="B3" s="6" t="s">
        <v>534</v>
      </c>
      <c r="C3" s="7" t="s">
        <v>535</v>
      </c>
      <c r="D3" s="8" t="s">
        <v>536</v>
      </c>
      <c r="E3" s="18">
        <v>1</v>
      </c>
      <c r="F3" s="10" t="s">
        <v>55</v>
      </c>
      <c r="G3" s="8" t="s">
        <v>537</v>
      </c>
      <c r="H3" s="8"/>
    </row>
    <row x14ac:dyDescent="0.25" r="4" customHeight="1" ht="30">
      <c r="A4" s="11" t="s">
        <v>533</v>
      </c>
      <c r="B4" s="11" t="s">
        <v>534</v>
      </c>
      <c r="C4" s="12" t="s">
        <v>538</v>
      </c>
      <c r="D4" s="13" t="s">
        <v>539</v>
      </c>
      <c r="E4" s="9">
        <v>2</v>
      </c>
      <c r="F4" s="10" t="s">
        <v>55</v>
      </c>
      <c r="G4" s="13" t="s">
        <v>540</v>
      </c>
      <c r="H4" s="13"/>
    </row>
    <row x14ac:dyDescent="0.25" r="5" customHeight="1" ht="30">
      <c r="A5" s="6" t="s">
        <v>533</v>
      </c>
      <c r="B5" s="6" t="s">
        <v>534</v>
      </c>
      <c r="C5" s="7" t="s">
        <v>541</v>
      </c>
      <c r="D5" s="8" t="s">
        <v>542</v>
      </c>
      <c r="E5" s="14">
        <v>3</v>
      </c>
      <c r="F5" s="10" t="s">
        <v>12</v>
      </c>
      <c r="G5" s="8" t="s">
        <v>543</v>
      </c>
      <c r="H5" s="8"/>
    </row>
    <row x14ac:dyDescent="0.25" r="6" customHeight="1" ht="30">
      <c r="A6" s="11" t="s">
        <v>533</v>
      </c>
      <c r="B6" s="11" t="s">
        <v>534</v>
      </c>
      <c r="C6" s="12" t="s">
        <v>544</v>
      </c>
      <c r="D6" s="13" t="s">
        <v>545</v>
      </c>
      <c r="E6" s="14">
        <v>3</v>
      </c>
      <c r="F6" s="10" t="s">
        <v>12</v>
      </c>
      <c r="G6" s="13" t="s">
        <v>546</v>
      </c>
      <c r="H6" s="13"/>
    </row>
    <row x14ac:dyDescent="0.25" r="7" customHeight="1" ht="18">
      <c r="A7" s="4" t="s">
        <v>547</v>
      </c>
      <c r="B7" s="4" t="s">
        <v>548</v>
      </c>
      <c r="C7" s="4"/>
      <c r="D7" s="4"/>
      <c r="E7" s="5"/>
      <c r="F7" s="4"/>
      <c r="G7" s="4"/>
      <c r="H7" s="4"/>
    </row>
    <row x14ac:dyDescent="0.25" r="8" customHeight="1" ht="30">
      <c r="A8" s="6" t="s">
        <v>547</v>
      </c>
      <c r="B8" s="6" t="s">
        <v>548</v>
      </c>
      <c r="C8" s="7" t="s">
        <v>549</v>
      </c>
      <c r="D8" s="8" t="s">
        <v>550</v>
      </c>
      <c r="E8" s="18">
        <v>1</v>
      </c>
      <c r="F8" s="10" t="s">
        <v>55</v>
      </c>
      <c r="G8" s="8" t="s">
        <v>551</v>
      </c>
      <c r="H8" s="8"/>
    </row>
    <row x14ac:dyDescent="0.25" r="9" customHeight="1" ht="30">
      <c r="A9" s="11" t="s">
        <v>547</v>
      </c>
      <c r="B9" s="11" t="s">
        <v>548</v>
      </c>
      <c r="C9" s="12" t="s">
        <v>552</v>
      </c>
      <c r="D9" s="13" t="s">
        <v>553</v>
      </c>
      <c r="E9" s="18">
        <v>1</v>
      </c>
      <c r="F9" s="10" t="s">
        <v>55</v>
      </c>
      <c r="G9" s="13" t="s">
        <v>554</v>
      </c>
      <c r="H9" s="13"/>
    </row>
    <row x14ac:dyDescent="0.25" r="10" customHeight="1" ht="30">
      <c r="A10" s="6" t="s">
        <v>547</v>
      </c>
      <c r="B10" s="6" t="s">
        <v>548</v>
      </c>
      <c r="C10" s="7" t="s">
        <v>555</v>
      </c>
      <c r="D10" s="8" t="s">
        <v>556</v>
      </c>
      <c r="E10" s="9">
        <v>2</v>
      </c>
      <c r="F10" s="10" t="s">
        <v>55</v>
      </c>
      <c r="G10" s="8" t="s">
        <v>557</v>
      </c>
      <c r="H10" s="8"/>
    </row>
    <row x14ac:dyDescent="0.25" r="11" customHeight="1" ht="30">
      <c r="A11" s="11" t="s">
        <v>547</v>
      </c>
      <c r="B11" s="11" t="s">
        <v>548</v>
      </c>
      <c r="C11" s="12" t="s">
        <v>558</v>
      </c>
      <c r="D11" s="13" t="s">
        <v>559</v>
      </c>
      <c r="E11" s="14">
        <v>3</v>
      </c>
      <c r="F11" s="10" t="s">
        <v>12</v>
      </c>
      <c r="G11" s="13" t="s">
        <v>560</v>
      </c>
      <c r="H11" s="13"/>
    </row>
    <row x14ac:dyDescent="0.25" r="12" customHeight="1" ht="18">
      <c r="A12" s="4" t="s">
        <v>561</v>
      </c>
      <c r="B12" s="4" t="s">
        <v>562</v>
      </c>
      <c r="C12" s="4"/>
      <c r="D12" s="4"/>
      <c r="E12" s="5"/>
      <c r="F12" s="4"/>
      <c r="G12" s="4"/>
      <c r="H12" s="4"/>
    </row>
    <row x14ac:dyDescent="0.25" r="13" customHeight="1" ht="30">
      <c r="A13" s="6" t="s">
        <v>561</v>
      </c>
      <c r="B13" s="6" t="s">
        <v>562</v>
      </c>
      <c r="C13" s="7" t="s">
        <v>563</v>
      </c>
      <c r="D13" s="8" t="s">
        <v>564</v>
      </c>
      <c r="E13" s="18">
        <v>1</v>
      </c>
      <c r="F13" s="10" t="s">
        <v>126</v>
      </c>
      <c r="G13" s="8"/>
      <c r="H13" s="8"/>
    </row>
    <row x14ac:dyDescent="0.25" r="14" customHeight="1" ht="30">
      <c r="A14" s="11" t="s">
        <v>561</v>
      </c>
      <c r="B14" s="11" t="s">
        <v>562</v>
      </c>
      <c r="C14" s="12" t="s">
        <v>565</v>
      </c>
      <c r="D14" s="13" t="s">
        <v>566</v>
      </c>
      <c r="E14" s="14">
        <v>3</v>
      </c>
      <c r="F14" s="10" t="s">
        <v>126</v>
      </c>
      <c r="G14" s="13"/>
      <c r="H14" s="13"/>
    </row>
    <row x14ac:dyDescent="0.25" r="15" customHeight="1" ht="30">
      <c r="A15" s="6" t="s">
        <v>561</v>
      </c>
      <c r="B15" s="6" t="s">
        <v>562</v>
      </c>
      <c r="C15" s="7" t="s">
        <v>567</v>
      </c>
      <c r="D15" s="8" t="s">
        <v>568</v>
      </c>
      <c r="E15" s="14">
        <v>3</v>
      </c>
      <c r="F15" s="10" t="s">
        <v>12</v>
      </c>
      <c r="G15" s="8" t="s">
        <v>569</v>
      </c>
      <c r="H15" s="8"/>
    </row>
    <row x14ac:dyDescent="0.25" r="16" customHeight="1" ht="18">
      <c r="A16" s="4" t="s">
        <v>570</v>
      </c>
      <c r="B16" s="4" t="s">
        <v>571</v>
      </c>
      <c r="C16" s="4"/>
      <c r="D16" s="4"/>
      <c r="E16" s="5"/>
      <c r="F16" s="4"/>
      <c r="G16" s="4"/>
      <c r="H16" s="4"/>
    </row>
    <row x14ac:dyDescent="0.25" r="17" customHeight="1" ht="30">
      <c r="A17" s="6" t="s">
        <v>570</v>
      </c>
      <c r="B17" s="6" t="s">
        <v>571</v>
      </c>
      <c r="C17" s="7" t="s">
        <v>572</v>
      </c>
      <c r="D17" s="8" t="s">
        <v>573</v>
      </c>
      <c r="E17" s="9">
        <v>2</v>
      </c>
      <c r="F17" s="10" t="s">
        <v>12</v>
      </c>
      <c r="G17" s="8" t="s">
        <v>574</v>
      </c>
      <c r="H17" s="8"/>
    </row>
    <row x14ac:dyDescent="0.25" r="18" customHeight="1" ht="30">
      <c r="A18" s="11" t="s">
        <v>570</v>
      </c>
      <c r="B18" s="11" t="s">
        <v>571</v>
      </c>
      <c r="C18" s="12" t="s">
        <v>575</v>
      </c>
      <c r="D18" s="13" t="s">
        <v>576</v>
      </c>
      <c r="E18" s="14">
        <v>3</v>
      </c>
      <c r="F18" s="10" t="s">
        <v>126</v>
      </c>
      <c r="G18" s="13"/>
      <c r="H18"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508</v>
      </c>
      <c r="B2" s="4" t="s">
        <v>509</v>
      </c>
      <c r="C2" s="4"/>
      <c r="D2" s="4"/>
      <c r="E2" s="5"/>
      <c r="F2" s="4"/>
      <c r="G2" s="4"/>
      <c r="H2" s="4"/>
    </row>
    <row x14ac:dyDescent="0.25" r="3" customHeight="1" ht="18.75">
      <c r="A3" s="6" t="s">
        <v>508</v>
      </c>
      <c r="B3" s="6" t="s">
        <v>509</v>
      </c>
      <c r="C3" s="7" t="s">
        <v>510</v>
      </c>
      <c r="D3" s="8" t="s">
        <v>511</v>
      </c>
      <c r="E3" s="18">
        <v>1</v>
      </c>
      <c r="F3" s="10" t="s">
        <v>55</v>
      </c>
      <c r="G3" s="8" t="s">
        <v>512</v>
      </c>
      <c r="H3" s="8"/>
    </row>
    <row x14ac:dyDescent="0.25" r="4" customHeight="1" ht="18.75">
      <c r="A4" s="11" t="s">
        <v>508</v>
      </c>
      <c r="B4" s="11" t="s">
        <v>509</v>
      </c>
      <c r="C4" s="12" t="s">
        <v>513</v>
      </c>
      <c r="D4" s="13" t="s">
        <v>514</v>
      </c>
      <c r="E4" s="18">
        <v>1</v>
      </c>
      <c r="F4" s="10" t="s">
        <v>55</v>
      </c>
      <c r="G4" s="13" t="s">
        <v>515</v>
      </c>
      <c r="H4" s="13"/>
    </row>
    <row x14ac:dyDescent="0.25" r="5" customHeight="1" ht="18.75">
      <c r="A5" s="6" t="s">
        <v>508</v>
      </c>
      <c r="B5" s="6" t="s">
        <v>509</v>
      </c>
      <c r="C5" s="7" t="s">
        <v>516</v>
      </c>
      <c r="D5" s="8" t="s">
        <v>517</v>
      </c>
      <c r="E5" s="18">
        <v>1</v>
      </c>
      <c r="F5" s="10" t="s">
        <v>55</v>
      </c>
      <c r="G5" s="8" t="s">
        <v>518</v>
      </c>
      <c r="H5" s="8"/>
    </row>
    <row x14ac:dyDescent="0.25" r="6" customHeight="1" ht="18">
      <c r="A6" s="4" t="s">
        <v>519</v>
      </c>
      <c r="B6" s="4" t="s">
        <v>520</v>
      </c>
      <c r="C6" s="4"/>
      <c r="D6" s="4"/>
      <c r="E6" s="5"/>
      <c r="F6" s="4"/>
      <c r="G6" s="4"/>
      <c r="H6" s="4"/>
    </row>
    <row x14ac:dyDescent="0.25" r="7" customHeight="1" ht="18.75">
      <c r="A7" s="6" t="s">
        <v>519</v>
      </c>
      <c r="B7" s="6" t="s">
        <v>520</v>
      </c>
      <c r="C7" s="7" t="s">
        <v>521</v>
      </c>
      <c r="D7" s="8" t="s">
        <v>522</v>
      </c>
      <c r="E7" s="18">
        <v>1</v>
      </c>
      <c r="F7" s="10" t="s">
        <v>55</v>
      </c>
      <c r="G7" s="8" t="s">
        <v>523</v>
      </c>
      <c r="H7" s="8"/>
    </row>
    <row x14ac:dyDescent="0.25" r="8" customHeight="1" ht="18.75">
      <c r="A8" s="11" t="s">
        <v>519</v>
      </c>
      <c r="B8" s="11" t="s">
        <v>520</v>
      </c>
      <c r="C8" s="12" t="s">
        <v>524</v>
      </c>
      <c r="D8" s="13" t="s">
        <v>525</v>
      </c>
      <c r="E8" s="9">
        <v>2</v>
      </c>
      <c r="F8" s="10" t="s">
        <v>55</v>
      </c>
      <c r="G8" s="13" t="s">
        <v>526</v>
      </c>
      <c r="H8" s="13"/>
    </row>
    <row x14ac:dyDescent="0.25" r="9" customHeight="1" ht="18.75">
      <c r="A9" s="6" t="s">
        <v>519</v>
      </c>
      <c r="B9" s="6" t="s">
        <v>520</v>
      </c>
      <c r="C9" s="7" t="s">
        <v>527</v>
      </c>
      <c r="D9" s="8" t="s">
        <v>528</v>
      </c>
      <c r="E9" s="9">
        <v>2</v>
      </c>
      <c r="F9" s="10" t="s">
        <v>55</v>
      </c>
      <c r="G9" s="8" t="s">
        <v>529</v>
      </c>
      <c r="H9" s="8"/>
    </row>
    <row x14ac:dyDescent="0.25" r="10" customHeight="1" ht="18.75">
      <c r="A10" s="11" t="s">
        <v>519</v>
      </c>
      <c r="B10" s="11" t="s">
        <v>520</v>
      </c>
      <c r="C10" s="12" t="s">
        <v>530</v>
      </c>
      <c r="D10" s="13" t="s">
        <v>531</v>
      </c>
      <c r="E10" s="9">
        <v>2</v>
      </c>
      <c r="F10" s="10" t="s">
        <v>55</v>
      </c>
      <c r="G10" s="13" t="s">
        <v>532</v>
      </c>
      <c r="H10"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44"/>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387</v>
      </c>
      <c r="B2" s="4" t="s">
        <v>388</v>
      </c>
      <c r="C2" s="4"/>
      <c r="D2" s="4"/>
      <c r="E2" s="5"/>
      <c r="F2" s="4"/>
      <c r="G2" s="4"/>
      <c r="H2" s="4"/>
    </row>
    <row x14ac:dyDescent="0.25" r="3" customHeight="1" ht="18.75">
      <c r="A3" s="6" t="s">
        <v>387</v>
      </c>
      <c r="B3" s="6" t="s">
        <v>388</v>
      </c>
      <c r="C3" s="7" t="s">
        <v>389</v>
      </c>
      <c r="D3" s="8" t="s">
        <v>390</v>
      </c>
      <c r="E3" s="9">
        <v>2</v>
      </c>
      <c r="F3" s="10" t="s">
        <v>12</v>
      </c>
      <c r="G3" s="8" t="s">
        <v>391</v>
      </c>
      <c r="H3" s="8"/>
    </row>
    <row x14ac:dyDescent="0.25" r="4" customHeight="1" ht="18.75">
      <c r="A4" s="11" t="s">
        <v>387</v>
      </c>
      <c r="B4" s="11" t="s">
        <v>388</v>
      </c>
      <c r="C4" s="12" t="s">
        <v>392</v>
      </c>
      <c r="D4" s="13" t="s">
        <v>393</v>
      </c>
      <c r="E4" s="9">
        <v>2</v>
      </c>
      <c r="F4" s="10" t="s">
        <v>12</v>
      </c>
      <c r="G4" s="13" t="s">
        <v>394</v>
      </c>
      <c r="H4" s="13"/>
    </row>
    <row x14ac:dyDescent="0.25" r="5" customHeight="1" ht="18">
      <c r="A5" s="4" t="s">
        <v>395</v>
      </c>
      <c r="B5" s="4" t="s">
        <v>396</v>
      </c>
      <c r="C5" s="4"/>
      <c r="D5" s="4"/>
      <c r="E5" s="5"/>
      <c r="F5" s="4"/>
      <c r="G5" s="4"/>
      <c r="H5" s="4"/>
    </row>
    <row x14ac:dyDescent="0.25" r="6" customHeight="1" ht="18.75">
      <c r="A6" s="6" t="s">
        <v>395</v>
      </c>
      <c r="B6" s="6" t="s">
        <v>396</v>
      </c>
      <c r="C6" s="7" t="s">
        <v>397</v>
      </c>
      <c r="D6" s="8" t="s">
        <v>398</v>
      </c>
      <c r="E6" s="9">
        <v>2</v>
      </c>
      <c r="F6" s="10" t="s">
        <v>12</v>
      </c>
      <c r="G6" s="8" t="s">
        <v>399</v>
      </c>
      <c r="H6" s="8"/>
    </row>
    <row x14ac:dyDescent="0.25" r="7" customHeight="1" ht="18.75">
      <c r="A7" s="11" t="s">
        <v>395</v>
      </c>
      <c r="B7" s="11" t="s">
        <v>396</v>
      </c>
      <c r="C7" s="12" t="s">
        <v>400</v>
      </c>
      <c r="D7" s="13" t="s">
        <v>401</v>
      </c>
      <c r="E7" s="9">
        <v>2</v>
      </c>
      <c r="F7" s="10" t="s">
        <v>12</v>
      </c>
      <c r="G7" s="13" t="s">
        <v>402</v>
      </c>
      <c r="H7" s="13"/>
    </row>
    <row x14ac:dyDescent="0.25" r="8" customHeight="1" ht="18.75">
      <c r="A8" s="6" t="s">
        <v>395</v>
      </c>
      <c r="B8" s="6" t="s">
        <v>396</v>
      </c>
      <c r="C8" s="7" t="s">
        <v>403</v>
      </c>
      <c r="D8" s="8" t="s">
        <v>404</v>
      </c>
      <c r="E8" s="14">
        <v>3</v>
      </c>
      <c r="F8" s="10" t="s">
        <v>12</v>
      </c>
      <c r="G8" s="8" t="s">
        <v>405</v>
      </c>
      <c r="H8" s="8"/>
    </row>
    <row x14ac:dyDescent="0.25" r="9" customHeight="1" ht="18">
      <c r="A9" s="4" t="s">
        <v>406</v>
      </c>
      <c r="B9" s="4" t="s">
        <v>407</v>
      </c>
      <c r="C9" s="4"/>
      <c r="D9" s="4"/>
      <c r="E9" s="5"/>
      <c r="F9" s="4"/>
      <c r="G9" s="4"/>
      <c r="H9" s="4"/>
    </row>
    <row x14ac:dyDescent="0.25" r="10" customHeight="1" ht="18.75">
      <c r="A10" s="6" t="s">
        <v>406</v>
      </c>
      <c r="B10" s="6" t="s">
        <v>407</v>
      </c>
      <c r="C10" s="7" t="s">
        <v>408</v>
      </c>
      <c r="D10" s="8" t="s">
        <v>409</v>
      </c>
      <c r="E10" s="9">
        <v>2</v>
      </c>
      <c r="F10" s="10" t="s">
        <v>55</v>
      </c>
      <c r="G10" s="8" t="s">
        <v>410</v>
      </c>
      <c r="H10" s="8"/>
    </row>
    <row x14ac:dyDescent="0.25" r="11" customHeight="1" ht="18.75">
      <c r="A11" s="11" t="s">
        <v>406</v>
      </c>
      <c r="B11" s="11" t="s">
        <v>407</v>
      </c>
      <c r="C11" s="12" t="s">
        <v>411</v>
      </c>
      <c r="D11" s="13" t="s">
        <v>412</v>
      </c>
      <c r="E11" s="9">
        <v>2</v>
      </c>
      <c r="F11" s="10" t="s">
        <v>55</v>
      </c>
      <c r="G11" s="13" t="s">
        <v>413</v>
      </c>
      <c r="H11" s="13"/>
    </row>
    <row x14ac:dyDescent="0.25" r="12" customHeight="1" ht="18.75">
      <c r="A12" s="6" t="s">
        <v>406</v>
      </c>
      <c r="B12" s="6" t="s">
        <v>407</v>
      </c>
      <c r="C12" s="7" t="s">
        <v>414</v>
      </c>
      <c r="D12" s="8" t="s">
        <v>415</v>
      </c>
      <c r="E12" s="9">
        <v>2</v>
      </c>
      <c r="F12" s="10" t="s">
        <v>55</v>
      </c>
      <c r="G12" s="8" t="s">
        <v>416</v>
      </c>
      <c r="H12" s="8"/>
    </row>
    <row x14ac:dyDescent="0.25" r="13" customHeight="1" ht="73.2">
      <c r="A13" s="11" t="s">
        <v>406</v>
      </c>
      <c r="B13" s="11" t="s">
        <v>407</v>
      </c>
      <c r="C13" s="12" t="s">
        <v>417</v>
      </c>
      <c r="D13" s="13" t="s">
        <v>418</v>
      </c>
      <c r="E13" s="9">
        <v>2</v>
      </c>
      <c r="F13" s="10" t="s">
        <v>12</v>
      </c>
      <c r="G13" s="13" t="s">
        <v>419</v>
      </c>
      <c r="H13" s="13"/>
    </row>
    <row x14ac:dyDescent="0.25" r="14" customHeight="1" ht="18.75">
      <c r="A14" s="6" t="s">
        <v>406</v>
      </c>
      <c r="B14" s="6" t="s">
        <v>407</v>
      </c>
      <c r="C14" s="7" t="s">
        <v>420</v>
      </c>
      <c r="D14" s="8" t="s">
        <v>421</v>
      </c>
      <c r="E14" s="14">
        <v>3</v>
      </c>
      <c r="F14" s="10" t="s">
        <v>12</v>
      </c>
      <c r="G14" s="8" t="s">
        <v>422</v>
      </c>
      <c r="H14" s="8"/>
    </row>
    <row x14ac:dyDescent="0.25" r="15" customHeight="1" ht="18">
      <c r="A15" s="4" t="s">
        <v>423</v>
      </c>
      <c r="B15" s="4" t="s">
        <v>424</v>
      </c>
      <c r="C15" s="4"/>
      <c r="D15" s="4"/>
      <c r="E15" s="5"/>
      <c r="F15" s="4"/>
      <c r="G15" s="4"/>
      <c r="H15" s="4"/>
    </row>
    <row x14ac:dyDescent="0.25" r="16" customHeight="1" ht="30">
      <c r="A16" s="6" t="s">
        <v>423</v>
      </c>
      <c r="B16" s="6" t="s">
        <v>424</v>
      </c>
      <c r="C16" s="7" t="s">
        <v>425</v>
      </c>
      <c r="D16" s="8" t="s">
        <v>426</v>
      </c>
      <c r="E16" s="18">
        <v>1</v>
      </c>
      <c r="F16" s="10" t="s">
        <v>12</v>
      </c>
      <c r="G16" s="8" t="s">
        <v>427</v>
      </c>
      <c r="H16" s="8"/>
    </row>
    <row x14ac:dyDescent="0.25" r="17" customHeight="1" ht="18.75">
      <c r="A17" s="11" t="s">
        <v>423</v>
      </c>
      <c r="B17" s="11" t="s">
        <v>424</v>
      </c>
      <c r="C17" s="12" t="s">
        <v>428</v>
      </c>
      <c r="D17" s="13" t="s">
        <v>429</v>
      </c>
      <c r="E17" s="18">
        <v>1</v>
      </c>
      <c r="F17" s="10" t="s">
        <v>12</v>
      </c>
      <c r="G17" s="13" t="s">
        <v>430</v>
      </c>
      <c r="H17" s="13"/>
    </row>
    <row x14ac:dyDescent="0.25" r="18" customHeight="1" ht="18.75">
      <c r="A18" s="6" t="s">
        <v>423</v>
      </c>
      <c r="B18" s="6" t="s">
        <v>424</v>
      </c>
      <c r="C18" s="7" t="s">
        <v>431</v>
      </c>
      <c r="D18" s="8" t="s">
        <v>432</v>
      </c>
      <c r="E18" s="18">
        <v>1</v>
      </c>
      <c r="F18" s="10" t="s">
        <v>12</v>
      </c>
      <c r="G18" s="8" t="s">
        <v>433</v>
      </c>
      <c r="H18" s="8"/>
    </row>
    <row x14ac:dyDescent="0.25" r="19" customHeight="1" ht="18.75">
      <c r="A19" s="11" t="s">
        <v>423</v>
      </c>
      <c r="B19" s="11" t="s">
        <v>424</v>
      </c>
      <c r="C19" s="12" t="s">
        <v>434</v>
      </c>
      <c r="D19" s="13" t="s">
        <v>435</v>
      </c>
      <c r="E19" s="18">
        <v>1</v>
      </c>
      <c r="F19" s="10" t="s">
        <v>12</v>
      </c>
      <c r="G19" s="13" t="s">
        <v>436</v>
      </c>
      <c r="H19" s="13"/>
    </row>
    <row x14ac:dyDescent="0.25" r="20" customHeight="1" ht="18.75">
      <c r="A20" s="6" t="s">
        <v>423</v>
      </c>
      <c r="B20" s="6" t="s">
        <v>424</v>
      </c>
      <c r="C20" s="7" t="s">
        <v>437</v>
      </c>
      <c r="D20" s="8" t="s">
        <v>438</v>
      </c>
      <c r="E20" s="18">
        <v>1</v>
      </c>
      <c r="F20" s="10" t="s">
        <v>12</v>
      </c>
      <c r="G20" s="8" t="s">
        <v>439</v>
      </c>
      <c r="H20" s="8"/>
    </row>
    <row x14ac:dyDescent="0.25" r="21" customHeight="1" ht="18.75">
      <c r="A21" s="11" t="s">
        <v>423</v>
      </c>
      <c r="B21" s="11" t="s">
        <v>424</v>
      </c>
      <c r="C21" s="12" t="s">
        <v>440</v>
      </c>
      <c r="D21" s="13" t="s">
        <v>441</v>
      </c>
      <c r="E21" s="9">
        <v>2</v>
      </c>
      <c r="F21" s="10" t="s">
        <v>12</v>
      </c>
      <c r="G21" s="13" t="s">
        <v>442</v>
      </c>
      <c r="H21" s="13"/>
    </row>
    <row x14ac:dyDescent="0.25" r="22" customHeight="1" ht="18.75">
      <c r="A22" s="6" t="s">
        <v>423</v>
      </c>
      <c r="B22" s="6" t="s">
        <v>424</v>
      </c>
      <c r="C22" s="7" t="s">
        <v>443</v>
      </c>
      <c r="D22" s="8" t="s">
        <v>444</v>
      </c>
      <c r="E22" s="9">
        <v>2</v>
      </c>
      <c r="F22" s="10" t="s">
        <v>12</v>
      </c>
      <c r="G22" s="8" t="s">
        <v>445</v>
      </c>
      <c r="H22" s="8"/>
    </row>
    <row x14ac:dyDescent="0.25" r="23" customHeight="1" ht="73.95">
      <c r="A23" s="11" t="s">
        <v>423</v>
      </c>
      <c r="B23" s="11" t="s">
        <v>424</v>
      </c>
      <c r="C23" s="12" t="s">
        <v>446</v>
      </c>
      <c r="D23" s="13" t="s">
        <v>447</v>
      </c>
      <c r="E23" s="9">
        <v>2</v>
      </c>
      <c r="F23" s="10" t="s">
        <v>126</v>
      </c>
      <c r="G23" s="13" t="s">
        <v>448</v>
      </c>
      <c r="H23" s="13"/>
    </row>
    <row x14ac:dyDescent="0.25" r="24" customHeight="1" ht="18.75">
      <c r="A24" s="6" t="s">
        <v>423</v>
      </c>
      <c r="B24" s="6" t="s">
        <v>424</v>
      </c>
      <c r="C24" s="7" t="s">
        <v>449</v>
      </c>
      <c r="D24" s="8" t="s">
        <v>450</v>
      </c>
      <c r="E24" s="9">
        <v>2</v>
      </c>
      <c r="F24" s="10" t="s">
        <v>126</v>
      </c>
      <c r="G24" s="8" t="s">
        <v>451</v>
      </c>
      <c r="H24" s="8"/>
    </row>
    <row x14ac:dyDescent="0.25" r="25" customHeight="1" ht="65.7">
      <c r="A25" s="11" t="s">
        <v>423</v>
      </c>
      <c r="B25" s="11" t="s">
        <v>424</v>
      </c>
      <c r="C25" s="12" t="s">
        <v>452</v>
      </c>
      <c r="D25" s="13" t="s">
        <v>453</v>
      </c>
      <c r="E25" s="9">
        <v>2</v>
      </c>
      <c r="F25" s="10" t="s">
        <v>12</v>
      </c>
      <c r="G25" s="13" t="s">
        <v>454</v>
      </c>
      <c r="H25" s="13"/>
    </row>
    <row x14ac:dyDescent="0.25" r="26" customHeight="1" ht="18.75">
      <c r="A26" s="6" t="s">
        <v>423</v>
      </c>
      <c r="B26" s="6" t="s">
        <v>424</v>
      </c>
      <c r="C26" s="7" t="s">
        <v>455</v>
      </c>
      <c r="D26" s="8" t="s">
        <v>456</v>
      </c>
      <c r="E26" s="9">
        <v>2</v>
      </c>
      <c r="F26" s="10" t="s">
        <v>12</v>
      </c>
      <c r="G26" s="8" t="s">
        <v>457</v>
      </c>
      <c r="H26" s="8"/>
    </row>
    <row x14ac:dyDescent="0.25" r="27" customHeight="1" ht="18.75">
      <c r="A27" s="11" t="s">
        <v>423</v>
      </c>
      <c r="B27" s="11" t="s">
        <v>424</v>
      </c>
      <c r="C27" s="12" t="s">
        <v>458</v>
      </c>
      <c r="D27" s="13" t="s">
        <v>459</v>
      </c>
      <c r="E27" s="14">
        <v>3</v>
      </c>
      <c r="F27" s="10" t="s">
        <v>12</v>
      </c>
      <c r="G27" s="13" t="s">
        <v>460</v>
      </c>
      <c r="H27" s="13"/>
    </row>
    <row x14ac:dyDescent="0.25" r="28" customHeight="1" ht="18.75">
      <c r="A28" s="6" t="s">
        <v>423</v>
      </c>
      <c r="B28" s="6" t="s">
        <v>424</v>
      </c>
      <c r="C28" s="7" t="s">
        <v>461</v>
      </c>
      <c r="D28" s="8" t="s">
        <v>462</v>
      </c>
      <c r="E28" s="14">
        <v>3</v>
      </c>
      <c r="F28" s="10" t="s">
        <v>12</v>
      </c>
      <c r="G28" s="8" t="s">
        <v>463</v>
      </c>
      <c r="H28" s="8"/>
    </row>
    <row x14ac:dyDescent="0.25" r="29" customHeight="1" ht="30">
      <c r="A29" s="11" t="s">
        <v>423</v>
      </c>
      <c r="B29" s="11" t="s">
        <v>424</v>
      </c>
      <c r="C29" s="12" t="s">
        <v>464</v>
      </c>
      <c r="D29" s="13" t="s">
        <v>465</v>
      </c>
      <c r="E29" s="14">
        <v>3</v>
      </c>
      <c r="F29" s="10" t="s">
        <v>12</v>
      </c>
      <c r="G29" s="13" t="s">
        <v>466</v>
      </c>
      <c r="H29" s="13"/>
    </row>
    <row x14ac:dyDescent="0.25" r="30" customHeight="1" ht="30">
      <c r="A30" s="6" t="s">
        <v>423</v>
      </c>
      <c r="B30" s="6" t="s">
        <v>424</v>
      </c>
      <c r="C30" s="7" t="s">
        <v>467</v>
      </c>
      <c r="D30" s="8" t="s">
        <v>468</v>
      </c>
      <c r="E30" s="14">
        <v>3</v>
      </c>
      <c r="F30" s="10" t="s">
        <v>12</v>
      </c>
      <c r="G30" s="8" t="s">
        <v>469</v>
      </c>
      <c r="H30" s="8"/>
    </row>
    <row x14ac:dyDescent="0.25" r="31" customHeight="1" ht="30">
      <c r="A31" s="11" t="s">
        <v>423</v>
      </c>
      <c r="B31" s="11" t="s">
        <v>424</v>
      </c>
      <c r="C31" s="12" t="s">
        <v>470</v>
      </c>
      <c r="D31" s="13" t="s">
        <v>471</v>
      </c>
      <c r="E31" s="14">
        <v>3</v>
      </c>
      <c r="F31" s="10" t="s">
        <v>12</v>
      </c>
      <c r="G31" s="13" t="s">
        <v>472</v>
      </c>
      <c r="H31" s="13"/>
    </row>
    <row x14ac:dyDescent="0.25" r="32" customHeight="1" ht="18">
      <c r="A32" s="4" t="s">
        <v>473</v>
      </c>
      <c r="B32" s="4" t="s">
        <v>474</v>
      </c>
      <c r="C32" s="4"/>
      <c r="D32" s="4"/>
      <c r="E32" s="5"/>
      <c r="F32" s="4"/>
      <c r="G32" s="4"/>
      <c r="H32" s="4"/>
    </row>
    <row x14ac:dyDescent="0.25" r="33" customHeight="1" ht="18.75">
      <c r="A33" s="6" t="s">
        <v>473</v>
      </c>
      <c r="B33" s="6" t="s">
        <v>474</v>
      </c>
      <c r="C33" s="7" t="s">
        <v>475</v>
      </c>
      <c r="D33" s="8" t="s">
        <v>476</v>
      </c>
      <c r="E33" s="9">
        <v>2</v>
      </c>
      <c r="F33" s="10" t="s">
        <v>12</v>
      </c>
      <c r="G33" s="8" t="s">
        <v>477</v>
      </c>
      <c r="H33" s="8"/>
    </row>
    <row x14ac:dyDescent="0.25" r="34" customHeight="1" ht="18.75">
      <c r="A34" s="11" t="s">
        <v>473</v>
      </c>
      <c r="B34" s="11" t="s">
        <v>474</v>
      </c>
      <c r="C34" s="12" t="s">
        <v>478</v>
      </c>
      <c r="D34" s="13" t="s">
        <v>479</v>
      </c>
      <c r="E34" s="9">
        <v>2</v>
      </c>
      <c r="F34" s="10" t="s">
        <v>12</v>
      </c>
      <c r="G34" s="13" t="s">
        <v>480</v>
      </c>
      <c r="H34" s="13"/>
    </row>
    <row x14ac:dyDescent="0.25" r="35" customHeight="1" ht="18.75">
      <c r="A35" s="6" t="s">
        <v>473</v>
      </c>
      <c r="B35" s="6" t="s">
        <v>474</v>
      </c>
      <c r="C35" s="7" t="s">
        <v>481</v>
      </c>
      <c r="D35" s="8" t="s">
        <v>482</v>
      </c>
      <c r="E35" s="9">
        <v>2</v>
      </c>
      <c r="F35" s="10" t="s">
        <v>12</v>
      </c>
      <c r="G35" s="8" t="s">
        <v>483</v>
      </c>
      <c r="H35" s="8"/>
    </row>
    <row x14ac:dyDescent="0.25" r="36" customHeight="1" ht="18.75">
      <c r="A36" s="11" t="s">
        <v>473</v>
      </c>
      <c r="B36" s="11" t="s">
        <v>474</v>
      </c>
      <c r="C36" s="12" t="s">
        <v>484</v>
      </c>
      <c r="D36" s="13" t="s">
        <v>485</v>
      </c>
      <c r="E36" s="9">
        <v>2</v>
      </c>
      <c r="F36" s="10" t="s">
        <v>12</v>
      </c>
      <c r="G36" s="13" t="s">
        <v>486</v>
      </c>
      <c r="H36" s="13"/>
    </row>
    <row x14ac:dyDescent="0.25" r="37" customHeight="1" ht="18.75">
      <c r="A37" s="6" t="s">
        <v>473</v>
      </c>
      <c r="B37" s="6" t="s">
        <v>474</v>
      </c>
      <c r="C37" s="7" t="s">
        <v>487</v>
      </c>
      <c r="D37" s="8" t="s">
        <v>488</v>
      </c>
      <c r="E37" s="9">
        <v>2</v>
      </c>
      <c r="F37" s="10" t="s">
        <v>12</v>
      </c>
      <c r="G37" s="8" t="s">
        <v>489</v>
      </c>
      <c r="H37" s="8"/>
    </row>
    <row x14ac:dyDescent="0.25" r="38" customHeight="1" ht="18">
      <c r="A38" s="4" t="s">
        <v>490</v>
      </c>
      <c r="B38" s="4" t="s">
        <v>491</v>
      </c>
      <c r="C38" s="4"/>
      <c r="D38" s="4"/>
      <c r="E38" s="5"/>
      <c r="F38" s="4"/>
      <c r="G38" s="4"/>
      <c r="H38" s="4"/>
    </row>
    <row x14ac:dyDescent="0.25" r="39" customHeight="1" ht="30">
      <c r="A39" s="6" t="s">
        <v>490</v>
      </c>
      <c r="B39" s="6" t="s">
        <v>491</v>
      </c>
      <c r="C39" s="7" t="s">
        <v>492</v>
      </c>
      <c r="D39" s="8" t="s">
        <v>493</v>
      </c>
      <c r="E39" s="9">
        <v>2</v>
      </c>
      <c r="F39" s="10" t="s">
        <v>12</v>
      </c>
      <c r="G39" s="8" t="s">
        <v>494</v>
      </c>
      <c r="H39" s="8"/>
    </row>
    <row x14ac:dyDescent="0.25" r="40" customHeight="1" ht="40.5">
      <c r="A40" s="11" t="s">
        <v>490</v>
      </c>
      <c r="B40" s="11" t="s">
        <v>491</v>
      </c>
      <c r="C40" s="12" t="s">
        <v>495</v>
      </c>
      <c r="D40" s="13" t="s">
        <v>496</v>
      </c>
      <c r="E40" s="9">
        <v>2</v>
      </c>
      <c r="F40" s="10" t="s">
        <v>12</v>
      </c>
      <c r="G40" s="13" t="s">
        <v>494</v>
      </c>
      <c r="H40" s="13"/>
    </row>
    <row x14ac:dyDescent="0.25" r="41" customHeight="1" ht="18">
      <c r="A41" s="4" t="s">
        <v>497</v>
      </c>
      <c r="B41" s="4" t="s">
        <v>498</v>
      </c>
      <c r="C41" s="4"/>
      <c r="D41" s="4"/>
      <c r="E41" s="5"/>
      <c r="F41" s="4"/>
      <c r="G41" s="4"/>
      <c r="H41" s="4"/>
    </row>
    <row x14ac:dyDescent="0.25" r="42" customHeight="1" ht="18.75">
      <c r="A42" s="6" t="s">
        <v>497</v>
      </c>
      <c r="B42" s="6" t="s">
        <v>498</v>
      </c>
      <c r="C42" s="7" t="s">
        <v>499</v>
      </c>
      <c r="D42" s="8" t="s">
        <v>500</v>
      </c>
      <c r="E42" s="9">
        <v>2</v>
      </c>
      <c r="F42" s="10" t="s">
        <v>12</v>
      </c>
      <c r="G42" s="8" t="s">
        <v>501</v>
      </c>
      <c r="H42" s="8"/>
    </row>
    <row x14ac:dyDescent="0.25" r="43" customHeight="1" ht="18.75">
      <c r="A43" s="11" t="s">
        <v>497</v>
      </c>
      <c r="B43" s="11" t="s">
        <v>498</v>
      </c>
      <c r="C43" s="12" t="s">
        <v>502</v>
      </c>
      <c r="D43" s="13" t="s">
        <v>503</v>
      </c>
      <c r="E43" s="9">
        <v>2</v>
      </c>
      <c r="F43" s="10" t="s">
        <v>12</v>
      </c>
      <c r="G43" s="13" t="s">
        <v>504</v>
      </c>
      <c r="H43" s="13"/>
    </row>
    <row x14ac:dyDescent="0.25" r="44" customHeight="1" ht="18.75">
      <c r="A44" s="6" t="s">
        <v>497</v>
      </c>
      <c r="B44" s="6" t="s">
        <v>498</v>
      </c>
      <c r="C44" s="7" t="s">
        <v>505</v>
      </c>
      <c r="D44" s="8" t="s">
        <v>506</v>
      </c>
      <c r="E44" s="9">
        <v>2</v>
      </c>
      <c r="F44" s="10" t="s">
        <v>12</v>
      </c>
      <c r="G44" s="8" t="s">
        <v>507</v>
      </c>
      <c r="H44" s="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32"/>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18.75" customFormat="1" s="1">
      <c r="A1" s="2" t="s">
        <v>0</v>
      </c>
      <c r="B1" s="2" t="s">
        <v>1</v>
      </c>
      <c r="C1" s="2" t="s">
        <v>2</v>
      </c>
      <c r="D1" s="2" t="s">
        <v>3</v>
      </c>
      <c r="E1" s="3" t="s">
        <v>4</v>
      </c>
      <c r="F1" s="2" t="s">
        <v>5</v>
      </c>
      <c r="G1" s="2" t="s">
        <v>6</v>
      </c>
      <c r="H1" s="2" t="s">
        <v>7</v>
      </c>
    </row>
    <row x14ac:dyDescent="0.25" r="2" customHeight="1" ht="18.75">
      <c r="A2" s="4" t="s">
        <v>305</v>
      </c>
      <c r="B2" s="4" t="s">
        <v>306</v>
      </c>
      <c r="C2" s="4"/>
      <c r="D2" s="4"/>
      <c r="E2" s="5"/>
      <c r="F2" s="4"/>
      <c r="G2" s="4"/>
      <c r="H2" s="4"/>
    </row>
    <row x14ac:dyDescent="0.25" r="3" customHeight="1" ht="159">
      <c r="A3" s="6" t="s">
        <v>305</v>
      </c>
      <c r="B3" s="6" t="s">
        <v>306</v>
      </c>
      <c r="C3" s="7" t="s">
        <v>307</v>
      </c>
      <c r="D3" s="8" t="s">
        <v>308</v>
      </c>
      <c r="E3" s="9">
        <v>2</v>
      </c>
      <c r="F3" s="10" t="s">
        <v>55</v>
      </c>
      <c r="G3" s="8" t="s">
        <v>309</v>
      </c>
      <c r="H3" s="8"/>
    </row>
    <row x14ac:dyDescent="0.25" r="4" customHeight="1" ht="159">
      <c r="A4" s="11" t="s">
        <v>305</v>
      </c>
      <c r="B4" s="11" t="s">
        <v>306</v>
      </c>
      <c r="C4" s="12" t="s">
        <v>310</v>
      </c>
      <c r="D4" s="13" t="s">
        <v>311</v>
      </c>
      <c r="E4" s="9">
        <v>2</v>
      </c>
      <c r="F4" s="10" t="s">
        <v>55</v>
      </c>
      <c r="G4" s="8" t="s">
        <v>312</v>
      </c>
      <c r="H4" s="13"/>
    </row>
    <row x14ac:dyDescent="0.25" r="5" customHeight="1" ht="44.25">
      <c r="A5" s="6" t="s">
        <v>305</v>
      </c>
      <c r="B5" s="6" t="s">
        <v>306</v>
      </c>
      <c r="C5" s="7" t="s">
        <v>313</v>
      </c>
      <c r="D5" s="8" t="s">
        <v>314</v>
      </c>
      <c r="E5" s="14">
        <v>3</v>
      </c>
      <c r="F5" s="10" t="s">
        <v>126</v>
      </c>
      <c r="G5" s="13"/>
      <c r="H5" s="8"/>
    </row>
    <row x14ac:dyDescent="0.25" r="6" customHeight="1" ht="57">
      <c r="A6" s="11" t="s">
        <v>305</v>
      </c>
      <c r="B6" s="11" t="s">
        <v>306</v>
      </c>
      <c r="C6" s="12" t="s">
        <v>315</v>
      </c>
      <c r="D6" s="13" t="s">
        <v>316</v>
      </c>
      <c r="E6" s="14">
        <v>3</v>
      </c>
      <c r="F6" s="10" t="s">
        <v>126</v>
      </c>
      <c r="G6" s="8"/>
      <c r="H6" s="13"/>
    </row>
    <row x14ac:dyDescent="0.25" r="7" customHeight="1" ht="18.75">
      <c r="A7" s="4" t="s">
        <v>317</v>
      </c>
      <c r="B7" s="4" t="s">
        <v>318</v>
      </c>
      <c r="C7" s="4"/>
      <c r="D7" s="4"/>
      <c r="E7" s="5"/>
      <c r="F7" s="4"/>
      <c r="G7" s="4"/>
      <c r="H7" s="4"/>
    </row>
    <row x14ac:dyDescent="0.25" r="8" customHeight="1" ht="120.75">
      <c r="A8" s="6" t="s">
        <v>317</v>
      </c>
      <c r="B8" s="6" t="s">
        <v>318</v>
      </c>
      <c r="C8" s="7" t="s">
        <v>319</v>
      </c>
      <c r="D8" s="8" t="s">
        <v>320</v>
      </c>
      <c r="E8" s="9">
        <v>2</v>
      </c>
      <c r="F8" s="10" t="s">
        <v>55</v>
      </c>
      <c r="G8" s="8" t="s">
        <v>321</v>
      </c>
      <c r="H8" s="8"/>
    </row>
    <row x14ac:dyDescent="0.25" r="9" customHeight="1" ht="184.5">
      <c r="A9" s="11" t="s">
        <v>317</v>
      </c>
      <c r="B9" s="11" t="s">
        <v>318</v>
      </c>
      <c r="C9" s="12" t="s">
        <v>322</v>
      </c>
      <c r="D9" s="13" t="s">
        <v>323</v>
      </c>
      <c r="E9" s="9">
        <v>2</v>
      </c>
      <c r="F9" s="10" t="s">
        <v>55</v>
      </c>
      <c r="G9" s="13" t="s">
        <v>324</v>
      </c>
      <c r="H9" s="13"/>
    </row>
    <row x14ac:dyDescent="0.25" r="10" customHeight="1" ht="120.75">
      <c r="A10" s="6" t="s">
        <v>317</v>
      </c>
      <c r="B10" s="6" t="s">
        <v>318</v>
      </c>
      <c r="C10" s="7" t="s">
        <v>325</v>
      </c>
      <c r="D10" s="8" t="s">
        <v>326</v>
      </c>
      <c r="E10" s="9">
        <v>2</v>
      </c>
      <c r="F10" s="10" t="s">
        <v>55</v>
      </c>
      <c r="G10" s="8" t="s">
        <v>327</v>
      </c>
      <c r="H10" s="8"/>
    </row>
    <row x14ac:dyDescent="0.25" r="11" customHeight="1" ht="184.5">
      <c r="A11" s="11" t="s">
        <v>317</v>
      </c>
      <c r="B11" s="11" t="s">
        <v>318</v>
      </c>
      <c r="C11" s="12" t="s">
        <v>328</v>
      </c>
      <c r="D11" s="13" t="s">
        <v>329</v>
      </c>
      <c r="E11" s="14">
        <v>3</v>
      </c>
      <c r="F11" s="10" t="s">
        <v>55</v>
      </c>
      <c r="G11" s="13" t="s">
        <v>330</v>
      </c>
      <c r="H11" s="13"/>
    </row>
    <row x14ac:dyDescent="0.25" r="12" customHeight="1" ht="146.25">
      <c r="A12" s="6" t="s">
        <v>317</v>
      </c>
      <c r="B12" s="6" t="s">
        <v>318</v>
      </c>
      <c r="C12" s="7" t="s">
        <v>331</v>
      </c>
      <c r="D12" s="8" t="s">
        <v>332</v>
      </c>
      <c r="E12" s="14">
        <v>3</v>
      </c>
      <c r="F12" s="10" t="s">
        <v>12</v>
      </c>
      <c r="G12" s="8" t="s">
        <v>333</v>
      </c>
      <c r="H12" s="8"/>
    </row>
    <row x14ac:dyDescent="0.25" r="13" customHeight="1" ht="18.75">
      <c r="A13" s="4" t="s">
        <v>334</v>
      </c>
      <c r="B13" s="4" t="s">
        <v>335</v>
      </c>
      <c r="C13" s="4"/>
      <c r="D13" s="4"/>
      <c r="E13" s="5"/>
      <c r="F13" s="4"/>
      <c r="G13" s="4"/>
      <c r="H13" s="4"/>
    </row>
    <row x14ac:dyDescent="0.25" r="14" customHeight="1" ht="108">
      <c r="A14" s="6" t="s">
        <v>334</v>
      </c>
      <c r="B14" s="6" t="s">
        <v>335</v>
      </c>
      <c r="C14" s="7" t="s">
        <v>336</v>
      </c>
      <c r="D14" s="8" t="s">
        <v>337</v>
      </c>
      <c r="E14" s="18">
        <v>1</v>
      </c>
      <c r="F14" s="10" t="s">
        <v>55</v>
      </c>
      <c r="G14" s="8" t="s">
        <v>338</v>
      </c>
      <c r="H14" s="8"/>
    </row>
    <row x14ac:dyDescent="0.25" r="15" customHeight="1" ht="120.75">
      <c r="A15" s="11" t="s">
        <v>334</v>
      </c>
      <c r="B15" s="11" t="s">
        <v>335</v>
      </c>
      <c r="C15" s="12" t="s">
        <v>339</v>
      </c>
      <c r="D15" s="13" t="s">
        <v>340</v>
      </c>
      <c r="E15" s="18">
        <v>1</v>
      </c>
      <c r="F15" s="10" t="s">
        <v>55</v>
      </c>
      <c r="G15" s="13" t="s">
        <v>341</v>
      </c>
      <c r="H15" s="13"/>
    </row>
    <row x14ac:dyDescent="0.25" r="16" customHeight="1" ht="120.75">
      <c r="A16" s="6" t="s">
        <v>334</v>
      </c>
      <c r="B16" s="6" t="s">
        <v>335</v>
      </c>
      <c r="C16" s="7" t="s">
        <v>342</v>
      </c>
      <c r="D16" s="8" t="s">
        <v>343</v>
      </c>
      <c r="E16" s="9">
        <v>2</v>
      </c>
      <c r="F16" s="10" t="s">
        <v>55</v>
      </c>
      <c r="G16" s="8" t="s">
        <v>344</v>
      </c>
      <c r="H16" s="8"/>
    </row>
    <row x14ac:dyDescent="0.25" r="17" customHeight="1" ht="57">
      <c r="A17" s="11" t="s">
        <v>334</v>
      </c>
      <c r="B17" s="11" t="s">
        <v>335</v>
      </c>
      <c r="C17" s="12" t="s">
        <v>345</v>
      </c>
      <c r="D17" s="13" t="s">
        <v>346</v>
      </c>
      <c r="E17" s="14">
        <v>3</v>
      </c>
      <c r="F17" s="10" t="s">
        <v>126</v>
      </c>
      <c r="G17" s="13"/>
      <c r="H17" s="13"/>
    </row>
    <row x14ac:dyDescent="0.25" r="18" customHeight="1" ht="146.25">
      <c r="A18" s="6" t="s">
        <v>334</v>
      </c>
      <c r="B18" s="6" t="s">
        <v>335</v>
      </c>
      <c r="C18" s="7" t="s">
        <v>347</v>
      </c>
      <c r="D18" s="8" t="s">
        <v>348</v>
      </c>
      <c r="E18" s="14">
        <v>3</v>
      </c>
      <c r="F18" s="10" t="s">
        <v>12</v>
      </c>
      <c r="G18" s="13" t="s">
        <v>349</v>
      </c>
      <c r="H18" s="8"/>
    </row>
    <row x14ac:dyDescent="0.25" r="19" customHeight="1" ht="18.75">
      <c r="A19" s="4" t="s">
        <v>350</v>
      </c>
      <c r="B19" s="4" t="s">
        <v>351</v>
      </c>
      <c r="C19" s="4"/>
      <c r="D19" s="4"/>
      <c r="E19" s="5"/>
      <c r="F19" s="4"/>
      <c r="G19" s="4"/>
      <c r="H19" s="4"/>
    </row>
    <row x14ac:dyDescent="0.25" r="20" customHeight="1" ht="108">
      <c r="A20" s="6" t="s">
        <v>350</v>
      </c>
      <c r="B20" s="6" t="s">
        <v>351</v>
      </c>
      <c r="C20" s="7" t="s">
        <v>352</v>
      </c>
      <c r="D20" s="8" t="s">
        <v>353</v>
      </c>
      <c r="E20" s="18">
        <v>1</v>
      </c>
      <c r="F20" s="10" t="s">
        <v>55</v>
      </c>
      <c r="G20" s="19" t="s">
        <v>354</v>
      </c>
      <c r="H20" s="8"/>
    </row>
    <row x14ac:dyDescent="0.25" r="21" customHeight="1" ht="159">
      <c r="A21" s="11" t="s">
        <v>350</v>
      </c>
      <c r="B21" s="11" t="s">
        <v>351</v>
      </c>
      <c r="C21" s="12" t="s">
        <v>355</v>
      </c>
      <c r="D21" s="13" t="s">
        <v>356</v>
      </c>
      <c r="E21" s="9">
        <v>2</v>
      </c>
      <c r="F21" s="10" t="s">
        <v>55</v>
      </c>
      <c r="G21" s="19" t="s">
        <v>357</v>
      </c>
      <c r="H21" s="13"/>
    </row>
    <row x14ac:dyDescent="0.25" r="22" customHeight="1" ht="132.75">
      <c r="A22" s="6" t="s">
        <v>350</v>
      </c>
      <c r="B22" s="6" t="s">
        <v>351</v>
      </c>
      <c r="C22" s="7" t="s">
        <v>358</v>
      </c>
      <c r="D22" s="8" t="s">
        <v>359</v>
      </c>
      <c r="E22" s="9">
        <v>2</v>
      </c>
      <c r="F22" s="10" t="s">
        <v>55</v>
      </c>
      <c r="G22" s="19" t="s">
        <v>360</v>
      </c>
      <c r="H22" s="8"/>
    </row>
    <row x14ac:dyDescent="0.25" r="23" customHeight="1" ht="133.5">
      <c r="A23" s="11" t="s">
        <v>350</v>
      </c>
      <c r="B23" s="11" t="s">
        <v>351</v>
      </c>
      <c r="C23" s="12" t="s">
        <v>361</v>
      </c>
      <c r="D23" s="13" t="s">
        <v>362</v>
      </c>
      <c r="E23" s="9">
        <v>2</v>
      </c>
      <c r="F23" s="10" t="s">
        <v>55</v>
      </c>
      <c r="G23" s="13" t="s">
        <v>363</v>
      </c>
      <c r="H23" s="13"/>
    </row>
    <row x14ac:dyDescent="0.25" r="24" customHeight="1" ht="18.75">
      <c r="A24" s="4" t="s">
        <v>364</v>
      </c>
      <c r="B24" s="4" t="s">
        <v>365</v>
      </c>
      <c r="C24" s="4"/>
      <c r="D24" s="4"/>
      <c r="E24" s="5"/>
      <c r="F24" s="4"/>
      <c r="G24" s="4"/>
      <c r="H24" s="4"/>
    </row>
    <row x14ac:dyDescent="0.25" r="25" customHeight="1" ht="159">
      <c r="A25" s="6" t="s">
        <v>364</v>
      </c>
      <c r="B25" s="6" t="s">
        <v>365</v>
      </c>
      <c r="C25" s="7" t="s">
        <v>366</v>
      </c>
      <c r="D25" s="8" t="s">
        <v>367</v>
      </c>
      <c r="E25" s="9">
        <v>2</v>
      </c>
      <c r="F25" s="10" t="s">
        <v>55</v>
      </c>
      <c r="G25" s="8" t="s">
        <v>368</v>
      </c>
      <c r="H25" s="8"/>
    </row>
    <row x14ac:dyDescent="0.25" r="26" customHeight="1" ht="171.75">
      <c r="A26" s="11" t="s">
        <v>364</v>
      </c>
      <c r="B26" s="11" t="s">
        <v>365</v>
      </c>
      <c r="C26" s="12" t="s">
        <v>369</v>
      </c>
      <c r="D26" s="13" t="s">
        <v>370</v>
      </c>
      <c r="E26" s="14">
        <v>3</v>
      </c>
      <c r="F26" s="10" t="s">
        <v>55</v>
      </c>
      <c r="G26" s="13" t="s">
        <v>371</v>
      </c>
      <c r="H26" s="13"/>
    </row>
    <row x14ac:dyDescent="0.25" r="27" customHeight="1" ht="18.75">
      <c r="A27" s="4" t="s">
        <v>372</v>
      </c>
      <c r="B27" s="4" t="s">
        <v>373</v>
      </c>
      <c r="C27" s="4"/>
      <c r="D27" s="4"/>
      <c r="E27" s="5"/>
      <c r="F27" s="4"/>
      <c r="G27" s="4"/>
      <c r="H27" s="4"/>
    </row>
    <row x14ac:dyDescent="0.25" r="28" customHeight="1" ht="171.75">
      <c r="A28" s="6" t="s">
        <v>372</v>
      </c>
      <c r="B28" s="6" t="s">
        <v>373</v>
      </c>
      <c r="C28" s="7" t="s">
        <v>374</v>
      </c>
      <c r="D28" s="8" t="s">
        <v>375</v>
      </c>
      <c r="E28" s="9">
        <v>2</v>
      </c>
      <c r="F28" s="10" t="s">
        <v>55</v>
      </c>
      <c r="G28" s="8" t="s">
        <v>376</v>
      </c>
      <c r="H28" s="8"/>
    </row>
    <row x14ac:dyDescent="0.25" r="29" customHeight="1" ht="120.75">
      <c r="A29" s="11" t="s">
        <v>372</v>
      </c>
      <c r="B29" s="11" t="s">
        <v>373</v>
      </c>
      <c r="C29" s="12" t="s">
        <v>377</v>
      </c>
      <c r="D29" s="13" t="s">
        <v>378</v>
      </c>
      <c r="E29" s="14">
        <v>3</v>
      </c>
      <c r="F29" s="10" t="s">
        <v>12</v>
      </c>
      <c r="G29" s="13" t="s">
        <v>379</v>
      </c>
      <c r="H29" s="13"/>
    </row>
    <row x14ac:dyDescent="0.25" r="30" customHeight="1" ht="18.75">
      <c r="A30" s="4" t="s">
        <v>380</v>
      </c>
      <c r="B30" s="4" t="s">
        <v>381</v>
      </c>
      <c r="C30" s="4"/>
      <c r="D30" s="4"/>
      <c r="E30" s="5"/>
      <c r="F30" s="4"/>
      <c r="G30" s="4"/>
      <c r="H30" s="4"/>
    </row>
    <row x14ac:dyDescent="0.25" r="31" customHeight="1" ht="171.75">
      <c r="A31" s="6" t="s">
        <v>380</v>
      </c>
      <c r="B31" s="6" t="s">
        <v>381</v>
      </c>
      <c r="C31" s="7" t="s">
        <v>382</v>
      </c>
      <c r="D31" s="8" t="s">
        <v>383</v>
      </c>
      <c r="E31" s="14">
        <v>3</v>
      </c>
      <c r="F31" s="10" t="s">
        <v>12</v>
      </c>
      <c r="G31" s="8" t="s">
        <v>384</v>
      </c>
      <c r="H31" s="8"/>
    </row>
    <row x14ac:dyDescent="0.25" r="32" customHeight="1" ht="45">
      <c r="A32" s="11" t="s">
        <v>380</v>
      </c>
      <c r="B32" s="11" t="s">
        <v>381</v>
      </c>
      <c r="C32" s="12" t="s">
        <v>385</v>
      </c>
      <c r="D32" s="13" t="s">
        <v>386</v>
      </c>
      <c r="E32" s="14">
        <v>3</v>
      </c>
      <c r="F32" s="10" t="s">
        <v>126</v>
      </c>
      <c r="G32" s="13"/>
      <c r="H32" s="1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273</v>
      </c>
      <c r="B2" s="4" t="s">
        <v>274</v>
      </c>
      <c r="C2" s="4"/>
      <c r="D2" s="4"/>
      <c r="E2" s="5"/>
      <c r="F2" s="4"/>
      <c r="G2" s="4"/>
      <c r="H2" s="4"/>
    </row>
    <row x14ac:dyDescent="0.25" r="3" customHeight="1" ht="18.75">
      <c r="A3" s="6" t="s">
        <v>273</v>
      </c>
      <c r="B3" s="6" t="s">
        <v>274</v>
      </c>
      <c r="C3" s="7" t="s">
        <v>275</v>
      </c>
      <c r="D3" s="8" t="s">
        <v>276</v>
      </c>
      <c r="E3" s="18">
        <v>1</v>
      </c>
      <c r="F3" s="10" t="s">
        <v>55</v>
      </c>
      <c r="G3" s="8" t="s">
        <v>277</v>
      </c>
      <c r="H3" s="8"/>
    </row>
    <row x14ac:dyDescent="0.25" r="4" customHeight="1" ht="18.75">
      <c r="A4" s="11" t="s">
        <v>273</v>
      </c>
      <c r="B4" s="11" t="s">
        <v>274</v>
      </c>
      <c r="C4" s="12" t="s">
        <v>278</v>
      </c>
      <c r="D4" s="13" t="s">
        <v>279</v>
      </c>
      <c r="E4" s="9">
        <v>2</v>
      </c>
      <c r="F4" s="10" t="s">
        <v>126</v>
      </c>
      <c r="G4" s="13"/>
      <c r="H4" s="13"/>
    </row>
    <row x14ac:dyDescent="0.25" r="5" customHeight="1" ht="18.75">
      <c r="A5" s="6" t="s">
        <v>273</v>
      </c>
      <c r="B5" s="6" t="s">
        <v>274</v>
      </c>
      <c r="C5" s="7" t="s">
        <v>280</v>
      </c>
      <c r="D5" s="8" t="s">
        <v>281</v>
      </c>
      <c r="E5" s="9">
        <v>2</v>
      </c>
      <c r="F5" s="10" t="s">
        <v>12</v>
      </c>
      <c r="G5" s="8" t="s">
        <v>282</v>
      </c>
      <c r="H5" s="8"/>
    </row>
    <row x14ac:dyDescent="0.25" r="6" customHeight="1" ht="30">
      <c r="A6" s="11" t="s">
        <v>273</v>
      </c>
      <c r="B6" s="11" t="s">
        <v>274</v>
      </c>
      <c r="C6" s="12" t="s">
        <v>283</v>
      </c>
      <c r="D6" s="13" t="s">
        <v>284</v>
      </c>
      <c r="E6" s="14">
        <v>3</v>
      </c>
      <c r="F6" s="10" t="s">
        <v>126</v>
      </c>
      <c r="G6" s="13"/>
      <c r="H6" s="13"/>
    </row>
    <row x14ac:dyDescent="0.25" r="7" customHeight="1" ht="30">
      <c r="A7" s="6" t="s">
        <v>273</v>
      </c>
      <c r="B7" s="6" t="s">
        <v>274</v>
      </c>
      <c r="C7" s="7" t="s">
        <v>285</v>
      </c>
      <c r="D7" s="8" t="s">
        <v>286</v>
      </c>
      <c r="E7" s="14">
        <v>3</v>
      </c>
      <c r="F7" s="10" t="s">
        <v>126</v>
      </c>
      <c r="G7" s="8"/>
      <c r="H7" s="8"/>
    </row>
    <row x14ac:dyDescent="0.25" r="8" customHeight="1" ht="18">
      <c r="A8" s="4" t="s">
        <v>287</v>
      </c>
      <c r="B8" s="4" t="s">
        <v>288</v>
      </c>
      <c r="C8" s="4"/>
      <c r="D8" s="4"/>
      <c r="E8" s="5"/>
      <c r="F8" s="4"/>
      <c r="G8" s="4"/>
      <c r="H8" s="4"/>
    </row>
    <row x14ac:dyDescent="0.25" r="9" customHeight="1" ht="30">
      <c r="A9" s="6" t="s">
        <v>287</v>
      </c>
      <c r="B9" s="6" t="s">
        <v>288</v>
      </c>
      <c r="C9" s="7" t="s">
        <v>289</v>
      </c>
      <c r="D9" s="8" t="s">
        <v>290</v>
      </c>
      <c r="E9" s="18">
        <v>1</v>
      </c>
      <c r="F9" s="10" t="s">
        <v>126</v>
      </c>
      <c r="G9" s="8"/>
      <c r="H9" s="8"/>
    </row>
    <row x14ac:dyDescent="0.25" r="10" customHeight="1" ht="30">
      <c r="A10" s="11" t="s">
        <v>287</v>
      </c>
      <c r="B10" s="11" t="s">
        <v>288</v>
      </c>
      <c r="C10" s="12" t="s">
        <v>291</v>
      </c>
      <c r="D10" s="13" t="s">
        <v>292</v>
      </c>
      <c r="E10" s="18">
        <v>1</v>
      </c>
      <c r="F10" s="10" t="s">
        <v>126</v>
      </c>
      <c r="G10" s="13"/>
      <c r="H10" s="13"/>
    </row>
    <row x14ac:dyDescent="0.25" r="11" customHeight="1" ht="18">
      <c r="A11" s="4" t="s">
        <v>293</v>
      </c>
      <c r="B11" s="4" t="s">
        <v>294</v>
      </c>
      <c r="C11" s="4"/>
      <c r="D11" s="4"/>
      <c r="E11" s="5"/>
      <c r="F11" s="4"/>
      <c r="G11" s="4"/>
      <c r="H11" s="4"/>
    </row>
    <row x14ac:dyDescent="0.25" r="12" customHeight="1" ht="30">
      <c r="A12" s="6" t="s">
        <v>293</v>
      </c>
      <c r="B12" s="6" t="s">
        <v>294</v>
      </c>
      <c r="C12" s="7" t="s">
        <v>295</v>
      </c>
      <c r="D12" s="8" t="s">
        <v>296</v>
      </c>
      <c r="E12" s="9">
        <v>2</v>
      </c>
      <c r="F12" s="10" t="s">
        <v>126</v>
      </c>
      <c r="G12" s="8"/>
      <c r="H12" s="8"/>
    </row>
    <row x14ac:dyDescent="0.25" r="13" customHeight="1" ht="30">
      <c r="A13" s="11" t="s">
        <v>293</v>
      </c>
      <c r="B13" s="11" t="s">
        <v>294</v>
      </c>
      <c r="C13" s="12" t="s">
        <v>297</v>
      </c>
      <c r="D13" s="13" t="s">
        <v>298</v>
      </c>
      <c r="E13" s="9">
        <v>2</v>
      </c>
      <c r="F13" s="10" t="s">
        <v>126</v>
      </c>
      <c r="G13" s="13"/>
      <c r="H13" s="13"/>
    </row>
    <row x14ac:dyDescent="0.25" r="14" customHeight="1" ht="30">
      <c r="A14" s="6" t="s">
        <v>293</v>
      </c>
      <c r="B14" s="6" t="s">
        <v>294</v>
      </c>
      <c r="C14" s="7" t="s">
        <v>299</v>
      </c>
      <c r="D14" s="8" t="s">
        <v>300</v>
      </c>
      <c r="E14" s="9">
        <v>2</v>
      </c>
      <c r="F14" s="10" t="s">
        <v>126</v>
      </c>
      <c r="G14" s="8"/>
      <c r="H14" s="8"/>
    </row>
    <row x14ac:dyDescent="0.25" r="15" customHeight="1" ht="30">
      <c r="A15" s="11" t="s">
        <v>293</v>
      </c>
      <c r="B15" s="11" t="s">
        <v>294</v>
      </c>
      <c r="C15" s="12" t="s">
        <v>301</v>
      </c>
      <c r="D15" s="13" t="s">
        <v>302</v>
      </c>
      <c r="E15" s="9">
        <v>2</v>
      </c>
      <c r="F15" s="10" t="s">
        <v>126</v>
      </c>
      <c r="G15" s="13"/>
      <c r="H15" s="13"/>
    </row>
    <row x14ac:dyDescent="0.25" r="16" customHeight="1" ht="30">
      <c r="A16" s="6" t="s">
        <v>293</v>
      </c>
      <c r="B16" s="6" t="s">
        <v>294</v>
      </c>
      <c r="C16" s="7" t="s">
        <v>303</v>
      </c>
      <c r="D16" s="8" t="s">
        <v>304</v>
      </c>
      <c r="E16" s="14">
        <v>3</v>
      </c>
      <c r="F16" s="10" t="s">
        <v>126</v>
      </c>
      <c r="G16" s="8"/>
      <c r="H16" s="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2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218</v>
      </c>
      <c r="B2" s="4" t="s">
        <v>219</v>
      </c>
      <c r="C2" s="4"/>
      <c r="D2" s="4"/>
      <c r="E2" s="5"/>
      <c r="F2" s="4"/>
      <c r="G2" s="4"/>
      <c r="H2" s="4"/>
    </row>
    <row x14ac:dyDescent="0.25" r="3" customHeight="1" ht="30">
      <c r="A3" s="6" t="s">
        <v>218</v>
      </c>
      <c r="B3" s="6" t="s">
        <v>219</v>
      </c>
      <c r="C3" s="7" t="s">
        <v>220</v>
      </c>
      <c r="D3" s="8" t="s">
        <v>221</v>
      </c>
      <c r="E3" s="9">
        <v>2</v>
      </c>
      <c r="F3" s="10" t="s">
        <v>55</v>
      </c>
      <c r="G3" s="8" t="s">
        <v>222</v>
      </c>
      <c r="H3" s="8"/>
    </row>
    <row x14ac:dyDescent="0.25" r="4" customHeight="1" ht="30">
      <c r="A4" s="11" t="s">
        <v>218</v>
      </c>
      <c r="B4" s="11" t="s">
        <v>219</v>
      </c>
      <c r="C4" s="12" t="s">
        <v>223</v>
      </c>
      <c r="D4" s="13" t="s">
        <v>224</v>
      </c>
      <c r="E4" s="14">
        <v>3</v>
      </c>
      <c r="F4" s="10" t="s">
        <v>126</v>
      </c>
      <c r="G4" s="13"/>
      <c r="H4" s="13"/>
    </row>
    <row x14ac:dyDescent="0.25" r="5" customHeight="1" ht="30">
      <c r="A5" s="6" t="s">
        <v>218</v>
      </c>
      <c r="B5" s="6" t="s">
        <v>219</v>
      </c>
      <c r="C5" s="7" t="s">
        <v>225</v>
      </c>
      <c r="D5" s="8" t="s">
        <v>226</v>
      </c>
      <c r="E5" s="14">
        <v>3</v>
      </c>
      <c r="F5" s="10" t="s">
        <v>126</v>
      </c>
      <c r="G5" s="8"/>
      <c r="H5" s="8"/>
    </row>
    <row x14ac:dyDescent="0.25" r="6" customHeight="1" ht="30">
      <c r="A6" s="11" t="s">
        <v>218</v>
      </c>
      <c r="B6" s="11" t="s">
        <v>219</v>
      </c>
      <c r="C6" s="12" t="s">
        <v>227</v>
      </c>
      <c r="D6" s="13" t="s">
        <v>228</v>
      </c>
      <c r="E6" s="14">
        <v>3</v>
      </c>
      <c r="F6" s="10" t="s">
        <v>126</v>
      </c>
      <c r="G6" s="13"/>
      <c r="H6" s="13"/>
    </row>
    <row x14ac:dyDescent="0.25" r="7" customHeight="1" ht="18">
      <c r="A7" s="4" t="s">
        <v>229</v>
      </c>
      <c r="B7" s="4" t="s">
        <v>230</v>
      </c>
      <c r="C7" s="4"/>
      <c r="D7" s="4"/>
      <c r="E7" s="5"/>
      <c r="F7" s="4"/>
      <c r="G7" s="4"/>
      <c r="H7" s="4"/>
    </row>
    <row x14ac:dyDescent="0.25" r="8" customHeight="1" ht="30">
      <c r="A8" s="6" t="s">
        <v>229</v>
      </c>
      <c r="B8" s="6" t="s">
        <v>230</v>
      </c>
      <c r="C8" s="7" t="s">
        <v>231</v>
      </c>
      <c r="D8" s="8" t="s">
        <v>232</v>
      </c>
      <c r="E8" s="9">
        <v>2</v>
      </c>
      <c r="F8" s="10" t="s">
        <v>126</v>
      </c>
      <c r="G8" s="8"/>
      <c r="H8" s="8"/>
    </row>
    <row x14ac:dyDescent="0.25" r="9" customHeight="1" ht="30">
      <c r="A9" s="11" t="s">
        <v>229</v>
      </c>
      <c r="B9" s="11" t="s">
        <v>230</v>
      </c>
      <c r="C9" s="12" t="s">
        <v>233</v>
      </c>
      <c r="D9" s="13" t="s">
        <v>234</v>
      </c>
      <c r="E9" s="9">
        <v>2</v>
      </c>
      <c r="F9" s="10" t="s">
        <v>126</v>
      </c>
      <c r="G9" s="13"/>
      <c r="H9" s="13"/>
    </row>
    <row x14ac:dyDescent="0.25" r="10" customHeight="1" ht="30">
      <c r="A10" s="6" t="s">
        <v>229</v>
      </c>
      <c r="B10" s="6" t="s">
        <v>230</v>
      </c>
      <c r="C10" s="7" t="s">
        <v>235</v>
      </c>
      <c r="D10" s="8" t="s">
        <v>236</v>
      </c>
      <c r="E10" s="9">
        <v>2</v>
      </c>
      <c r="F10" s="10" t="s">
        <v>12</v>
      </c>
      <c r="G10" s="8" t="s">
        <v>237</v>
      </c>
      <c r="H10" s="8"/>
    </row>
    <row x14ac:dyDescent="0.25" r="11" customHeight="1" ht="30">
      <c r="A11" s="11" t="s">
        <v>229</v>
      </c>
      <c r="B11" s="11" t="s">
        <v>230</v>
      </c>
      <c r="C11" s="12" t="s">
        <v>238</v>
      </c>
      <c r="D11" s="13" t="s">
        <v>239</v>
      </c>
      <c r="E11" s="9">
        <v>2</v>
      </c>
      <c r="F11" s="10" t="s">
        <v>126</v>
      </c>
      <c r="G11" s="13"/>
      <c r="H11" s="13"/>
    </row>
    <row x14ac:dyDescent="0.25" r="12" customHeight="1" ht="30">
      <c r="A12" s="6" t="s">
        <v>229</v>
      </c>
      <c r="B12" s="6" t="s">
        <v>230</v>
      </c>
      <c r="C12" s="7" t="s">
        <v>240</v>
      </c>
      <c r="D12" s="8" t="s">
        <v>241</v>
      </c>
      <c r="E12" s="9">
        <v>2</v>
      </c>
      <c r="F12" s="10" t="s">
        <v>12</v>
      </c>
      <c r="G12" s="8" t="s">
        <v>242</v>
      </c>
      <c r="H12" s="8"/>
    </row>
    <row x14ac:dyDescent="0.25" r="13" customHeight="1" ht="30">
      <c r="A13" s="11" t="s">
        <v>229</v>
      </c>
      <c r="B13" s="11" t="s">
        <v>230</v>
      </c>
      <c r="C13" s="12" t="s">
        <v>243</v>
      </c>
      <c r="D13" s="13" t="s">
        <v>244</v>
      </c>
      <c r="E13" s="14">
        <v>3</v>
      </c>
      <c r="F13" s="10" t="s">
        <v>126</v>
      </c>
      <c r="G13" s="13"/>
      <c r="H13" s="13"/>
    </row>
    <row x14ac:dyDescent="0.25" r="14" customHeight="1" ht="18">
      <c r="A14" s="4" t="s">
        <v>245</v>
      </c>
      <c r="B14" s="4" t="s">
        <v>246</v>
      </c>
      <c r="C14" s="4"/>
      <c r="D14" s="4"/>
      <c r="E14" s="5"/>
      <c r="F14" s="4"/>
      <c r="G14" s="4"/>
      <c r="H14" s="4"/>
    </row>
    <row x14ac:dyDescent="0.25" r="15" customHeight="1" ht="30">
      <c r="A15" s="6" t="s">
        <v>245</v>
      </c>
      <c r="B15" s="6" t="s">
        <v>246</v>
      </c>
      <c r="C15" s="7" t="s">
        <v>247</v>
      </c>
      <c r="D15" s="8" t="s">
        <v>248</v>
      </c>
      <c r="E15" s="9">
        <v>2</v>
      </c>
      <c r="F15" s="10" t="s">
        <v>126</v>
      </c>
      <c r="G15" s="8"/>
      <c r="H15" s="8"/>
    </row>
    <row x14ac:dyDescent="0.25" r="16" customHeight="1" ht="30">
      <c r="A16" s="11" t="s">
        <v>245</v>
      </c>
      <c r="B16" s="11" t="s">
        <v>246</v>
      </c>
      <c r="C16" s="12" t="s">
        <v>249</v>
      </c>
      <c r="D16" s="13" t="s">
        <v>250</v>
      </c>
      <c r="E16" s="9">
        <v>2</v>
      </c>
      <c r="F16" s="10" t="s">
        <v>126</v>
      </c>
      <c r="G16" s="13"/>
      <c r="H16" s="13"/>
    </row>
    <row x14ac:dyDescent="0.25" r="17" customHeight="1" ht="30">
      <c r="A17" s="6" t="s">
        <v>245</v>
      </c>
      <c r="B17" s="6" t="s">
        <v>246</v>
      </c>
      <c r="C17" s="7" t="s">
        <v>251</v>
      </c>
      <c r="D17" s="8" t="s">
        <v>252</v>
      </c>
      <c r="E17" s="14">
        <v>3</v>
      </c>
      <c r="F17" s="10" t="s">
        <v>126</v>
      </c>
      <c r="G17" s="8"/>
      <c r="H17" s="8"/>
    </row>
    <row x14ac:dyDescent="0.25" r="18" customHeight="1" ht="30">
      <c r="A18" s="11" t="s">
        <v>245</v>
      </c>
      <c r="B18" s="11" t="s">
        <v>246</v>
      </c>
      <c r="C18" s="12" t="s">
        <v>253</v>
      </c>
      <c r="D18" s="13" t="s">
        <v>254</v>
      </c>
      <c r="E18" s="14">
        <v>3</v>
      </c>
      <c r="F18" s="10" t="s">
        <v>126</v>
      </c>
      <c r="G18" s="13"/>
      <c r="H18" s="13"/>
    </row>
    <row x14ac:dyDescent="0.25" r="19" customHeight="1" ht="18">
      <c r="A19" s="4" t="s">
        <v>255</v>
      </c>
      <c r="B19" s="4" t="s">
        <v>256</v>
      </c>
      <c r="C19" s="4"/>
      <c r="D19" s="4"/>
      <c r="E19" s="5"/>
      <c r="F19" s="4"/>
      <c r="G19" s="4"/>
      <c r="H19" s="4"/>
    </row>
    <row x14ac:dyDescent="0.25" r="20" customHeight="1" ht="30">
      <c r="A20" s="6" t="s">
        <v>255</v>
      </c>
      <c r="B20" s="6" t="s">
        <v>256</v>
      </c>
      <c r="C20" s="7" t="s">
        <v>257</v>
      </c>
      <c r="D20" s="8" t="s">
        <v>258</v>
      </c>
      <c r="E20" s="18">
        <v>1</v>
      </c>
      <c r="F20" s="10" t="s">
        <v>126</v>
      </c>
      <c r="G20" s="8"/>
      <c r="H20" s="8"/>
    </row>
    <row x14ac:dyDescent="0.25" r="21" customHeight="1" ht="30">
      <c r="A21" s="11" t="s">
        <v>255</v>
      </c>
      <c r="B21" s="11" t="s">
        <v>256</v>
      </c>
      <c r="C21" s="12" t="s">
        <v>259</v>
      </c>
      <c r="D21" s="13" t="s">
        <v>260</v>
      </c>
      <c r="E21" s="9">
        <v>2</v>
      </c>
      <c r="F21" s="10" t="s">
        <v>126</v>
      </c>
      <c r="G21" s="13"/>
      <c r="H21" s="13"/>
    </row>
    <row x14ac:dyDescent="0.25" r="22" customHeight="1" ht="30">
      <c r="A22" s="6" t="s">
        <v>255</v>
      </c>
      <c r="B22" s="6" t="s">
        <v>256</v>
      </c>
      <c r="C22" s="7" t="s">
        <v>261</v>
      </c>
      <c r="D22" s="8" t="s">
        <v>262</v>
      </c>
      <c r="E22" s="9">
        <v>2</v>
      </c>
      <c r="F22" s="10" t="s">
        <v>12</v>
      </c>
      <c r="G22" s="8" t="s">
        <v>263</v>
      </c>
      <c r="H22" s="8"/>
    </row>
    <row x14ac:dyDescent="0.25" r="23" customHeight="1" ht="30">
      <c r="A23" s="11" t="s">
        <v>255</v>
      </c>
      <c r="B23" s="11" t="s">
        <v>256</v>
      </c>
      <c r="C23" s="12" t="s">
        <v>264</v>
      </c>
      <c r="D23" s="13" t="s">
        <v>265</v>
      </c>
      <c r="E23" s="9">
        <v>2</v>
      </c>
      <c r="F23" s="10" t="s">
        <v>126</v>
      </c>
      <c r="G23" s="13"/>
      <c r="H23" s="13"/>
    </row>
    <row x14ac:dyDescent="0.25" r="24" customHeight="1" ht="30">
      <c r="A24" s="6" t="s">
        <v>255</v>
      </c>
      <c r="B24" s="6" t="s">
        <v>256</v>
      </c>
      <c r="C24" s="7" t="s">
        <v>266</v>
      </c>
      <c r="D24" s="8" t="s">
        <v>267</v>
      </c>
      <c r="E24" s="9">
        <v>2</v>
      </c>
      <c r="F24" s="10" t="s">
        <v>126</v>
      </c>
      <c r="G24" s="8"/>
      <c r="H24" s="8"/>
    </row>
    <row x14ac:dyDescent="0.25" r="25" customHeight="1" ht="30">
      <c r="A25" s="11" t="s">
        <v>255</v>
      </c>
      <c r="B25" s="11" t="s">
        <v>256</v>
      </c>
      <c r="C25" s="12" t="s">
        <v>268</v>
      </c>
      <c r="D25" s="13" t="s">
        <v>269</v>
      </c>
      <c r="E25" s="14">
        <v>3</v>
      </c>
      <c r="F25" s="10" t="s">
        <v>126</v>
      </c>
      <c r="G25" s="13"/>
      <c r="H25" s="13"/>
    </row>
    <row x14ac:dyDescent="0.25" r="26" customHeight="1" ht="30">
      <c r="A26" s="6" t="s">
        <v>255</v>
      </c>
      <c r="B26" s="6" t="s">
        <v>256</v>
      </c>
      <c r="C26" s="7" t="s">
        <v>270</v>
      </c>
      <c r="D26" s="8" t="s">
        <v>271</v>
      </c>
      <c r="E26" s="14">
        <v>3</v>
      </c>
      <c r="F26" s="10" t="s">
        <v>12</v>
      </c>
      <c r="G26" s="8" t="s">
        <v>272</v>
      </c>
      <c r="H26" s="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7"/>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8.57642857142857" customWidth="1" bestFit="1"/>
    <col min="8" max="8" style="15" width="35.005" customWidth="1" bestFit="1"/>
  </cols>
  <sheetData>
    <row x14ac:dyDescent="0.25" r="1" customHeight="1" ht="28.05" customFormat="1" s="1">
      <c r="A1" s="2" t="s">
        <v>0</v>
      </c>
      <c r="B1" s="2" t="s">
        <v>1</v>
      </c>
      <c r="C1" s="2" t="s">
        <v>2</v>
      </c>
      <c r="D1" s="2" t="s">
        <v>3</v>
      </c>
      <c r="E1" s="3" t="s">
        <v>4</v>
      </c>
      <c r="F1" s="2" t="s">
        <v>5</v>
      </c>
      <c r="G1" s="2" t="s">
        <v>6</v>
      </c>
      <c r="H1" s="2" t="s">
        <v>7</v>
      </c>
    </row>
    <row x14ac:dyDescent="0.25" r="2" customHeight="1" ht="18">
      <c r="A2" s="4" t="s">
        <v>179</v>
      </c>
      <c r="B2" s="4" t="s">
        <v>180</v>
      </c>
      <c r="C2" s="4"/>
      <c r="D2" s="4"/>
      <c r="E2" s="5"/>
      <c r="F2" s="4"/>
      <c r="G2" s="4"/>
      <c r="H2" s="4"/>
    </row>
    <row x14ac:dyDescent="0.25" r="3" customHeight="1" ht="18.75">
      <c r="A3" s="6" t="s">
        <v>179</v>
      </c>
      <c r="B3" s="6" t="s">
        <v>180</v>
      </c>
      <c r="C3" s="7" t="s">
        <v>181</v>
      </c>
      <c r="D3" s="8" t="s">
        <v>182</v>
      </c>
      <c r="E3" s="9">
        <v>2</v>
      </c>
      <c r="F3" s="10" t="s">
        <v>55</v>
      </c>
      <c r="G3" s="8" t="s">
        <v>183</v>
      </c>
      <c r="H3" s="8"/>
    </row>
    <row x14ac:dyDescent="0.25" r="4" customHeight="1" ht="105.45">
      <c r="A4" s="11" t="s">
        <v>179</v>
      </c>
      <c r="B4" s="11" t="s">
        <v>180</v>
      </c>
      <c r="C4" s="12" t="s">
        <v>184</v>
      </c>
      <c r="D4" s="13" t="s">
        <v>185</v>
      </c>
      <c r="E4" s="9">
        <v>2</v>
      </c>
      <c r="F4" s="10" t="s">
        <v>126</v>
      </c>
      <c r="G4" s="13"/>
      <c r="H4" s="13"/>
    </row>
    <row x14ac:dyDescent="0.25" r="5" customHeight="1" ht="18">
      <c r="A5" s="4" t="s">
        <v>186</v>
      </c>
      <c r="B5" s="4" t="s">
        <v>187</v>
      </c>
      <c r="C5" s="4"/>
      <c r="D5" s="4"/>
      <c r="E5" s="5"/>
      <c r="F5" s="4"/>
      <c r="G5" s="4"/>
      <c r="H5" s="4"/>
    </row>
    <row x14ac:dyDescent="0.25" r="6" customHeight="1" ht="18.75">
      <c r="A6" s="6" t="s">
        <v>186</v>
      </c>
      <c r="B6" s="6" t="s">
        <v>187</v>
      </c>
      <c r="C6" s="7" t="s">
        <v>188</v>
      </c>
      <c r="D6" s="8" t="s">
        <v>189</v>
      </c>
      <c r="E6" s="18">
        <v>1</v>
      </c>
      <c r="F6" s="10" t="s">
        <v>55</v>
      </c>
      <c r="G6" s="8" t="s">
        <v>190</v>
      </c>
      <c r="H6" s="8"/>
    </row>
    <row x14ac:dyDescent="0.25" r="7" customHeight="1" ht="50.4">
      <c r="A7" s="11" t="s">
        <v>186</v>
      </c>
      <c r="B7" s="11" t="s">
        <v>187</v>
      </c>
      <c r="C7" s="12" t="s">
        <v>191</v>
      </c>
      <c r="D7" s="13" t="s">
        <v>192</v>
      </c>
      <c r="E7" s="9">
        <v>2</v>
      </c>
      <c r="F7" s="10" t="s">
        <v>55</v>
      </c>
      <c r="G7" s="13" t="s">
        <v>193</v>
      </c>
      <c r="H7" s="13"/>
    </row>
    <row x14ac:dyDescent="0.25" r="8" customHeight="1" ht="68.7">
      <c r="A8" s="6" t="s">
        <v>186</v>
      </c>
      <c r="B8" s="6" t="s">
        <v>187</v>
      </c>
      <c r="C8" s="7" t="s">
        <v>194</v>
      </c>
      <c r="D8" s="8" t="s">
        <v>195</v>
      </c>
      <c r="E8" s="9">
        <v>2</v>
      </c>
      <c r="F8" s="10" t="s">
        <v>55</v>
      </c>
      <c r="G8" s="8" t="s">
        <v>196</v>
      </c>
      <c r="H8" s="8"/>
    </row>
    <row x14ac:dyDescent="0.25" r="9" customHeight="1" ht="18.75">
      <c r="A9" s="11" t="s">
        <v>186</v>
      </c>
      <c r="B9" s="11" t="s">
        <v>187</v>
      </c>
      <c r="C9" s="12" t="s">
        <v>197</v>
      </c>
      <c r="D9" s="13" t="s">
        <v>198</v>
      </c>
      <c r="E9" s="9">
        <v>2</v>
      </c>
      <c r="F9" s="10" t="s">
        <v>55</v>
      </c>
      <c r="G9" s="13" t="s">
        <v>199</v>
      </c>
      <c r="H9" s="13"/>
    </row>
    <row x14ac:dyDescent="0.25" r="10" customHeight="1" ht="30">
      <c r="A10" s="6" t="s">
        <v>186</v>
      </c>
      <c r="B10" s="6" t="s">
        <v>187</v>
      </c>
      <c r="C10" s="7" t="s">
        <v>200</v>
      </c>
      <c r="D10" s="8" t="s">
        <v>201</v>
      </c>
      <c r="E10" s="14">
        <v>3</v>
      </c>
      <c r="F10" s="10" t="s">
        <v>126</v>
      </c>
      <c r="G10" s="8"/>
      <c r="H10" s="8"/>
    </row>
    <row x14ac:dyDescent="0.25" r="11" customHeight="1" ht="30">
      <c r="A11" s="11" t="s">
        <v>186</v>
      </c>
      <c r="B11" s="11" t="s">
        <v>187</v>
      </c>
      <c r="C11" s="12" t="s">
        <v>202</v>
      </c>
      <c r="D11" s="13" t="s">
        <v>203</v>
      </c>
      <c r="E11" s="14">
        <v>3</v>
      </c>
      <c r="F11" s="10" t="s">
        <v>126</v>
      </c>
      <c r="G11" s="13"/>
      <c r="H11" s="13"/>
    </row>
    <row x14ac:dyDescent="0.25" r="12" customHeight="1" ht="30">
      <c r="A12" s="6" t="s">
        <v>186</v>
      </c>
      <c r="B12" s="6" t="s">
        <v>187</v>
      </c>
      <c r="C12" s="7" t="s">
        <v>204</v>
      </c>
      <c r="D12" s="8" t="s">
        <v>205</v>
      </c>
      <c r="E12" s="14">
        <v>3</v>
      </c>
      <c r="F12" s="10" t="s">
        <v>126</v>
      </c>
      <c r="G12" s="8"/>
      <c r="H12" s="8"/>
    </row>
    <row x14ac:dyDescent="0.25" r="13" customHeight="1" ht="30">
      <c r="A13" s="11" t="s">
        <v>186</v>
      </c>
      <c r="B13" s="11" t="s">
        <v>187</v>
      </c>
      <c r="C13" s="12" t="s">
        <v>206</v>
      </c>
      <c r="D13" s="13" t="s">
        <v>207</v>
      </c>
      <c r="E13" s="14">
        <v>3</v>
      </c>
      <c r="F13" s="10" t="s">
        <v>126</v>
      </c>
      <c r="G13" s="13"/>
      <c r="H13" s="13"/>
    </row>
    <row x14ac:dyDescent="0.25" r="14" customHeight="1" ht="18">
      <c r="A14" s="4" t="s">
        <v>208</v>
      </c>
      <c r="B14" s="4" t="s">
        <v>209</v>
      </c>
      <c r="C14" s="4"/>
      <c r="D14" s="4"/>
      <c r="E14" s="5"/>
      <c r="F14" s="4"/>
      <c r="G14" s="4"/>
      <c r="H14" s="4"/>
    </row>
    <row x14ac:dyDescent="0.25" r="15" customHeight="1" ht="30">
      <c r="A15" s="6" t="s">
        <v>208</v>
      </c>
      <c r="B15" s="6" t="s">
        <v>209</v>
      </c>
      <c r="C15" s="7" t="s">
        <v>210</v>
      </c>
      <c r="D15" s="8" t="s">
        <v>211</v>
      </c>
      <c r="E15" s="18">
        <v>1</v>
      </c>
      <c r="F15" s="10" t="s">
        <v>12</v>
      </c>
      <c r="G15" s="8" t="s">
        <v>212</v>
      </c>
      <c r="H15" s="8"/>
    </row>
    <row x14ac:dyDescent="0.25" r="16" customHeight="1" ht="18.75">
      <c r="A16" s="11" t="s">
        <v>208</v>
      </c>
      <c r="B16" s="11" t="s">
        <v>209</v>
      </c>
      <c r="C16" s="12" t="s">
        <v>213</v>
      </c>
      <c r="D16" s="13" t="s">
        <v>214</v>
      </c>
      <c r="E16" s="9">
        <v>2</v>
      </c>
      <c r="F16" s="10" t="s">
        <v>126</v>
      </c>
      <c r="G16" s="13"/>
      <c r="H16" s="13"/>
    </row>
    <row x14ac:dyDescent="0.25" r="17" customHeight="1" ht="18.75">
      <c r="A17" s="6" t="s">
        <v>208</v>
      </c>
      <c r="B17" s="6" t="s">
        <v>209</v>
      </c>
      <c r="C17" s="7" t="s">
        <v>215</v>
      </c>
      <c r="D17" s="8" t="s">
        <v>216</v>
      </c>
      <c r="E17" s="9">
        <v>2</v>
      </c>
      <c r="F17" s="10" t="s">
        <v>12</v>
      </c>
      <c r="G17" s="8" t="s">
        <v>217</v>
      </c>
      <c r="H17" s="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2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18.75" customFormat="1" s="1">
      <c r="A1" s="2" t="s">
        <v>0</v>
      </c>
      <c r="B1" s="2" t="s">
        <v>1</v>
      </c>
      <c r="C1" s="2" t="s">
        <v>2</v>
      </c>
      <c r="D1" s="2" t="s">
        <v>3</v>
      </c>
      <c r="E1" s="3" t="s">
        <v>4</v>
      </c>
      <c r="F1" s="2" t="s">
        <v>5</v>
      </c>
      <c r="G1" s="2" t="s">
        <v>6</v>
      </c>
      <c r="H1" s="2" t="s">
        <v>7</v>
      </c>
    </row>
    <row x14ac:dyDescent="0.25" r="2" customHeight="1" ht="18.75">
      <c r="A2" s="4" t="s">
        <v>113</v>
      </c>
      <c r="B2" s="4" t="s">
        <v>114</v>
      </c>
      <c r="C2" s="4"/>
      <c r="D2" s="4"/>
      <c r="E2" s="5"/>
      <c r="F2" s="4"/>
      <c r="G2" s="4"/>
      <c r="H2" s="4"/>
    </row>
    <row x14ac:dyDescent="0.25" r="3" customHeight="1" ht="18.75">
      <c r="A3" s="6" t="s">
        <v>113</v>
      </c>
      <c r="B3" s="6" t="s">
        <v>114</v>
      </c>
      <c r="C3" s="7" t="s">
        <v>115</v>
      </c>
      <c r="D3" s="8" t="s">
        <v>116</v>
      </c>
      <c r="E3" s="18">
        <v>1</v>
      </c>
      <c r="F3" s="10" t="s">
        <v>55</v>
      </c>
      <c r="G3" s="8" t="s">
        <v>117</v>
      </c>
      <c r="H3" s="8"/>
    </row>
    <row x14ac:dyDescent="0.25" r="4" customHeight="1" ht="18.75">
      <c r="A4" s="11" t="s">
        <v>113</v>
      </c>
      <c r="B4" s="11" t="s">
        <v>114</v>
      </c>
      <c r="C4" s="12" t="s">
        <v>118</v>
      </c>
      <c r="D4" s="13" t="s">
        <v>119</v>
      </c>
      <c r="E4" s="9">
        <v>2</v>
      </c>
      <c r="F4" s="10" t="s">
        <v>55</v>
      </c>
      <c r="G4" s="13" t="s">
        <v>120</v>
      </c>
      <c r="H4" s="13"/>
    </row>
    <row x14ac:dyDescent="0.25" r="5" customHeight="1" ht="18.75">
      <c r="A5" s="6" t="s">
        <v>113</v>
      </c>
      <c r="B5" s="6" t="s">
        <v>114</v>
      </c>
      <c r="C5" s="7" t="s">
        <v>121</v>
      </c>
      <c r="D5" s="8" t="s">
        <v>122</v>
      </c>
      <c r="E5" s="9">
        <v>2</v>
      </c>
      <c r="F5" s="10" t="s">
        <v>55</v>
      </c>
      <c r="G5" s="8" t="s">
        <v>123</v>
      </c>
      <c r="H5" s="8"/>
    </row>
    <row x14ac:dyDescent="0.25" r="6" customHeight="1" ht="18.75">
      <c r="A6" s="11" t="s">
        <v>113</v>
      </c>
      <c r="B6" s="11" t="s">
        <v>114</v>
      </c>
      <c r="C6" s="12" t="s">
        <v>124</v>
      </c>
      <c r="D6" s="13" t="s">
        <v>125</v>
      </c>
      <c r="E6" s="14">
        <v>3</v>
      </c>
      <c r="F6" s="10" t="s">
        <v>126</v>
      </c>
      <c r="G6" s="13"/>
      <c r="H6" s="13"/>
    </row>
    <row x14ac:dyDescent="0.25" r="7" customHeight="1" ht="18.75">
      <c r="A7" s="6" t="s">
        <v>113</v>
      </c>
      <c r="B7" s="6" t="s">
        <v>114</v>
      </c>
      <c r="C7" s="7" t="s">
        <v>127</v>
      </c>
      <c r="D7" s="8" t="s">
        <v>128</v>
      </c>
      <c r="E7" s="14">
        <v>3</v>
      </c>
      <c r="F7" s="10" t="s">
        <v>55</v>
      </c>
      <c r="G7" s="8" t="s">
        <v>129</v>
      </c>
      <c r="H7" s="8"/>
    </row>
    <row x14ac:dyDescent="0.25" r="8" customHeight="1" ht="18.75">
      <c r="A8" s="4" t="s">
        <v>130</v>
      </c>
      <c r="B8" s="4" t="s">
        <v>131</v>
      </c>
      <c r="C8" s="4"/>
      <c r="D8" s="4"/>
      <c r="E8" s="5"/>
      <c r="F8" s="4"/>
      <c r="G8" s="4"/>
      <c r="H8" s="4"/>
    </row>
    <row x14ac:dyDescent="0.25" r="9" customHeight="1" ht="18.75">
      <c r="A9" s="6" t="s">
        <v>130</v>
      </c>
      <c r="B9" s="6" t="s">
        <v>131</v>
      </c>
      <c r="C9" s="7" t="s">
        <v>132</v>
      </c>
      <c r="D9" s="8" t="s">
        <v>133</v>
      </c>
      <c r="E9" s="18">
        <v>1</v>
      </c>
      <c r="F9" s="10" t="s">
        <v>55</v>
      </c>
      <c r="G9" s="8" t="s">
        <v>134</v>
      </c>
      <c r="H9" s="8"/>
    </row>
    <row x14ac:dyDescent="0.25" r="10" customHeight="1" ht="18.75">
      <c r="A10" s="11" t="s">
        <v>130</v>
      </c>
      <c r="B10" s="11" t="s">
        <v>131</v>
      </c>
      <c r="C10" s="12" t="s">
        <v>135</v>
      </c>
      <c r="D10" s="13" t="s">
        <v>136</v>
      </c>
      <c r="E10" s="9">
        <v>2</v>
      </c>
      <c r="F10" s="10" t="s">
        <v>55</v>
      </c>
      <c r="G10" s="13" t="s">
        <v>137</v>
      </c>
      <c r="H10" s="13"/>
    </row>
    <row x14ac:dyDescent="0.25" r="11" customHeight="1" ht="18.75">
      <c r="A11" s="6" t="s">
        <v>130</v>
      </c>
      <c r="B11" s="6" t="s">
        <v>131</v>
      </c>
      <c r="C11" s="7" t="s">
        <v>138</v>
      </c>
      <c r="D11" s="8" t="s">
        <v>139</v>
      </c>
      <c r="E11" s="9">
        <v>2</v>
      </c>
      <c r="F11" s="10" t="s">
        <v>55</v>
      </c>
      <c r="G11" s="8" t="s">
        <v>140</v>
      </c>
      <c r="H11" s="8"/>
    </row>
    <row x14ac:dyDescent="0.25" r="12" customHeight="1" ht="18.75">
      <c r="A12" s="11" t="s">
        <v>130</v>
      </c>
      <c r="B12" s="11" t="s">
        <v>131</v>
      </c>
      <c r="C12" s="12" t="s">
        <v>141</v>
      </c>
      <c r="D12" s="13" t="s">
        <v>142</v>
      </c>
      <c r="E12" s="14">
        <v>3</v>
      </c>
      <c r="F12" s="10" t="s">
        <v>126</v>
      </c>
      <c r="G12" s="13"/>
      <c r="H12" s="13"/>
    </row>
    <row x14ac:dyDescent="0.25" r="13" customHeight="1" ht="18.75">
      <c r="A13" s="6" t="s">
        <v>130</v>
      </c>
      <c r="B13" s="6" t="s">
        <v>131</v>
      </c>
      <c r="C13" s="7" t="s">
        <v>143</v>
      </c>
      <c r="D13" s="8" t="s">
        <v>144</v>
      </c>
      <c r="E13" s="14">
        <v>3</v>
      </c>
      <c r="F13" s="10" t="s">
        <v>55</v>
      </c>
      <c r="G13" s="8" t="s">
        <v>145</v>
      </c>
      <c r="H13" s="8"/>
    </row>
    <row x14ac:dyDescent="0.25" r="14" customHeight="1" ht="18.75">
      <c r="A14" s="4" t="s">
        <v>146</v>
      </c>
      <c r="B14" s="4" t="s">
        <v>147</v>
      </c>
      <c r="C14" s="4"/>
      <c r="D14" s="4"/>
      <c r="E14" s="5"/>
      <c r="F14" s="4"/>
      <c r="G14" s="4"/>
      <c r="H14" s="4"/>
    </row>
    <row x14ac:dyDescent="0.25" r="15" customHeight="1" ht="18.75">
      <c r="A15" s="6" t="s">
        <v>146</v>
      </c>
      <c r="B15" s="6" t="s">
        <v>147</v>
      </c>
      <c r="C15" s="7" t="s">
        <v>148</v>
      </c>
      <c r="D15" s="8" t="s">
        <v>149</v>
      </c>
      <c r="E15" s="18">
        <v>1</v>
      </c>
      <c r="F15" s="10" t="s">
        <v>55</v>
      </c>
      <c r="G15" s="8" t="s">
        <v>150</v>
      </c>
      <c r="H15" s="8"/>
    </row>
    <row x14ac:dyDescent="0.25" r="16" customHeight="1" ht="18.75">
      <c r="A16" s="11" t="s">
        <v>146</v>
      </c>
      <c r="B16" s="11" t="s">
        <v>147</v>
      </c>
      <c r="C16" s="12" t="s">
        <v>151</v>
      </c>
      <c r="D16" s="13" t="s">
        <v>152</v>
      </c>
      <c r="E16" s="9">
        <v>2</v>
      </c>
      <c r="F16" s="10" t="s">
        <v>55</v>
      </c>
      <c r="G16" s="13" t="s">
        <v>153</v>
      </c>
      <c r="H16" s="13"/>
    </row>
    <row x14ac:dyDescent="0.25" r="17" customHeight="1" ht="18.75">
      <c r="A17" s="6" t="s">
        <v>146</v>
      </c>
      <c r="B17" s="6" t="s">
        <v>147</v>
      </c>
      <c r="C17" s="7" t="s">
        <v>154</v>
      </c>
      <c r="D17" s="8" t="s">
        <v>155</v>
      </c>
      <c r="E17" s="9">
        <v>2</v>
      </c>
      <c r="F17" s="10" t="s">
        <v>55</v>
      </c>
      <c r="G17" s="8" t="s">
        <v>156</v>
      </c>
      <c r="H17" s="8"/>
    </row>
    <row x14ac:dyDescent="0.25" r="18" customHeight="1" ht="18.75">
      <c r="A18" s="11" t="s">
        <v>146</v>
      </c>
      <c r="B18" s="11" t="s">
        <v>147</v>
      </c>
      <c r="C18" s="12" t="s">
        <v>157</v>
      </c>
      <c r="D18" s="13" t="s">
        <v>158</v>
      </c>
      <c r="E18" s="9">
        <v>2</v>
      </c>
      <c r="F18" s="10" t="s">
        <v>55</v>
      </c>
      <c r="G18" s="13" t="s">
        <v>159</v>
      </c>
      <c r="H18" s="13"/>
    </row>
    <row x14ac:dyDescent="0.25" r="19" customHeight="1" ht="18.75">
      <c r="A19" s="6" t="s">
        <v>146</v>
      </c>
      <c r="B19" s="6" t="s">
        <v>147</v>
      </c>
      <c r="C19" s="7" t="s">
        <v>160</v>
      </c>
      <c r="D19" s="8" t="s">
        <v>161</v>
      </c>
      <c r="E19" s="9">
        <v>2</v>
      </c>
      <c r="F19" s="10" t="s">
        <v>55</v>
      </c>
      <c r="G19" s="8" t="s">
        <v>162</v>
      </c>
      <c r="H19" s="8"/>
    </row>
    <row x14ac:dyDescent="0.25" r="20" customHeight="1" ht="18.75">
      <c r="A20" s="11" t="s">
        <v>146</v>
      </c>
      <c r="B20" s="11" t="s">
        <v>147</v>
      </c>
      <c r="C20" s="12" t="s">
        <v>163</v>
      </c>
      <c r="D20" s="13" t="s">
        <v>164</v>
      </c>
      <c r="E20" s="9">
        <v>2</v>
      </c>
      <c r="F20" s="10" t="s">
        <v>12</v>
      </c>
      <c r="G20" s="13" t="s">
        <v>165</v>
      </c>
      <c r="H20" s="13"/>
    </row>
    <row x14ac:dyDescent="0.25" r="21" customHeight="1" ht="18.75">
      <c r="A21" s="6" t="s">
        <v>146</v>
      </c>
      <c r="B21" s="6" t="s">
        <v>147</v>
      </c>
      <c r="C21" s="7" t="s">
        <v>166</v>
      </c>
      <c r="D21" s="8" t="s">
        <v>167</v>
      </c>
      <c r="E21" s="9">
        <v>2</v>
      </c>
      <c r="F21" s="10" t="s">
        <v>55</v>
      </c>
      <c r="G21" s="8" t="s">
        <v>168</v>
      </c>
      <c r="H21" s="8"/>
    </row>
    <row x14ac:dyDescent="0.25" r="22" customHeight="1" ht="18.75">
      <c r="A22" s="4" t="s">
        <v>169</v>
      </c>
      <c r="B22" s="4" t="s">
        <v>170</v>
      </c>
      <c r="C22" s="4"/>
      <c r="D22" s="4"/>
      <c r="E22" s="5"/>
      <c r="F22" s="4"/>
      <c r="G22" s="4"/>
      <c r="H22" s="4"/>
    </row>
    <row x14ac:dyDescent="0.25" r="23" customHeight="1" ht="18.75">
      <c r="A23" s="6" t="s">
        <v>169</v>
      </c>
      <c r="B23" s="6" t="s">
        <v>170</v>
      </c>
      <c r="C23" s="7" t="s">
        <v>171</v>
      </c>
      <c r="D23" s="8" t="s">
        <v>172</v>
      </c>
      <c r="E23" s="14">
        <v>3</v>
      </c>
      <c r="F23" s="10" t="s">
        <v>126</v>
      </c>
      <c r="G23" s="8"/>
      <c r="H23" s="8"/>
    </row>
    <row x14ac:dyDescent="0.25" r="24" customHeight="1" ht="18.75">
      <c r="A24" s="11" t="s">
        <v>169</v>
      </c>
      <c r="B24" s="11" t="s">
        <v>170</v>
      </c>
      <c r="C24" s="12" t="s">
        <v>173</v>
      </c>
      <c r="D24" s="13" t="s">
        <v>174</v>
      </c>
      <c r="E24" s="14">
        <v>3</v>
      </c>
      <c r="F24" s="10" t="s">
        <v>126</v>
      </c>
      <c r="G24" s="13"/>
      <c r="H24" s="13"/>
    </row>
    <row x14ac:dyDescent="0.25" r="25" customHeight="1" ht="18.75">
      <c r="A25" s="6" t="s">
        <v>169</v>
      </c>
      <c r="B25" s="6" t="s">
        <v>170</v>
      </c>
      <c r="C25" s="7" t="s">
        <v>175</v>
      </c>
      <c r="D25" s="8" t="s">
        <v>176</v>
      </c>
      <c r="E25" s="14">
        <v>3</v>
      </c>
      <c r="F25" s="10" t="s">
        <v>126</v>
      </c>
      <c r="G25" s="8"/>
      <c r="H25" s="8"/>
    </row>
    <row x14ac:dyDescent="0.25" r="26" customHeight="1" ht="18.75">
      <c r="A26" s="11" t="s">
        <v>169</v>
      </c>
      <c r="B26" s="11" t="s">
        <v>170</v>
      </c>
      <c r="C26" s="12" t="s">
        <v>177</v>
      </c>
      <c r="D26" s="13" t="s">
        <v>178</v>
      </c>
      <c r="E26" s="14">
        <v>3</v>
      </c>
      <c r="F26" s="10" t="s">
        <v>126</v>
      </c>
      <c r="G26" s="13"/>
      <c r="H26" s="1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23"/>
  <sheetViews>
    <sheetView workbookViewId="0">
      <pane state="frozen" activePane="bottomLeft" topLeftCell="A2" ySplit="1" xSplit="0"/>
    </sheetView>
  </sheetViews>
  <sheetFormatPr defaultRowHeight="15" x14ac:dyDescent="0.25"/>
  <cols>
    <col min="1" max="1" style="15" width="15.43357142857143"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8.8" customFormat="1" s="1">
      <c r="A1" s="2" t="s">
        <v>0</v>
      </c>
      <c r="B1" s="2" t="s">
        <v>1</v>
      </c>
      <c r="C1" s="2" t="s">
        <v>2</v>
      </c>
      <c r="D1" s="2" t="s">
        <v>3</v>
      </c>
      <c r="E1" s="3" t="s">
        <v>4</v>
      </c>
      <c r="F1" s="2" t="s">
        <v>5</v>
      </c>
      <c r="G1" s="2" t="s">
        <v>6</v>
      </c>
      <c r="H1" s="2" t="s">
        <v>7</v>
      </c>
    </row>
    <row x14ac:dyDescent="0.25" r="2" customHeight="1" ht="18.75">
      <c r="A2" s="4" t="s">
        <v>51</v>
      </c>
      <c r="B2" s="4" t="s">
        <v>52</v>
      </c>
      <c r="C2" s="4"/>
      <c r="D2" s="4"/>
      <c r="E2" s="5"/>
      <c r="F2" s="4"/>
      <c r="G2" s="4"/>
      <c r="H2" s="4"/>
    </row>
    <row x14ac:dyDescent="0.25" r="3" customHeight="1" ht="18.75">
      <c r="A3" s="6" t="s">
        <v>51</v>
      </c>
      <c r="B3" s="6" t="s">
        <v>52</v>
      </c>
      <c r="C3" s="7" t="s">
        <v>53</v>
      </c>
      <c r="D3" s="8" t="s">
        <v>54</v>
      </c>
      <c r="E3" s="9">
        <v>2</v>
      </c>
      <c r="F3" s="10" t="s">
        <v>55</v>
      </c>
      <c r="G3" s="8" t="s">
        <v>56</v>
      </c>
      <c r="H3" s="8"/>
    </row>
    <row x14ac:dyDescent="0.25" r="4" customHeight="1" ht="18.75">
      <c r="A4" s="4" t="s">
        <v>57</v>
      </c>
      <c r="B4" s="4" t="s">
        <v>58</v>
      </c>
      <c r="C4" s="4"/>
      <c r="D4" s="4"/>
      <c r="E4" s="5"/>
      <c r="F4" s="4"/>
      <c r="G4" s="4"/>
      <c r="H4" s="4"/>
    </row>
    <row x14ac:dyDescent="0.25" r="5" customHeight="1" ht="18.75">
      <c r="A5" s="6" t="s">
        <v>57</v>
      </c>
      <c r="B5" s="6" t="s">
        <v>58</v>
      </c>
      <c r="C5" s="7" t="s">
        <v>59</v>
      </c>
      <c r="D5" s="8" t="s">
        <v>60</v>
      </c>
      <c r="E5" s="9">
        <v>2</v>
      </c>
      <c r="F5" s="10" t="s">
        <v>55</v>
      </c>
      <c r="G5" s="8" t="s">
        <v>61</v>
      </c>
      <c r="H5" s="8"/>
    </row>
    <row x14ac:dyDescent="0.25" r="6" customHeight="1" ht="18.75">
      <c r="A6" s="11" t="s">
        <v>57</v>
      </c>
      <c r="B6" s="11" t="s">
        <v>58</v>
      </c>
      <c r="C6" s="12" t="s">
        <v>62</v>
      </c>
      <c r="D6" s="13" t="s">
        <v>63</v>
      </c>
      <c r="E6" s="9">
        <v>2</v>
      </c>
      <c r="F6" s="10" t="s">
        <v>55</v>
      </c>
      <c r="G6" s="13" t="s">
        <v>64</v>
      </c>
      <c r="H6" s="13"/>
    </row>
    <row x14ac:dyDescent="0.25" r="7" customHeight="1" ht="18.75">
      <c r="A7" s="6" t="s">
        <v>57</v>
      </c>
      <c r="B7" s="6" t="s">
        <v>58</v>
      </c>
      <c r="C7" s="7" t="s">
        <v>65</v>
      </c>
      <c r="D7" s="8" t="s">
        <v>66</v>
      </c>
      <c r="E7" s="9">
        <v>2</v>
      </c>
      <c r="F7" s="10" t="s">
        <v>55</v>
      </c>
      <c r="G7" s="8" t="s">
        <v>67</v>
      </c>
      <c r="H7" s="8"/>
    </row>
    <row x14ac:dyDescent="0.25" r="8" customHeight="1" ht="18.75">
      <c r="A8" s="11" t="s">
        <v>57</v>
      </c>
      <c r="B8" s="11" t="s">
        <v>58</v>
      </c>
      <c r="C8" s="12" t="s">
        <v>68</v>
      </c>
      <c r="D8" s="13" t="s">
        <v>69</v>
      </c>
      <c r="E8" s="9">
        <v>2</v>
      </c>
      <c r="F8" s="10" t="s">
        <v>55</v>
      </c>
      <c r="G8" s="13" t="s">
        <v>70</v>
      </c>
      <c r="H8" s="13"/>
    </row>
    <row x14ac:dyDescent="0.25" r="9" customHeight="1" ht="18.75">
      <c r="A9" s="6" t="s">
        <v>57</v>
      </c>
      <c r="B9" s="6" t="s">
        <v>58</v>
      </c>
      <c r="C9" s="7" t="s">
        <v>71</v>
      </c>
      <c r="D9" s="8" t="s">
        <v>72</v>
      </c>
      <c r="E9" s="9">
        <v>2</v>
      </c>
      <c r="F9" s="10" t="s">
        <v>55</v>
      </c>
      <c r="G9" s="8" t="s">
        <v>73</v>
      </c>
      <c r="H9" s="8"/>
    </row>
    <row x14ac:dyDescent="0.25" r="10" customHeight="1" ht="18.75">
      <c r="A10" s="4" t="s">
        <v>74</v>
      </c>
      <c r="B10" s="4" t="s">
        <v>75</v>
      </c>
      <c r="C10" s="4"/>
      <c r="D10" s="4"/>
      <c r="E10" s="5"/>
      <c r="F10" s="4"/>
      <c r="G10" s="4"/>
      <c r="H10" s="4"/>
    </row>
    <row x14ac:dyDescent="0.25" r="11" customHeight="1" ht="18.75">
      <c r="A11" s="6" t="s">
        <v>74</v>
      </c>
      <c r="B11" s="6" t="s">
        <v>75</v>
      </c>
      <c r="C11" s="7" t="s">
        <v>76</v>
      </c>
      <c r="D11" s="8" t="s">
        <v>77</v>
      </c>
      <c r="E11" s="9">
        <v>2</v>
      </c>
      <c r="F11" s="10" t="s">
        <v>55</v>
      </c>
      <c r="G11" s="8" t="s">
        <v>78</v>
      </c>
      <c r="H11" s="8"/>
    </row>
    <row x14ac:dyDescent="0.25" r="12" customHeight="1" ht="18.75">
      <c r="A12" s="11" t="s">
        <v>74</v>
      </c>
      <c r="B12" s="11" t="s">
        <v>75</v>
      </c>
      <c r="C12" s="12" t="s">
        <v>79</v>
      </c>
      <c r="D12" s="13" t="s">
        <v>80</v>
      </c>
      <c r="E12" s="9">
        <v>2</v>
      </c>
      <c r="F12" s="10" t="s">
        <v>55</v>
      </c>
      <c r="G12" s="13" t="s">
        <v>81</v>
      </c>
      <c r="H12" s="13"/>
    </row>
    <row x14ac:dyDescent="0.25" r="13" customHeight="1" ht="18.75">
      <c r="A13" s="6" t="s">
        <v>74</v>
      </c>
      <c r="B13" s="6" t="s">
        <v>75</v>
      </c>
      <c r="C13" s="7" t="s">
        <v>82</v>
      </c>
      <c r="D13" s="8" t="s">
        <v>83</v>
      </c>
      <c r="E13" s="9">
        <v>2</v>
      </c>
      <c r="F13" s="10" t="s">
        <v>55</v>
      </c>
      <c r="G13" s="8" t="s">
        <v>84</v>
      </c>
      <c r="H13" s="8"/>
    </row>
    <row x14ac:dyDescent="0.25" r="14" customHeight="1" ht="18.75">
      <c r="A14" s="11" t="s">
        <v>74</v>
      </c>
      <c r="B14" s="11" t="s">
        <v>75</v>
      </c>
      <c r="C14" s="12" t="s">
        <v>85</v>
      </c>
      <c r="D14" s="13" t="s">
        <v>86</v>
      </c>
      <c r="E14" s="9">
        <v>2</v>
      </c>
      <c r="F14" s="10" t="s">
        <v>12</v>
      </c>
      <c r="G14" s="13" t="s">
        <v>87</v>
      </c>
      <c r="H14" s="13"/>
    </row>
    <row x14ac:dyDescent="0.25" r="15" customHeight="1" ht="18.75">
      <c r="A15" s="4" t="s">
        <v>88</v>
      </c>
      <c r="B15" s="4" t="s">
        <v>89</v>
      </c>
      <c r="C15" s="4"/>
      <c r="D15" s="4"/>
      <c r="E15" s="5"/>
      <c r="F15" s="4"/>
      <c r="G15" s="4"/>
      <c r="H15" s="4"/>
    </row>
    <row x14ac:dyDescent="0.25" r="16" customHeight="1" ht="18.75">
      <c r="A16" s="6" t="s">
        <v>88</v>
      </c>
      <c r="B16" s="6" t="s">
        <v>89</v>
      </c>
      <c r="C16" s="7" t="s">
        <v>90</v>
      </c>
      <c r="D16" s="8" t="s">
        <v>91</v>
      </c>
      <c r="E16" s="9">
        <v>2</v>
      </c>
      <c r="F16" s="10" t="s">
        <v>55</v>
      </c>
      <c r="G16" s="8" t="s">
        <v>92</v>
      </c>
      <c r="H16" s="8"/>
    </row>
    <row x14ac:dyDescent="0.25" r="17" customHeight="1" ht="18.75">
      <c r="A17" s="11" t="s">
        <v>88</v>
      </c>
      <c r="B17" s="11" t="s">
        <v>89</v>
      </c>
      <c r="C17" s="12" t="s">
        <v>93</v>
      </c>
      <c r="D17" s="13" t="s">
        <v>94</v>
      </c>
      <c r="E17" s="9">
        <v>2</v>
      </c>
      <c r="F17" s="10" t="s">
        <v>55</v>
      </c>
      <c r="G17" s="13" t="s">
        <v>95</v>
      </c>
      <c r="H17" s="13"/>
    </row>
    <row x14ac:dyDescent="0.25" r="18" customHeight="1" ht="18.75">
      <c r="A18" s="6" t="s">
        <v>88</v>
      </c>
      <c r="B18" s="6" t="s">
        <v>89</v>
      </c>
      <c r="C18" s="7" t="s">
        <v>96</v>
      </c>
      <c r="D18" s="8" t="s">
        <v>97</v>
      </c>
      <c r="E18" s="9">
        <v>2</v>
      </c>
      <c r="F18" s="10" t="s">
        <v>12</v>
      </c>
      <c r="G18" s="8" t="s">
        <v>98</v>
      </c>
      <c r="H18" s="8"/>
    </row>
    <row x14ac:dyDescent="0.25" r="19" customHeight="1" ht="18.75">
      <c r="A19" s="4" t="s">
        <v>99</v>
      </c>
      <c r="B19" s="4" t="s">
        <v>100</v>
      </c>
      <c r="C19" s="4"/>
      <c r="D19" s="4"/>
      <c r="E19" s="5"/>
      <c r="F19" s="4"/>
      <c r="G19" s="4"/>
      <c r="H19" s="4"/>
    </row>
    <row x14ac:dyDescent="0.25" r="20" customHeight="1" ht="18.75">
      <c r="A20" s="6" t="s">
        <v>99</v>
      </c>
      <c r="B20" s="6" t="s">
        <v>100</v>
      </c>
      <c r="C20" s="7" t="s">
        <v>101</v>
      </c>
      <c r="D20" s="8" t="s">
        <v>102</v>
      </c>
      <c r="E20" s="9">
        <v>2</v>
      </c>
      <c r="F20" s="10" t="s">
        <v>55</v>
      </c>
      <c r="G20" s="8" t="s">
        <v>103</v>
      </c>
      <c r="H20" s="8"/>
    </row>
    <row x14ac:dyDescent="0.25" r="21" customHeight="1" ht="18.75">
      <c r="A21" s="11" t="s">
        <v>99</v>
      </c>
      <c r="B21" s="11" t="s">
        <v>100</v>
      </c>
      <c r="C21" s="12" t="s">
        <v>104</v>
      </c>
      <c r="D21" s="13" t="s">
        <v>105</v>
      </c>
      <c r="E21" s="9">
        <v>2</v>
      </c>
      <c r="F21" s="10" t="s">
        <v>55</v>
      </c>
      <c r="G21" s="13" t="s">
        <v>106</v>
      </c>
      <c r="H21" s="13"/>
    </row>
    <row x14ac:dyDescent="0.25" r="22" customHeight="1" ht="18.75">
      <c r="A22" s="6" t="s">
        <v>99</v>
      </c>
      <c r="B22" s="6" t="s">
        <v>100</v>
      </c>
      <c r="C22" s="7" t="s">
        <v>107</v>
      </c>
      <c r="D22" s="8" t="s">
        <v>108</v>
      </c>
      <c r="E22" s="9">
        <v>2</v>
      </c>
      <c r="F22" s="10" t="s">
        <v>55</v>
      </c>
      <c r="G22" s="8" t="s">
        <v>109</v>
      </c>
      <c r="H22" s="8"/>
    </row>
    <row x14ac:dyDescent="0.25" r="23" customHeight="1" ht="18.75">
      <c r="A23" s="11" t="s">
        <v>99</v>
      </c>
      <c r="B23" s="11" t="s">
        <v>100</v>
      </c>
      <c r="C23" s="12" t="s">
        <v>110</v>
      </c>
      <c r="D23" s="13" t="s">
        <v>111</v>
      </c>
      <c r="E23" s="14">
        <v>3</v>
      </c>
      <c r="F23" s="10" t="s">
        <v>55</v>
      </c>
      <c r="G23" s="13" t="s">
        <v>112</v>
      </c>
      <c r="H23"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6"/>
  <sheetViews>
    <sheetView workbookViewId="0">
      <pane state="frozen" activePane="bottomLeft" topLeftCell="A2" ySplit="1" xSplit="0"/>
    </sheetView>
  </sheetViews>
  <sheetFormatPr defaultRowHeight="15" x14ac:dyDescent="0.25"/>
  <cols>
    <col min="1" max="1" style="15" width="12.005" customWidth="1" bestFit="1"/>
    <col min="2" max="2" style="15" width="28.005" customWidth="1" bestFit="1"/>
    <col min="3" max="3" style="16" width="12.005" customWidth="1" bestFit="1"/>
    <col min="4" max="4" style="15" width="60.005" customWidth="1" bestFit="1"/>
    <col min="5" max="5" style="17" width="8.005" customWidth="1" bestFit="1"/>
    <col min="6" max="6" style="16" width="16.005" customWidth="1" bestFit="1"/>
    <col min="7" max="7" style="15" width="40.005" customWidth="1" bestFit="1"/>
    <col min="8" max="8" style="15" width="35.005" customWidth="1" bestFit="1"/>
  </cols>
  <sheetData>
    <row x14ac:dyDescent="0.25" r="1" customHeight="1" ht="29.399999999999995" customFormat="1" s="1">
      <c r="A1" s="2" t="s">
        <v>0</v>
      </c>
      <c r="B1" s="2" t="s">
        <v>1</v>
      </c>
      <c r="C1" s="2" t="s">
        <v>2</v>
      </c>
      <c r="D1" s="2" t="s">
        <v>3</v>
      </c>
      <c r="E1" s="3" t="s">
        <v>4</v>
      </c>
      <c r="F1" s="2" t="s">
        <v>5</v>
      </c>
      <c r="G1" s="2" t="s">
        <v>6</v>
      </c>
      <c r="H1" s="2" t="s">
        <v>7</v>
      </c>
    </row>
    <row x14ac:dyDescent="0.25" r="2" customHeight="1" ht="18.75">
      <c r="A2" s="4" t="s">
        <v>8</v>
      </c>
      <c r="B2" s="4" t="s">
        <v>9</v>
      </c>
      <c r="C2" s="4"/>
      <c r="D2" s="4"/>
      <c r="E2" s="5"/>
      <c r="F2" s="4"/>
      <c r="G2" s="4"/>
      <c r="H2" s="4"/>
    </row>
    <row x14ac:dyDescent="0.25" r="3" customHeight="1" ht="18.75">
      <c r="A3" s="6" t="s">
        <v>8</v>
      </c>
      <c r="B3" s="6" t="s">
        <v>9</v>
      </c>
      <c r="C3" s="7" t="s">
        <v>10</v>
      </c>
      <c r="D3" s="8" t="s">
        <v>11</v>
      </c>
      <c r="E3" s="9">
        <v>2</v>
      </c>
      <c r="F3" s="10" t="s">
        <v>12</v>
      </c>
      <c r="G3" s="8" t="s">
        <v>13</v>
      </c>
      <c r="H3" s="8"/>
    </row>
    <row x14ac:dyDescent="0.25" r="4" customHeight="1" ht="18.75">
      <c r="A4" s="11" t="s">
        <v>8</v>
      </c>
      <c r="B4" s="11" t="s">
        <v>9</v>
      </c>
      <c r="C4" s="12" t="s">
        <v>14</v>
      </c>
      <c r="D4" s="13" t="s">
        <v>15</v>
      </c>
      <c r="E4" s="14">
        <v>3</v>
      </c>
      <c r="F4" s="10" t="s">
        <v>12</v>
      </c>
      <c r="G4" s="13" t="s">
        <v>16</v>
      </c>
      <c r="H4" s="13"/>
    </row>
    <row x14ac:dyDescent="0.25" r="5" customHeight="1" ht="18.75">
      <c r="A5" s="4" t="s">
        <v>17</v>
      </c>
      <c r="B5" s="4" t="s">
        <v>18</v>
      </c>
      <c r="C5" s="4"/>
      <c r="D5" s="4"/>
      <c r="E5" s="5"/>
      <c r="F5" s="4"/>
      <c r="G5" s="4"/>
      <c r="H5" s="4"/>
    </row>
    <row x14ac:dyDescent="0.25" r="6" customHeight="1" ht="18.75">
      <c r="A6" s="6" t="s">
        <v>17</v>
      </c>
      <c r="B6" s="6" t="s">
        <v>18</v>
      </c>
      <c r="C6" s="7" t="s">
        <v>19</v>
      </c>
      <c r="D6" s="8" t="s">
        <v>20</v>
      </c>
      <c r="E6" s="9">
        <v>2</v>
      </c>
      <c r="F6" s="10" t="s">
        <v>12</v>
      </c>
      <c r="G6" s="8" t="s">
        <v>21</v>
      </c>
      <c r="H6" s="8"/>
    </row>
    <row x14ac:dyDescent="0.25" r="7" customHeight="1" ht="18.75">
      <c r="A7" s="11" t="s">
        <v>17</v>
      </c>
      <c r="B7" s="11" t="s">
        <v>18</v>
      </c>
      <c r="C7" s="12" t="s">
        <v>22</v>
      </c>
      <c r="D7" s="13" t="s">
        <v>23</v>
      </c>
      <c r="E7" s="9">
        <v>2</v>
      </c>
      <c r="F7" s="10" t="s">
        <v>12</v>
      </c>
      <c r="G7" s="13" t="s">
        <v>24</v>
      </c>
      <c r="H7" s="13"/>
    </row>
    <row x14ac:dyDescent="0.25" r="8" customHeight="1" ht="18.75">
      <c r="A8" s="6" t="s">
        <v>17</v>
      </c>
      <c r="B8" s="6" t="s">
        <v>18</v>
      </c>
      <c r="C8" s="7" t="s">
        <v>25</v>
      </c>
      <c r="D8" s="8" t="s">
        <v>26</v>
      </c>
      <c r="E8" s="9">
        <v>2</v>
      </c>
      <c r="F8" s="10" t="s">
        <v>12</v>
      </c>
      <c r="G8" s="8" t="s">
        <v>27</v>
      </c>
      <c r="H8" s="8"/>
    </row>
    <row x14ac:dyDescent="0.25" r="9" customHeight="1" ht="18.75">
      <c r="A9" s="11" t="s">
        <v>17</v>
      </c>
      <c r="B9" s="11" t="s">
        <v>18</v>
      </c>
      <c r="C9" s="12" t="s">
        <v>28</v>
      </c>
      <c r="D9" s="13" t="s">
        <v>29</v>
      </c>
      <c r="E9" s="9">
        <v>2</v>
      </c>
      <c r="F9" s="10" t="s">
        <v>12</v>
      </c>
      <c r="G9" s="13" t="s">
        <v>30</v>
      </c>
      <c r="H9" s="13"/>
    </row>
    <row x14ac:dyDescent="0.25" r="10" customHeight="1" ht="18.75">
      <c r="A10" s="6" t="s">
        <v>17</v>
      </c>
      <c r="B10" s="6" t="s">
        <v>18</v>
      </c>
      <c r="C10" s="7" t="s">
        <v>31</v>
      </c>
      <c r="D10" s="8" t="s">
        <v>32</v>
      </c>
      <c r="E10" s="14">
        <v>3</v>
      </c>
      <c r="F10" s="10" t="s">
        <v>12</v>
      </c>
      <c r="G10" s="8" t="s">
        <v>33</v>
      </c>
      <c r="H10" s="8"/>
    </row>
    <row x14ac:dyDescent="0.25" r="11" customHeight="1" ht="18.75">
      <c r="A11" s="11" t="s">
        <v>17</v>
      </c>
      <c r="B11" s="11" t="s">
        <v>18</v>
      </c>
      <c r="C11" s="12" t="s">
        <v>34</v>
      </c>
      <c r="D11" s="13" t="s">
        <v>35</v>
      </c>
      <c r="E11" s="14">
        <v>3</v>
      </c>
      <c r="F11" s="10" t="s">
        <v>12</v>
      </c>
      <c r="G11" s="13" t="s">
        <v>36</v>
      </c>
      <c r="H11" s="13"/>
    </row>
    <row x14ac:dyDescent="0.25" r="12" customHeight="1" ht="18.75">
      <c r="A12" s="6" t="s">
        <v>17</v>
      </c>
      <c r="B12" s="6" t="s">
        <v>18</v>
      </c>
      <c r="C12" s="7" t="s">
        <v>37</v>
      </c>
      <c r="D12" s="8" t="s">
        <v>38</v>
      </c>
      <c r="E12" s="14">
        <v>3</v>
      </c>
      <c r="F12" s="10" t="s">
        <v>12</v>
      </c>
      <c r="G12" s="8" t="s">
        <v>39</v>
      </c>
      <c r="H12" s="8"/>
    </row>
    <row x14ac:dyDescent="0.25" r="13" customHeight="1" ht="18.75">
      <c r="A13" s="11" t="s">
        <v>17</v>
      </c>
      <c r="B13" s="11" t="s">
        <v>18</v>
      </c>
      <c r="C13" s="12" t="s">
        <v>40</v>
      </c>
      <c r="D13" s="13" t="s">
        <v>41</v>
      </c>
      <c r="E13" s="14">
        <v>3</v>
      </c>
      <c r="F13" s="10" t="s">
        <v>12</v>
      </c>
      <c r="G13" s="13" t="s">
        <v>42</v>
      </c>
      <c r="H13" s="13"/>
    </row>
    <row x14ac:dyDescent="0.25" r="14" customHeight="1" ht="18.75">
      <c r="A14" s="4" t="s">
        <v>43</v>
      </c>
      <c r="B14" s="4" t="s">
        <v>44</v>
      </c>
      <c r="C14" s="4"/>
      <c r="D14" s="4"/>
      <c r="E14" s="5"/>
      <c r="F14" s="4"/>
      <c r="G14" s="4"/>
      <c r="H14" s="4"/>
    </row>
    <row x14ac:dyDescent="0.25" r="15" customHeight="1" ht="18.75">
      <c r="A15" s="6" t="s">
        <v>43</v>
      </c>
      <c r="B15" s="6" t="s">
        <v>44</v>
      </c>
      <c r="C15" s="7" t="s">
        <v>45</v>
      </c>
      <c r="D15" s="8" t="s">
        <v>46</v>
      </c>
      <c r="E15" s="9">
        <v>2</v>
      </c>
      <c r="F15" s="10" t="s">
        <v>12</v>
      </c>
      <c r="G15" s="8" t="s">
        <v>47</v>
      </c>
      <c r="H15" s="8"/>
    </row>
    <row x14ac:dyDescent="0.25" r="16" customHeight="1" ht="18.75">
      <c r="A16" s="11" t="s">
        <v>43</v>
      </c>
      <c r="B16" s="11" t="s">
        <v>44</v>
      </c>
      <c r="C16" s="12" t="s">
        <v>48</v>
      </c>
      <c r="D16" s="13" t="s">
        <v>49</v>
      </c>
      <c r="E16" s="9">
        <v>2</v>
      </c>
      <c r="F16" s="10" t="s">
        <v>12</v>
      </c>
      <c r="G16" s="13" t="s">
        <v>50</v>
      </c>
      <c r="H16" s="13"/>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18</vt:i4>
      </vt:variant>
    </vt:vector>
  </HeadingPairs>
  <TitlesOfParts>
    <vt:vector baseType="lpstr" size="18">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2026-04-20T10:57:45.529Z</dcterms:created>
  <dcterms:modified xsi:type="dcterms:W3CDTF">2026-04-20T10:57:45.529Z</dcterms:modified>
</cp:coreProperties>
</file>