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tilizador\Desktop\DESOFS\desofs2026-wed_nap_2\Deliverables\"/>
    </mc:Choice>
  </mc:AlternateContent>
  <xr:revisionPtr revIDLastSave="0" documentId="13_ncr:1_{88D243C7-2F4F-4434-B8A0-92E766397AA2}" xr6:coauthVersionLast="47" xr6:coauthVersionMax="47" xr10:uidLastSave="{00000000-0000-0000-0000-000000000000}"/>
  <bookViews>
    <workbookView xWindow="-120" yWindow="-120" windowWidth="29040" windowHeight="15720" tabRatio="500" firstSheet="2" activeTab="5" xr2:uid="{00000000-000D-0000-FFFF-FFFF00000000}"/>
  </bookViews>
  <sheets>
    <sheet name="Summary" sheetId="1" r:id="rId1"/>
    <sheet name="V1 - Encoding and Sanitization" sheetId="2" r:id="rId2"/>
    <sheet name="V2 - Validation and Business Lo" sheetId="3" r:id="rId3"/>
    <sheet name="V3 - Web Frontend Security" sheetId="4" r:id="rId4"/>
    <sheet name="V4 - API and Web Service" sheetId="5" r:id="rId5"/>
    <sheet name="V5 - File Handling" sheetId="6" r:id="rId6"/>
    <sheet name="V6 - Authentication" sheetId="7" r:id="rId7"/>
    <sheet name="V7 - Session Management" sheetId="8" r:id="rId8"/>
    <sheet name="V8 - Authorization" sheetId="9" r:id="rId9"/>
    <sheet name="V9 - Self-contained Tokens" sheetId="10" r:id="rId10"/>
    <sheet name="V10 - OAuth and OIDC" sheetId="11" r:id="rId11"/>
    <sheet name="V11 - Cryptography" sheetId="12" r:id="rId12"/>
    <sheet name="V12 - Secure Communication" sheetId="13" r:id="rId13"/>
    <sheet name="V13 - Configuration" sheetId="14" r:id="rId14"/>
    <sheet name="V14 - Data Protection" sheetId="15" r:id="rId15"/>
    <sheet name="V15 - Secure Coding and Archite" sheetId="16" r:id="rId16"/>
    <sheet name="V16 - Security Logging and Erro" sheetId="17" r:id="rId17"/>
    <sheet name="V17 - WebRTC" sheetId="18" r:id="rId18"/>
  </sheets>
  <calcPr calcId="181029" iterateDelta="1E-4"/>
</workbook>
</file>

<file path=xl/calcChain.xml><?xml version="1.0" encoding="utf-8"?>
<calcChain xmlns="http://schemas.openxmlformats.org/spreadsheetml/2006/main">
  <c r="I23" i="1" l="1"/>
  <c r="F23" i="1"/>
  <c r="C23" i="1"/>
  <c r="B23" i="1"/>
  <c r="L22" i="1"/>
  <c r="M22" i="1" s="1"/>
  <c r="J22" i="1"/>
  <c r="K22" i="1" s="1"/>
  <c r="G22" i="1"/>
  <c r="H22" i="1" s="1"/>
  <c r="M21" i="1"/>
  <c r="L21" i="1"/>
  <c r="K21" i="1"/>
  <c r="J21" i="1"/>
  <c r="G21" i="1"/>
  <c r="H21" i="1" s="1"/>
  <c r="L20" i="1"/>
  <c r="M20" i="1" s="1"/>
  <c r="J20" i="1"/>
  <c r="K20" i="1" s="1"/>
  <c r="G20" i="1"/>
  <c r="H20" i="1" s="1"/>
  <c r="D20" i="1"/>
  <c r="L19" i="1"/>
  <c r="M19" i="1" s="1"/>
  <c r="J19" i="1"/>
  <c r="K19" i="1" s="1"/>
  <c r="G19" i="1"/>
  <c r="H19" i="1" s="1"/>
  <c r="D19" i="1"/>
  <c r="E19" i="1" s="1"/>
  <c r="M18" i="1"/>
  <c r="L18" i="1"/>
  <c r="J18" i="1"/>
  <c r="K18" i="1" s="1"/>
  <c r="G18" i="1"/>
  <c r="H18" i="1" s="1"/>
  <c r="D18" i="1"/>
  <c r="E18" i="1" s="1"/>
  <c r="L17" i="1"/>
  <c r="M17" i="1" s="1"/>
  <c r="J17" i="1"/>
  <c r="K17" i="1" s="1"/>
  <c r="G17" i="1"/>
  <c r="H17" i="1" s="1"/>
  <c r="D17" i="1"/>
  <c r="E17" i="1" s="1"/>
  <c r="L16" i="1"/>
  <c r="M16" i="1" s="1"/>
  <c r="J16" i="1"/>
  <c r="K16" i="1" s="1"/>
  <c r="H16" i="1"/>
  <c r="G16" i="1"/>
  <c r="D16" i="1"/>
  <c r="E16" i="1" s="1"/>
  <c r="L15" i="1"/>
  <c r="M15" i="1" s="1"/>
  <c r="J15" i="1"/>
  <c r="K15" i="1" s="1"/>
  <c r="G15" i="1"/>
  <c r="H15" i="1" s="1"/>
  <c r="D15" i="1"/>
  <c r="E15" i="1" s="1"/>
  <c r="L14" i="1"/>
  <c r="M14" i="1" s="1"/>
  <c r="G14" i="1"/>
  <c r="H14" i="1" s="1"/>
  <c r="D14" i="1"/>
  <c r="E14" i="1" s="1"/>
  <c r="L13" i="1"/>
  <c r="M13" i="1" s="1"/>
  <c r="K13" i="1"/>
  <c r="J13" i="1"/>
  <c r="G13" i="1"/>
  <c r="H13" i="1" s="1"/>
  <c r="D13" i="1"/>
  <c r="E13" i="1" s="1"/>
  <c r="L12" i="1"/>
  <c r="M12" i="1" s="1"/>
  <c r="J12" i="1"/>
  <c r="K12" i="1" s="1"/>
  <c r="G12" i="1"/>
  <c r="H12" i="1" s="1"/>
  <c r="D12" i="1"/>
  <c r="E12" i="1" s="1"/>
  <c r="L11" i="1"/>
  <c r="M11" i="1" s="1"/>
  <c r="J11" i="1"/>
  <c r="K11" i="1" s="1"/>
  <c r="G11" i="1"/>
  <c r="H11" i="1" s="1"/>
  <c r="E11" i="1"/>
  <c r="D11" i="1"/>
  <c r="L10" i="1"/>
  <c r="M10" i="1" s="1"/>
  <c r="J10" i="1"/>
  <c r="K10" i="1" s="1"/>
  <c r="G10" i="1"/>
  <c r="H10" i="1" s="1"/>
  <c r="D10" i="1"/>
  <c r="E10" i="1" s="1"/>
  <c r="L9" i="1"/>
  <c r="M9" i="1" s="1"/>
  <c r="J9" i="1"/>
  <c r="K9" i="1" s="1"/>
  <c r="G9" i="1"/>
  <c r="H9" i="1" s="1"/>
  <c r="D9" i="1"/>
  <c r="E9" i="1" s="1"/>
  <c r="L8" i="1"/>
  <c r="M8" i="1" s="1"/>
  <c r="K8" i="1"/>
  <c r="J8" i="1"/>
  <c r="G8" i="1"/>
  <c r="H8" i="1" s="1"/>
  <c r="D8" i="1"/>
  <c r="E8" i="1" s="1"/>
  <c r="L7" i="1"/>
  <c r="M7" i="1" s="1"/>
  <c r="J7" i="1"/>
  <c r="K7" i="1" s="1"/>
  <c r="G7" i="1"/>
  <c r="H7" i="1" s="1"/>
  <c r="D7" i="1"/>
  <c r="E7" i="1" s="1"/>
  <c r="L6" i="1"/>
  <c r="J6" i="1"/>
  <c r="G6" i="1"/>
  <c r="D6" i="1"/>
  <c r="E6" i="1" s="1"/>
  <c r="G23" i="1" l="1"/>
  <c r="J23" i="1"/>
  <c r="L23" i="1"/>
  <c r="D23" i="1"/>
  <c r="K6" i="1"/>
  <c r="K23" i="1" s="1"/>
  <c r="H6" i="1"/>
  <c r="H23" i="1" s="1"/>
  <c r="M6" i="1"/>
  <c r="M23" i="1" s="1"/>
  <c r="E20" i="1"/>
  <c r="E23" i="1" s="1"/>
</calcChain>
</file>

<file path=xl/sharedStrings.xml><?xml version="1.0" encoding="utf-8"?>
<sst xmlns="http://schemas.openxmlformats.org/spreadsheetml/2006/main" count="2485" uniqueCount="1321">
  <si>
    <t>OWASP ASVS 5.0 – Compliance Tracker</t>
  </si>
  <si>
    <t>Chapter</t>
  </si>
  <si>
    <t>Total
Reqs</t>
  </si>
  <si>
    <t>L1
Total</t>
  </si>
  <si>
    <t>L1
Compliant</t>
  </si>
  <si>
    <t>L1
%</t>
  </si>
  <si>
    <t>L2
Total</t>
  </si>
  <si>
    <t>L2
Compliant</t>
  </si>
  <si>
    <t>L2
%</t>
  </si>
  <si>
    <t>L3
Total</t>
  </si>
  <si>
    <t>L3
Compliant</t>
  </si>
  <si>
    <t>L3
%</t>
  </si>
  <si>
    <t>Overall
Compliant</t>
  </si>
  <si>
    <t>Overall
%</t>
  </si>
  <si>
    <t>V1 – Encoding and Sanitization</t>
  </si>
  <si>
    <t>V2 – Validation and Business Logic</t>
  </si>
  <si>
    <t>V3 – Web Frontend Security</t>
  </si>
  <si>
    <t>V4 – API and Web Service</t>
  </si>
  <si>
    <t>V5 – File Handling</t>
  </si>
  <si>
    <t>V6 – Authentication</t>
  </si>
  <si>
    <t>V7 – Session Management</t>
  </si>
  <si>
    <t>V8 – Authorization</t>
  </si>
  <si>
    <t>V9 – Self-contained Tokens</t>
  </si>
  <si>
    <t>N/A</t>
  </si>
  <si>
    <t>V10 – OAuth and OIDC</t>
  </si>
  <si>
    <t>V11 – Cryptography</t>
  </si>
  <si>
    <t>V12 – Secure Communication</t>
  </si>
  <si>
    <t>V13 – Configuration</t>
  </si>
  <si>
    <t>V14 – Data Protection</t>
  </si>
  <si>
    <t>V15 – Secure Coding and Architecture</t>
  </si>
  <si>
    <t>V16 – Security Logging and Error Handling</t>
  </si>
  <si>
    <t>V17 – WebRTC</t>
  </si>
  <si>
    <t>TOTAL</t>
  </si>
  <si>
    <t>Section ID</t>
  </si>
  <si>
    <t>Section Name</t>
  </si>
  <si>
    <t>Req ID</t>
  </si>
  <si>
    <t>Description</t>
  </si>
  <si>
    <t>Level</t>
  </si>
  <si>
    <t>Status</t>
  </si>
  <si>
    <t>Observations</t>
  </si>
  <si>
    <t>Reference / Link</t>
  </si>
  <si>
    <t>V1.1</t>
  </si>
  <si>
    <t>Encoding and Sanitization Architecture</t>
  </si>
  <si>
    <t>V1.1.1</t>
  </si>
  <si>
    <t>Verify that input is decoded or unescaped into a canonical form only once, it is only decoded when encoded data in that form is expected, and that this is done before processing the input further, for example it is not performed after input validation or sanitization.</t>
  </si>
  <si>
    <t>Compliant</t>
  </si>
  <si>
    <t>ArcadeHeaven uses Spring Boot which automatically deserializes JSON inputs into Java objects ensuring a canonical form at entry. Validation will be enforced using Bean Validation</t>
  </si>
  <si>
    <t>V1.1.2</t>
  </si>
  <si>
    <t>Verify that the application performs output encoding and escaping either as a final step before being used by the interpreter for which it is intended or by the interpreter itself.</t>
  </si>
  <si>
    <t>In Progress</t>
  </si>
  <si>
    <t>V1.2</t>
  </si>
  <si>
    <t>Injection Prevention</t>
  </si>
  <si>
    <t>V1.2.1</t>
  </si>
  <si>
    <t>Verify that output encoding for an HTTP response, HTML document, or XML document is relevant for the context required, such as encoding the relevant characters for HTML elements, HTML attributes, HTML comments, CSS, or HTTP header fields, to avoid changing the message or document structure.</t>
  </si>
  <si>
    <t>Not Applicable</t>
  </si>
  <si>
    <t>ArcadeHaven does not generate HTML or XML content</t>
  </si>
  <si>
    <t>V1.2.2</t>
  </si>
  <si>
    <t>Verify that when dynamically building URLs, untrusted data is encoded according to its context (e.g., URL encoding or base64url encoding for query or path parameters). Ensure that only safe URL protocols are permitted (e.g., disallow javascript: or data:).</t>
  </si>
  <si>
    <t>Not Started</t>
  </si>
  <si>
    <t>V1.2.3</t>
  </si>
  <si>
    <t>Verify that output encoding or escaping is used when dynamically building JavaScript content (including JSON), to avoid changing the message or document structure (to avoid JavaScript and JSON injection).</t>
  </si>
  <si>
    <t>V1.2.4</t>
  </si>
  <si>
    <t>Verify that data selection or database queries (e.g., SQL, HQL, NoSQL, Cypher) use parameterized queries, ORMs, entity frameworks, or are otherwise protected from SQL Injection and other database injection attacks. This is also relevant when writing stored procedures.</t>
  </si>
  <si>
    <t>The entire data access layer uses Spring Data JPA with typed repositories</t>
  </si>
  <si>
    <t>V1.2.5</t>
  </si>
  <si>
    <t>Verify that the application protects against OS command injection and that operating system calls use parameterized OS queries or use contextual command line output encoding.</t>
  </si>
  <si>
    <t>ArcadeHaven does not use operating system commands</t>
  </si>
  <si>
    <t>V1.2.6</t>
  </si>
  <si>
    <t>Verify that the application protects against LDAP injection vulnerabilities, or that specific security controls to prevent LDAP injection have been implemented.</t>
  </si>
  <si>
    <t>No LDAP integration is used in ArcadeHaven</t>
  </si>
  <si>
    <t>V1.2.7</t>
  </si>
  <si>
    <t>Verify that the application is protected against XPath injection attacks by using query parameterization or precompiled queries.</t>
  </si>
  <si>
    <t>No XPath or XML quering is used in ArcadeHeaven</t>
  </si>
  <si>
    <t>V1.2.8</t>
  </si>
  <si>
    <t>Verify that LaTeX processors are configured securely (such as not using the "--shell-escape" flag) and an allowlist of commands is used to prevent LaTeX injection attacks.</t>
  </si>
  <si>
    <t>No LaTeX processing is used in ArcadeHaven</t>
  </si>
  <si>
    <t>V1.2.9</t>
  </si>
  <si>
    <t>Verify that the application escapes special characters in regular expressions (typically using a backslash) to prevent them from being misinterpreted as metacharacters.</t>
  </si>
  <si>
    <t>V1.2.10</t>
  </si>
  <si>
    <t>Verify that the application is protected against CSV and Formula Injection. The application must follow the escaping rules defined in RFC 4180 sections 2.6 and 2.7 when exporting CSV content. Additionally, when exporting to CSV or other spreadsheet formats (such as XLS, XLSX, or ODF), special characters (including '=', '+', '-', '@', '\t' (tab), and '\0' (null character)) must be escaped with a single quote if they appear as the first character in a field value.</t>
  </si>
  <si>
    <t>No CSV or Spreedsheet export is implemented in ArcadeHaven</t>
  </si>
  <si>
    <t>V1.3</t>
  </si>
  <si>
    <t>Sanitization</t>
  </si>
  <si>
    <t>V1.3.1</t>
  </si>
  <si>
    <t>Verify that all untrusted HTML input from WYSIWYG editors or similar is sanitized using a well-known and secure HTML sanitization library or framework feature.</t>
  </si>
  <si>
    <t>No WYSIWYG or HTML input is accepted</t>
  </si>
  <si>
    <t>V1.3.2</t>
  </si>
  <si>
    <t>Verify that the application avoids the use of eval() or other dynamic code execution features such as Spring Expression Language (SpEL). Where there is no alternative, any user input being included must be sanitized before being executed.</t>
  </si>
  <si>
    <t>ArcadeHaven does not use SpEL with user input. The @PreAuthorize annotations use SpEL with static expressions (“hasRole(‘ADMIN’)”)</t>
  </si>
  <si>
    <t>V1.3.3</t>
  </si>
  <si>
    <t>Verify that data being passed to a potentially dangerous context is sanitized beforehand to enforce safety measures, such as only allowing characters which are safe for this context and trimming input which is too long.</t>
  </si>
  <si>
    <t>V1.3.4</t>
  </si>
  <si>
    <t>Verify that user-supplied Scalable Vector Graphics (SVG) scriptable content is validated or sanitized to contain only tags and attributes (such as draw graphics) that are safe for the application, e.g., do not contain scripts and foreignObject.</t>
  </si>
  <si>
    <t>SVG files are explicitly rejected during file upload validation</t>
  </si>
  <si>
    <t>V1.3.5</t>
  </si>
  <si>
    <t>Verify that the application sanitizes or disables user-supplied scriptable or expression template language content, such as Markdown, CSS or XSL stylesheets, BBCode, or similar.</t>
  </si>
  <si>
    <t>No scriptable content (Markdown, CSS, BBCode) is processed</t>
  </si>
  <si>
    <t>V1.3.6</t>
  </si>
  <si>
    <t>Verify that the application protects against Server-side Request Forgery (SSRF) attacks, by validating untrusted data against an allowlist of protocols, domains, paths and ports and sanitizing potentially dangerous characters before using the data to call another service.</t>
  </si>
  <si>
    <t>V1.3.7</t>
  </si>
  <si>
    <t>Verify that the application protects against template injection attacks by not allowing templates to be built based on untrusted input. Where there is no alternative, any untrusted input being included dynamically during template creation must be sanitized or strictly validated.</t>
  </si>
  <si>
    <t>V1.3.8</t>
  </si>
  <si>
    <t>Verify that the application appropriately sanitizes untrusted input before use in Java Naming and Directory Interface (JNDI) queries and that JNDI is configured securely to prevent JNDI injection attacks.</t>
  </si>
  <si>
    <t>No JNDI usage is present</t>
  </si>
  <si>
    <t>V1.3.9</t>
  </si>
  <si>
    <t>Verify that the application sanitizes content before it is sent to memcache to prevent injection attacks.</t>
  </si>
  <si>
    <t>No memcache usage is present</t>
  </si>
  <si>
    <t>V1.3.10</t>
  </si>
  <si>
    <t>Verify that format strings which might resolve in an unexpected or malicious way when used are sanitized before being processed.</t>
  </si>
  <si>
    <t>V1.3.11</t>
  </si>
  <si>
    <t>Verify that the application sanitizes user input before passing to mail systems to protect against SMTP or IMAP injection.</t>
  </si>
  <si>
    <t>No email functionality is implemented</t>
  </si>
  <si>
    <t>V1.3.12</t>
  </si>
  <si>
    <t>Verify that regular expressions are free from elements causing exponential backtracking, and ensure untrusted input is sanitized to mitigate ReDoS or Runaway Regex attacks.</t>
  </si>
  <si>
    <t>V1.4</t>
  </si>
  <si>
    <t>Memory, String, and Unmanaged Code</t>
  </si>
  <si>
    <t>V1.4.1</t>
  </si>
  <si>
    <t>Verify that the application uses memory-safe string, safer memory copy and pointer arithmetic to detect or prevent stack, buffer, or heap overflows.</t>
  </si>
  <si>
    <t>Java provides built-in memory safety so no manual memory management is used</t>
  </si>
  <si>
    <t>V1.4.2</t>
  </si>
  <si>
    <t>Verify that sign, range, and input validation techniques are used to prevent integer overflows.</t>
  </si>
  <si>
    <t>V1.4.3</t>
  </si>
  <si>
    <t>Verify that dynamically allocated memory and resources are released, and that references or pointers to freed memory are removed or set to null to prevent dangling pointers and use-after-free vulnerabilities.</t>
  </si>
  <si>
    <t>V1.5</t>
  </si>
  <si>
    <t>Safe Deserialization</t>
  </si>
  <si>
    <t>V1.5.1</t>
  </si>
  <si>
    <t>Verify that the application configures XML parsers to use a restrictive configuration and that unsafe features such as resolving external entities are disabled to prevent XML eXternal Entity (XXE) attacks.</t>
  </si>
  <si>
    <t>V1.5.2</t>
  </si>
  <si>
    <t>Verify that deserialization of untrusted data enforces safe input handling, such as using an allowlist of object types or restricting client-defined object types, to prevent deserialization attacks. Deserialization mechanisms that are explicitly defined as insecure must not be used with untrusted input.</t>
  </si>
  <si>
    <t>spring.jackson.deserialization.fail-on-unknown-properties=true added to application.properties. KeycloakAdminConfig and all @Configuration beans confirmed to have no enableDefaultTyping() call. No DTO uses @JsonTypeInfo with As.PROPERTY without an allowlist.</t>
  </si>
  <si>
    <t>Api/src/main/resources/application.properties; Api/src/main/java/isep/desosfs/arcadehaven/Config/KeycloakAdminConfig.java</t>
  </si>
  <si>
    <t>V1.5.3</t>
  </si>
  <si>
    <t>Verify that different parsers used in the application for the same data type (e.g., JSON parsers, XML parsers, URL parsers), perform parsing in a consistent way and use the same character encoding mechanism to avoid issues such as JSON Interoperability vulnerabilities or different URI or file parsing behavior being exploited in Remote File Inclusion (RFI) or Server-side Request Forgery (SSRF) attacks.</t>
  </si>
  <si>
    <t>V2.1</t>
  </si>
  <si>
    <t>Validation and Business Logic Documentation</t>
  </si>
  <si>
    <t>V2.1.1</t>
  </si>
  <si>
    <t>Verify that the application's documentation defines input validation rules for how to check the validity of data items against an expected structure. This could be common data formats such as credit card numbers, email addresses, telephone numbers, or it could be an internal data format.</t>
  </si>
  <si>
    <t>Input validation rules will be formally defined using DTO constraints and documented per endpoint</t>
  </si>
  <si>
    <t>Api/src/main/.../Dto/Request/RegisterRequest.java (@NoHtml, @Size, @Email, @NotBlank); Dto/Request/CreateGameRequest.java; Validation/NoHtmlValidator.java; Validation/FileValidator.java</t>
  </si>
  <si>
    <t>V2.1.2</t>
  </si>
  <si>
    <t>Verify that the application's documentation defines how to validate the logical and contextual consistency of combined data items, such as checking that suburb and ZIP code match.</t>
  </si>
  <si>
    <t>Logical consistency rules will be documented, including constraints such as valid price ranges, non-negative quantities, and consistency between related fields</t>
  </si>
  <si>
    <t>Api/src/main/.../Domain/Order.java; Domain/Library.java; Service/OrderService.java (domain-level business rule enforcement)</t>
  </si>
  <si>
    <t>V2.1.3</t>
  </si>
  <si>
    <t>Verify that expectations for business logic limits and validations are documented, including both per-user and globally across the application.</t>
  </si>
  <si>
    <t>Business rules will be defined for both per-user and global constraints</t>
  </si>
  <si>
    <t>Api/src/main/.../Domain/Order.java (status transitions); Service/OrderService.java (item limits, status checks); Service/LibraryService.java</t>
  </si>
  <si>
    <t>V2.2</t>
  </si>
  <si>
    <t>Input Validation</t>
  </si>
  <si>
    <t>V2.2.1</t>
  </si>
  <si>
    <t>Verify that input is validated to enforce business or functional expectations for that input. This should either use positive validation against an allow list of values, patterns, and ranges, or be based on comparing the input to an expected structure and logical limits according to predefined rules. For L1, this can focus on input which is used to make specific business or security decisions. For L2 and up, this should apply to all input.</t>
  </si>
  <si>
    <t>All request DTOs use Bean Validation</t>
  </si>
  <si>
    <t>V2.2.2</t>
  </si>
  <si>
    <t>Verify that the application is designed to enforce input validation at a trusted service layer. While client-side validation improves usability and should be encouraged, it must not be relied upon as a security control.</t>
  </si>
  <si>
    <t>All validation is performed server-side using Spring Bean Validation in the controller/service layer. There is no frontend implementation that performs client-side validation, so there is no risk of bypass. The tracker must be updated.</t>
  </si>
  <si>
    <t>V2.2.3</t>
  </si>
  <si>
    <t>Verify that the application ensures that combinations of related data items are reasonable according to the pre-defined rules.</t>
  </si>
  <si>
    <t>V2.3</t>
  </si>
  <si>
    <t>Business Logic Security</t>
  </si>
  <si>
    <t>V2.3.1</t>
  </si>
  <si>
    <t>Verify that the application will only process business logic flows for the same user in the expected sequential step order and without skipping steps.</t>
  </si>
  <si>
    <t>The Order uses a state machine (OrderStatus: PENDING → COMPLETED), and the Order.complete() method validates that the status is PENDING before transitioning. The LibraryEntry is only created after the Order is COMPLETED. The game follows the PENDING → APPROVED/REJECTED flow with validation in the AdminService. The tracker must be updated.</t>
  </si>
  <si>
    <t>V2.3.2</t>
  </si>
  <si>
    <t>Verify that business logic limits are implemented per the application's documentation to avoid business logic flaws being exploited.</t>
  </si>
  <si>
    <t>V2.3.3</t>
  </si>
  <si>
    <t>Verify that transactions are being used at the business logic level such that either a business logic operation succeeds in its entirety or it is rolled back to the previous correct state.</t>
  </si>
  <si>
    <t>V2.3.4</t>
  </si>
  <si>
    <t>Verify that business logic level locking mechanisms are used to ensure that limited quantity resources (such as theater seats or delivery slots) cannot be double-booked by manipulating the application's logic.</t>
  </si>
  <si>
    <t>V2.3.5</t>
  </si>
  <si>
    <t>Verify that high-value business logic flows require multi-user approval to prevent unauthorized or accidental actions. This could include but is not limited to large monetary transfers, contract approvals, access to classified information, or safety overrides in manufacturing.</t>
  </si>
  <si>
    <t>The system does not include high-risk operations requiring multiple user approval</t>
  </si>
  <si>
    <t>V2.4</t>
  </si>
  <si>
    <t>Anti-automation</t>
  </si>
  <si>
    <t>V2.4.1</t>
  </si>
  <si>
    <t>Verify that anti-automation controls are in place to protect against excessive calls to application functions that could lead to data exfiltration, garbage-data creation, quota exhaustion, rate-limit breaches, denial-of-service, or overuse of costly resources.</t>
  </si>
  <si>
    <t>V2.4.2</t>
  </si>
  <si>
    <t>Verify that business logic flows require realistic human timing, preventing excessively rapid transaction submissions.</t>
  </si>
  <si>
    <t>c</t>
  </si>
  <si>
    <t>V3.1</t>
  </si>
  <si>
    <t>Web Frontend Security Documentation</t>
  </si>
  <si>
    <t>V3.1.1</t>
  </si>
  <si>
    <t>Verify that application documentation states the expected security features that browsers using the application must support (such as HTTPS, HTTP Strict Transport Security (HSTS), Content Security Policy (CSP), and other relevant HTTP security mechanisms). It must also define how the application must behave when some of these features are not available (such as warning the user or blocking access).</t>
  </si>
  <si>
    <t>REST API with no browser-facing front-end. No browser security features need to be documented.</t>
  </si>
  <si>
    <t>V3.2</t>
  </si>
  <si>
    <t>Unintended Content Interpretation</t>
  </si>
  <si>
    <t>V3.2.1</t>
  </si>
  <si>
    <t>Verify that security controls are in place to prevent browsers from rendering content or functionality in HTTP responses in an incorrect context (e.g., when an API, a user-uploaded file or other resource is requested directly). Possible controls could include: not serving the content unless HTTP request header fields (such as Sec-Fetch-\*) indicate it is the correct context, using the sandbox directive of the Content-Security-Policy header field or using the attachment disposition type in the Content-Disposition header field.</t>
  </si>
  <si>
    <t>V3.2.2</t>
  </si>
  <si>
    <t>Verify that content intended to be displayed as text, rather than rendered as HTML, is handled using safe rendering functions (such as createTextNode or textContent) to prevent unintended execution of content such as HTML or JavaScript.</t>
  </si>
  <si>
    <t>No HTML rendering occurs in the API. All responses are JSON or binary file content.</t>
  </si>
  <si>
    <t>V3.2.3</t>
  </si>
  <si>
    <t>Verify that the application avoids DOM clobbering when using client-side JavaScript by employing explicit variable declarations, performing strict type checking, avoiding storing global variables on the document object, and implementing namespace isolation.</t>
  </si>
  <si>
    <t>No client-side JavaScript is used. ArcadeHaven is a back-end REST API only.</t>
  </si>
  <si>
    <t>V3.3</t>
  </si>
  <si>
    <t>Cookie Setup</t>
  </si>
  <si>
    <t>V3.3.1</t>
  </si>
  <si>
    <t>Verify that cookies have the 'Secure' attribute set, and if the '\__Host-' prefix is not used for the cookie name, the '__Secure-' prefix must be used for the cookie name.</t>
  </si>
  <si>
    <t>Uses JWT tokens in the Authorization header, not cookies.</t>
  </si>
  <si>
    <t>V3.3.2</t>
  </si>
  <si>
    <t>Verify that each cookie's 'SameSite' attribute value is set according to the purpose of the cookie, to limit exposure to user interface redress attacks and browser-based request forgery attacks, commonly known as cross-site request forgery (CSRF).</t>
  </si>
  <si>
    <t>No cookies are used. Authentication is handled via JWT Bearer tokens.</t>
  </si>
  <si>
    <t>V3.3.3</t>
  </si>
  <si>
    <t>Verify that cookies have the '__Host-' prefix for the cookie name unless they are explicitly designed to be shared with other hosts.</t>
  </si>
  <si>
    <t>V3.3.4</t>
  </si>
  <si>
    <t>Verify that if the value of a cookie is not meant to be accessible to client-side scripts (such as a session token), the cookie must have the 'HttpOnly' attribute set and the same value (e. g. session token) must only be transferred to the client via the 'Set-Cookie' header field.</t>
  </si>
  <si>
    <t>No session cookies are used. JWTs are transmitted via the Authorization header only.</t>
  </si>
  <si>
    <t>V3.3.5</t>
  </si>
  <si>
    <t>Verify that when the application writes a cookie, the cookie name and value length combined are not over 4096 bytes. Overly large cookies will not be stored by the browser and therefore not sent with requests, preventing the user from using application functionality which relies on that cookie.</t>
  </si>
  <si>
    <t>No cookies are used.</t>
  </si>
  <si>
    <t>V3.4</t>
  </si>
  <si>
    <t>Browser Security Mechanism Headers</t>
  </si>
  <si>
    <t>V3.4.1</t>
  </si>
  <si>
    <t>Verify that a Strict-Transport-Security header field is included on all responses to enforce an HTTP Strict Transport Security (HSTS) policy. A maximum age of at least 1 year must be defined, and for L2 and up, the policy must apply to all subdomains as well.</t>
  </si>
  <si>
    <t>HSTS header (`Strict-Transport-Security: max-age=31536000; includeSubDomains`) will be enforced on all API responses via Spring Security</t>
  </si>
  <si>
    <t>Api/src/main/.../Security/SecurityConfig.java (hsts maxAge=31536000, includeSubDomains=true)</t>
  </si>
  <si>
    <t>V3.4.2</t>
  </si>
  <si>
    <t>Verify that the Cross-Origin Resource Sharing (CORS) Access-Control-Allow-Origin header field is a fixed value by the application, or if the Origin HTTP request header field value is used, it is validated against an allowlist of trusted origins. When 'Access-Control-Allow-Origin: *' needs to be used, verify that the response does not include any sensitive information.</t>
  </si>
  <si>
    <t>CORS will be configured with a strict allowlist of trusted origins. `Access-Control-Allow-Origin: *` will not be used on authenticated endpoints.</t>
  </si>
  <si>
    <t>Api/src/main/.../Security/SecurityConfig.java (corsConfigurationSource, explicit allowlist); application.properties (security.cors.allowed-origins)</t>
  </si>
  <si>
    <t>V3.4.3</t>
  </si>
  <si>
    <t>Verify that HTTP responses include a Content-Security-Policy response header field which defines directives to ensure the browser only loads and executes trusted content or resources, in order to limit execution of malicious JavaScript. As a minimum, a global policy must be used which includes the directives object-src 'none' and base-uri 'none' and defines either an allowlist or uses nonces or hashes. For an L3 application, a per-response policy with nonces or hashes must be defined.</t>
  </si>
  <si>
    <t xml:space="preserve">CSP not applicable to JSON REST API without HTML responses.   </t>
  </si>
  <si>
    <t>V3.4.4</t>
  </si>
  <si>
    <t>Verify that all HTTP responses contain an 'X-Content-Type-Options: nosniff' header field. This instructs browsers not to use content sniffing and MIME type guessing for the given response, and to require the response's Content-Type header field value to match the destination resource. For example, the response to a request for a style is only accepted if the response's Content-Type is 'text/css'. This also enables the use of the Cross-Origin Read Blocking (CORB) functionality by the browser.</t>
  </si>
  <si>
    <t>`X-Content-Type-Options: nosniff` will be included on all API responses via Spring Security headers configuration.</t>
  </si>
  <si>
    <t>Api/src/main/.../Security/SecurityConfig.java (contentTypeOptions nosniff)</t>
  </si>
  <si>
    <t>V3.4.5</t>
  </si>
  <si>
    <t>Verify that the application sets a referrer policy to prevent leakage of technically sensitive data to third-party services via the 'Referer' HTTP request header field. This can be done using the Referrer-Policy HTTP response header field or via HTML element attributes. Sensitive data could include path and query data in the URL, and for internal non-public applications also the hostname.</t>
  </si>
  <si>
    <t xml:space="preserve">Referrer-Policy has minimal relevance in API-only context.   </t>
  </si>
  <si>
    <t>V3.4.6</t>
  </si>
  <si>
    <t>Verify that the web application uses the frame-ancestors directive of the Content-Security-Policy header field for every HTTP response to ensure that it cannot be embedded by default and that embedding of specific resources is allowed only when necessary. Note that the X-Frame-Options header field, although supported by browsers, is obsolete and may not be relied upon.</t>
  </si>
  <si>
    <t xml:space="preserve">Frame-ancestors not applicable (no browser rendering).           </t>
  </si>
  <si>
    <t>V3.4.7</t>
  </si>
  <si>
    <t>Verify that the Content-Security-Policy header field specifies a location to report violations.</t>
  </si>
  <si>
    <t>CSP reporting not applicable without CSP usage.</t>
  </si>
  <si>
    <t>V3.4.8</t>
  </si>
  <si>
    <t>Verify that all HTTP responses that initiate a document rendering (such as responses with Content-Type text/html), include the Cross‑Origin‑Opener‑Policy header field with the same-origin directive or the same-origin-allow-popups directive as required. This prevents attacks that abuse shared access to Window objects, such as tabnabbing and frame counting.</t>
  </si>
  <si>
    <t xml:space="preserve"> ArcadeHaven does not serve HTML documents. `Cross-Origin-Opener-Policy` is not applicable to a JSON REST API.</t>
  </si>
  <si>
    <t>V3.5</t>
  </si>
  <si>
    <t>Browser Origin Separation</t>
  </si>
  <si>
    <t>V3.5.1</t>
  </si>
  <si>
    <t>Verify that, if the application does not rely on the CORS preflight mechanism to prevent disallowed cross-origin requests to use sensitive functionality, these requests are validated to ensure they originate from the application itself. This may be done by using and validating anti-forgery tokens or requiring extra HTTP header fields that are not CORS-safelisted request-header fields. This is to defend against browser-based request forgery attacks, commonly known as cross-site request forgery (CSRF).</t>
  </si>
  <si>
    <t>All sensitive endpoints require a valid JWT Bearer token in the `Authorization` header, which is not a CORS-safelisted header, effectively preventing CSRF.</t>
  </si>
  <si>
    <t>Api/src/main/.../Security/SecurityConfig.java</t>
  </si>
  <si>
    <t>V3.5.2</t>
  </si>
  <si>
    <t>Verify that, if the application relies on the CORS preflight mechanism to prevent disallowed cross-origin use of sensitive functionality, it is not possible to call the functionality with a request which does not trigger a CORS-preflight request. This may require checking the values of the 'Origin' and 'Content-Type' request header fields or using an extra header field that is not a CORS-safelisted header-field.</t>
  </si>
  <si>
    <t>All state-changing API calls require `Content-Type: application/json`, which triggers a CORS preflight. Requests without this header will be rejected.</t>
  </si>
  <si>
    <t>Api/src/main/.../Security/SecurityConfig.java; Controller/AuthController.java; Controller/OrderController.java; Controller/PublisherController.java; Controller/AdminController.java</t>
  </si>
  <si>
    <t>V3.5.3</t>
  </si>
  <si>
    <t>Verify that HTTP requests to sensitive functionality use appropriate HTTP methods such as POST, PUT, PATCH, or DELETE, and not methods defined by the HTTP specification as "safe" such as HEAD, OPTIONS, or GET. Alternatively, strict validation of the Sec-Fetch-* request header fields can be used to ensure that the request did not originate from an inappropriate cross-origin call, a navigation request, or a resource load (such as an image source) where this is not expected.</t>
  </si>
  <si>
    <t>All sensitive operations use appropriate HTTP methods (POST, PUT, PATCH, DELETE). GET endpoints are read-only and do not expose sensitive functionality.</t>
  </si>
  <si>
    <t>Api/src/main/.../Controller/OrderController.java; Controller/PublisherController.java; Controller/AdminController.java; Controller/GameController.java</t>
  </si>
  <si>
    <t>V3.5.4</t>
  </si>
  <si>
    <t>Verify that separate applications are hosted on different hostnames to leverage the restrictions provided by same-origin policy, including how documents or scripts loaded by one origin can interact with resources from another origin and hostname-based restrictions on cookies.</t>
  </si>
  <si>
    <t>Single backend; hostname separation not applicable.</t>
  </si>
  <si>
    <t>V3.5.5</t>
  </si>
  <si>
    <t>Verify that messages received by the postMessage interface are discarded if the origin of the message is not trusted, or if the syntax of the message is invalid.</t>
  </si>
  <si>
    <t>No client-side messaging (postMessage).</t>
  </si>
  <si>
    <t>V3.5.6</t>
  </si>
  <si>
    <t>Verify that JSONP functionality is not enabled anywhere across the application to avoid Cross-Site Script Inclusion (XSSI) attacks.</t>
  </si>
  <si>
    <t>JSONP not used.</t>
  </si>
  <si>
    <t>V3.5.7</t>
  </si>
  <si>
    <t>Verify that data requiring authorization is not included in script resource responses, like JavaScript files, to prevent Cross-Site Script Inclusion (XSSI) attacks.</t>
  </si>
  <si>
    <t>API does not serve JavaScript files or executable client-side code.</t>
  </si>
  <si>
    <t>V3.5.8</t>
  </si>
  <si>
    <t>Verify that authenticated resources (such as images, videos, scripts, and other documents) can be loaded or embedded on behalf of the user only when intended. This can be accomplished by strict validation of the Sec-Fetch-* HTTP request header fields to ensure that the request did not originate from an inappropriate cross-origin call, or by setting a restrictive Cross-Origin-Resource-Policy HTTP response header field to instruct the browser to block returned content.</t>
  </si>
  <si>
    <t>V3.6</t>
  </si>
  <si>
    <t>External Resource Integrity</t>
  </si>
  <si>
    <t>V3.6.1</t>
  </si>
  <si>
    <t>Verify that client-side assets, such as JavaScript libraries, CSS, or web fonts, are only hosted externally (e.g., on a Content Delivery Network) if the resource is static and versioned and Subresource Integrity (SRI) is used to validate the integrity of the asset. If this is not possible, there should be a documented security decision to justify this for each resource.</t>
  </si>
  <si>
    <t>Not serve or load any external client-side assets (JS libraries, CSS, fonts). No CDN resources are used in the back-end API.</t>
  </si>
  <si>
    <t>V3.7</t>
  </si>
  <si>
    <t>Other Browser Security Considerations</t>
  </si>
  <si>
    <t>V3.7.1</t>
  </si>
  <si>
    <t>Verify that the application only uses client-side technologies which are still supported and considered secure. Examples of technologies which do not meet this requirement include NSAPI plugins, Flash, Shockwave, ActiveX, Silverlight, NACL, or client-side Java applets.</t>
  </si>
  <si>
    <t>Uses no client-side technologies. No plugins, Flash, ActiveX, or applets are used.</t>
  </si>
  <si>
    <t>V3.7.2</t>
  </si>
  <si>
    <t>Verify that the application will only automatically redirect the user to a different hostname or domain (which is not controlled by the application) where the destination appears on an allowlist.</t>
  </si>
  <si>
    <t>V3.7.3</t>
  </si>
  <si>
    <t>Verify that the application shows a notification when the user is being redirected to a URL outside of the application's control, with an option to cancel the navigation.</t>
  </si>
  <si>
    <t>REST API No user-facing redirect notifications are applicable.</t>
  </si>
  <si>
    <t>V3.7.4</t>
  </si>
  <si>
    <t>Verify that the application's top-level domain (e.g., site.tld) is added to the public preload list for HTTP Strict Transport Security (HSTS). This ensures that the use of TLS for the application is built directly into the main browsers, rather than relying only on the Strict-Transport-Security response header field.</t>
  </si>
  <si>
    <t>V3.7.5</t>
  </si>
  <si>
    <t>Verify that the application behaves as documented (such as warning the user or blocking access) if the browser used to access the application does not support the expected security features.</t>
  </si>
  <si>
    <t>REST API with no browser-facing interface. Browser feature detection is not applicable.</t>
  </si>
  <si>
    <t>V4.1</t>
  </si>
  <si>
    <t>Generic Web Service Security</t>
  </si>
  <si>
    <t>V4.1.1</t>
  </si>
  <si>
    <t>Verify that every HTTP response with a message body contains a Content-Type header field that matches the actual content of the response, including the charset parameter to specify safe character encoding (e.g., UTF-8, ISO-8859-1) according to IANA Media Types, such as "text/", "/+xml" and "/xml".</t>
  </si>
  <si>
    <t>All API responses will include `Content-Type: application/json; charset=UTF-8`. File download endpoints will use the appropriate MIME type (e.g. `application/pdf`, `image/png`). Enforced globally via Spring Boot's response configuration.</t>
  </si>
  <si>
    <t>Api/src/main/.../Controller/LibraryController.java; Controller/OrderController.java</t>
  </si>
  <si>
    <t>V4.1.2</t>
  </si>
  <si>
    <t>Verify that only user-facing endpoints (intended for manual web-browser access) automatically redirect from HTTP to HTTPS, while other services or endpoints do not implement transparent redirects. This is to avoid a situation where a client is erroneously sending unencrypted HTTP requests, but since the requests are being automatically redirected to HTTPS, the leakage of sensitive data goes undiscovered.</t>
  </si>
  <si>
    <t>All HTTP traffic is redirected to HTTPS at the reverse proxy level. The application itself is only exposed over HTTPS.</t>
  </si>
  <si>
    <t>Api/src/main/.../Security/RateLimitFilter.java (Bucket4j, 20 req/min per IP on /api/auth/login, /api/auth/register, /api/publisher/games)</t>
  </si>
  <si>
    <t>V4.1.3</t>
  </si>
  <si>
    <t>Verify that any HTTP header field used by the application and set by an intermediary layer, such as a load balancer, a web proxy, or a backend-for-frontend service, cannot be overridden by the end-user. Example headers might include X-Real-IP, X-Forwarded-*, or X-User-ID.</t>
  </si>
  <si>
    <t>Headers such as `X-Real-IP` and `X-Forwarded-For` set by intermediary layers (e.g. reverse proxy, Docker network) will be validated server-side. End-users will not be able to override these headers. Configuration will be enforced in the Spring Boot application and documented in the deployment guide.</t>
  </si>
  <si>
    <t>Api/src/main/.../Security/SecurityConfig.java; Security/RateLimitFilter.java; Dto/Request/ (Bean Validation annotations)</t>
  </si>
  <si>
    <t>V4.1.4</t>
  </si>
  <si>
    <t>Verify that only HTTP methods that are explicitly supported by the application or its API (including OPTIONS during preflight requests) can be used and that unused methods are blocked.</t>
  </si>
  <si>
    <t>V4.1.5</t>
  </si>
  <si>
    <t>Verify that per-message digital signatures are used to provide additional assurance on top of transport protections for requests or transactions which are highly sensitive or which traverse a number of systems.</t>
  </si>
  <si>
    <t>V4.2</t>
  </si>
  <si>
    <t>HTTP Message Structure Validation</t>
  </si>
  <si>
    <t>V4.2.1</t>
  </si>
  <si>
    <t>Verify that all application components (including load balancers, firewalls, and application servers) determine boundaries of incoming HTTP messages using the appropriate mechanism for the HTTP version to prevent HTTP request smuggling. In HTTP/1.x, if a Transfer-Encoding header field is present, the Content-Length header must be ignored per RFC 2616. When using HTTP/2 or HTTP/3, if a Content-Length header field is present, the receiver must ensure that it is consistent with the length of the DATA frames.</t>
  </si>
  <si>
    <t>ArcadeHaven will use HTTP/1.1 initially via Spring Boot embedded Tomcat, which handles Transfer-Encoding and Content-Length boundaries correctly by default. HTTP/2 support will be evaluated in Phase 2 with explicit validation of DATA frame consistency.</t>
  </si>
  <si>
    <t>Api/pom.xml (spring-boot-starter-web -&gt; embedded Tomcat)</t>
  </si>
  <si>
    <t>V4.2.2</t>
  </si>
  <si>
    <t>Verify that when generating HTTP messages, the Content-Length header field does not conflict with the length of the content as determined by the framing of the HTTP protocol, in order to prevent request smuggling attacks.</t>
  </si>
  <si>
    <t>V4.2.3</t>
  </si>
  <si>
    <t>Verify that the application does not send nor accept HTTP/2 or HTTP/3 messages with connection-specific header fields such as Transfer-Encoding to prevent response splitting and header injection attacks.</t>
  </si>
  <si>
    <t>V4.2.4</t>
  </si>
  <si>
    <t>Verify that the application only accepts HTTP/2 and HTTP/3 requests where the header fields and values do not contain any CR (\r), LF (\n), or CRLF (\r\n) sequences, to prevent header injection attacks.</t>
  </si>
  <si>
    <t>V4.2.5</t>
  </si>
  <si>
    <t>Verify that, if the application (backend or frontend) builds and sends requests, it uses validation, sanitization, or other mechanisms to avoid creating URIs (such as for API calls) or HTTP request header fields (such as Authorization or Cookie), which are too long to be accepted by the receiving component. This could cause a denial of service, such as when sending an overly long request (e.g., a long cookie header field), which results in the server always responding with an error status.</t>
  </si>
  <si>
    <t>V4.3</t>
  </si>
  <si>
    <t>GraphQL</t>
  </si>
  <si>
    <t>V4.3.1</t>
  </si>
  <si>
    <t>Verify that a query allowlist, depth limiting, amount limiting, or query cost analysis is used to prevent GraphQL or data layer expression Denial of Service (DoS) as a result of expensive, nested queries.</t>
  </si>
  <si>
    <t>ArcadeHaven uses a REST API, not GraphQL. This requirement is not applicable.</t>
  </si>
  <si>
    <t>V4.3.2</t>
  </si>
  <si>
    <t>Verify that GraphQL introspection queries are disabled in the production environment unless the GraphQL API is meant to be used by other parties.</t>
  </si>
  <si>
    <t>ArcadeHaven uses a REST API, not GraphQL. Introspection queries do not exist in this context.</t>
  </si>
  <si>
    <t>V4.4</t>
  </si>
  <si>
    <t>WebSocket</t>
  </si>
  <si>
    <t>V4.4.1</t>
  </si>
  <si>
    <t>Verify that WebSocket over TLS (WSS) is used for all WebSocket connections.</t>
  </si>
  <si>
    <t>ArcadeHaven does not implement WebSocket connections. All communication is via standard HTTPS REST API calls.</t>
  </si>
  <si>
    <t>V4.4.2</t>
  </si>
  <si>
    <t>Verify that, during the initial HTTP WebSocket handshake, the Origin header field is checked against a list of origins allowed for the application.</t>
  </si>
  <si>
    <t>No WebSocket handshake is performed. Not applicable to the current project scope.</t>
  </si>
  <si>
    <t>V4.4.3</t>
  </si>
  <si>
    <t>Verify that, if the application's standard session management cannot be used, dedicated tokens are being used for this, which comply with the relevant Session Management security requirements.</t>
  </si>
  <si>
    <t>No WebSocket connections are used. Session management is handled via JWT Bearer tokens over HTTPS.</t>
  </si>
  <si>
    <t>V4.4.4</t>
  </si>
  <si>
    <t>Verify that dedicated WebSocket session management tokens are initially obtained or validated through the previously authenticated HTTPS session when transitioning an existing HTTPS session to a WebSocket channel.</t>
  </si>
  <si>
    <t>No WebSocket connections are used. Not applicable to the current project scope.</t>
  </si>
  <si>
    <t>V5.1</t>
  </si>
  <si>
    <t>File Handling Documentation</t>
  </si>
  <si>
    <t>V5.1.1</t>
  </si>
  <si>
    <t>Verify that the documentation defines the permitted file types, expected file extensions, and maximum size (including unpacked size) for each upload feature. Additionally, ensure that the documentation specifies how files are made safe for end-users to download and process, such as how the application behaves when a malicious file is detected.</t>
  </si>
  <si>
    <t>Documentation will define permitted file types per upload feature: game images (JPEG, PNG, WebP - max 5MB), game cover art (JPEG, PNG - max 2MB). System-generated files (PDF invoices, TXT activation keys) have no upload surface. The documentation will also specify behaviour when a malicious file is detected (reject with 400, log the event, notify the admin).</t>
  </si>
  <si>
    <t>V5.2</t>
  </si>
  <si>
    <t>File Upload and Content</t>
  </si>
  <si>
    <t>V5.2.1</t>
  </si>
  <si>
    <t>Verify that the application will only accept files of a size which it can process without causing a loss of performance or a denial of service attack.</t>
  </si>
  <si>
    <t>Maximum file size limits will be enforced at the Spring Boot level via spring.servlet.multipart.max-file-size and spring.servlet.multipart.max-request-size. Requests exceeding the limit will be rejected with a 413 response before processing begins.</t>
  </si>
  <si>
    <t>V5.2.2</t>
  </si>
  <si>
    <t>Verify that when the application accepts a file, either on its own or within an archive such as a zip file, it checks if the file extension matches an expected file extension and validates that the contents correspond to the type represented by the extension. This includes, but is not limited to, checking the initial 'magic bytes', performing image re-writing, and using specialized libraries for file content validation. For L1, this can focus just on files which are used to make specific business or security decisions. For L2 and up, this must apply to all files being accepted.</t>
  </si>
  <si>
    <t>V5.2.3</t>
  </si>
  <si>
    <t>Verify that the application checks compressed files (e.g., zip, gz, docx, odt) against maximum allowed uncompressed size and against maximum number of files before uncompressing the file.</t>
  </si>
  <si>
    <t>ArcadeHaven does not accept compressed archive uploads (zip, gz, etc.).</t>
  </si>
  <si>
    <t>V5.2.4</t>
  </si>
  <si>
    <t>Verify that a file size quota and maximum number of files per user are enforced to ensure that a single user cannot fill up the storage with too many files, or excessively large files.</t>
  </si>
  <si>
    <t>V5.2.5</t>
  </si>
  <si>
    <t>Verify that the application does not allow uploading compressed files containing symlinks unless this is specifically required (in which case it will be necessary to enforce an allowlist of the files that can be symlinked to).</t>
  </si>
  <si>
    <t>No compressed file uploads are accepted. Symlink exploitation via zip files is not applicable in the current scope.</t>
  </si>
  <si>
    <t>V5.2.6</t>
  </si>
  <si>
    <t>Verify that the application rejects uploaded images with a pixel size larger than the maximum allowed, to prevent pixel flood attacks.</t>
  </si>
  <si>
    <t>V5.3</t>
  </si>
  <si>
    <t>File Storage</t>
  </si>
  <si>
    <t>V5.3.1</t>
  </si>
  <si>
    <t>Verify that files uploaded or generated by untrusted input and stored in a public folder, are not executed as server-side program code when accessed directly with an HTTP request.</t>
  </si>
  <si>
    <t>V5.3.2</t>
  </si>
  <si>
    <t>Verify that when the application creates file paths for file operations, instead of user-submitted filenames, it uses internally generated or trusted data, or if user-submitted filenames or file metadata must be used, strict validation and sanitization must be applied. This is to protect against path traversal, local or remote file inclusion (LFI, RFI), and server-side request forgery (SSRF) attacks.</t>
  </si>
  <si>
    <t>V5.3.3</t>
  </si>
  <si>
    <t>Verify that server-side file processing, such as file decompression, ignores user-provided path information to prevent vulnerabilities such as zip slip.</t>
  </si>
  <si>
    <t>No server-side file decompression is performed on user-uploaded files. Zip slip attacks are not applicable in the current scope.</t>
  </si>
  <si>
    <t>V5.4</t>
  </si>
  <si>
    <t>File Download</t>
  </si>
  <si>
    <t>V5.4.1</t>
  </si>
  <si>
    <t>Verify that the application validates or ignores user-submitted filenames, including in a JSON, JSONP, or URL parameter and specifies a filename in the Content-Disposition header field in the response.</t>
  </si>
  <si>
    <t>V5.4.2</t>
  </si>
  <si>
    <t>Verify that file names served (e.g., in HTTP response header fields or email attachments) are encoded or sanitized (e.g., following RFC 6266) to preserve document structure and prevent injection attacks.</t>
  </si>
  <si>
    <t>V5.4.3</t>
  </si>
  <si>
    <t>Verify that files obtained from untrusted sources are scanned by antivirus scanners to prevent serving of known malicious content.</t>
  </si>
  <si>
    <t>V6.1</t>
  </si>
  <si>
    <t>Authentication Documentation</t>
  </si>
  <si>
    <t>V6.1.1</t>
  </si>
  <si>
    <t>Verify that application documentation defines how controls such as rate limiting, anti-automation, and adaptive response, are used to defend against attacks such as credential stuffing and password brute force. The documentation must make clear how these controls are configured and prevent malicious account lockout.</t>
  </si>
  <si>
    <t>Rate limiting: RateLimitFilter applies Bucket4j token-bucket (20 req/min per IP) to all endpoints. No account lockout - only throttling - preventing malicious account lockout while defending against brute force. Threshold alerting: SecurityAuditService.checkAndAlert() fires SECURITY_ALERT when any IP exceeds 10 security events/60s. HIBP, context blocklist, and common-password checks are documented and enforced in PasswordPolicyService.</t>
  </si>
  <si>
    <t>Api/src/main/java/isep/desosfs/arcadehaven/Security/RateLimitFilter.java (Bucket4j 20 req/min); Security/SecurityAuditService.java (checkAndAlert); Service/PasswordPolicyService.java</t>
  </si>
  <si>
    <t>V6.1.2</t>
  </si>
  <si>
    <t>Verify that a list of context-specific words is documented in order to prevent their use in passwords. The list could include permutations of organization names, product names, system identifiers, project codenames, department or role names, and similar.</t>
  </si>
  <si>
    <t>Context-specific blocklist documented and enforced in PasswordPolicyService.CONTEXT_BLOCKLIST (21+ terms: arcadehaven, arcade, haven, pixelvault, pixel, vault, gaming, gamer, games, game, admin, password, letmein, welcome, qwerty, monkey, dragon, master, superman, batman, trustno, iloveyou, sunshine). Case-insensitive substring match applied at registration and password change.</t>
  </si>
  <si>
    <t>Api/src/main/java/isep/desosfs/arcadehaven/Service/PasswordPolicyService.java:CONTEXT_BLOCKLIST, checkContextTerms()</t>
  </si>
  <si>
    <t>V6.1.3</t>
  </si>
  <si>
    <t>Verify that, if the application includes multiple authentication pathways, these are all documented together with the security controls and authentication strength which must be consistently enforced across them.</t>
  </si>
  <si>
    <t>Single authentication pathway: POST /api/auth/login (username+password -&gt; Keycloak ROPC -&gt; JWT). All subsequent requests authenticate via JWT (Spring Security OAuth2 Resource Server). Logout (POST /api/auth/logout) revokes all Keycloak sessions. Registration (POST /api/auth/register) creates user in Keycloak and assigns role. SecurityConfig enforces JWT on all endpoints except login/register. No undocumented or backdoor pathways exist.</t>
  </si>
  <si>
    <t>Api/src/main/java/isep/desosfs/arcadehaven/Service/AuthService.java (login, register, logout); Security/SecurityConfig.java (JWT validation, deny-all default)</t>
  </si>
  <si>
    <t>V6.2</t>
  </si>
  <si>
    <t>Password Security</t>
  </si>
  <si>
    <t>V6.2.1</t>
  </si>
  <si>
    <t>Verify that user set passwords are at least 8 characters in length although a minimum of 15 characters is strongly recommended.</t>
  </si>
  <si>
    <t>RegisterRequest enforces @Size(min=12, max=128) on password, exceeding the ASVS minimum of 8 characters. Validated server-side by Bean Validation. Same constraint enforced at Keycloak realm level.</t>
  </si>
  <si>
    <t>Api/src/main/java/isep/desosfs/arcadehaven/Dto/Request/RegisterRequest.java (@Size(min=12, max=128))</t>
  </si>
  <si>
    <t>V6.2.2</t>
  </si>
  <si>
    <t>Verify that users can change their password.</t>
  </si>
  <si>
    <t>PATCH /api/profile/password endpoint implemented in ProfileController, delegating to ProfileService.changePassword(). Requires JWT authentication. Accepts ChangePasswordRequest (currentPassword, newPassword). Verifies current password against Keycloak before applying change. Enforces full password policy on new password.</t>
  </si>
  <si>
    <t>Api/src/main/java/isep/desosfs/arcadehaven/Controller/ProfileController.java:changePassword(); Service/ProfileService.java:changePassword(); Dto/Request/ChangePasswordRequest.java</t>
  </si>
  <si>
    <t>V6.2.3</t>
  </si>
  <si>
    <t>Verify that password change functionality requires the user's current and new password.</t>
  </si>
  <si>
    <t>ProfileService.changePassword() calls verifyCurrentPassword() which performs a Keycloak ROPC token request with the supplied current password. If Keycloak returns 4xx, BusinessException("Current password is incorrect") is thrown and the change is rejected. Only after successful verification is the new password set via Keycloak admin API (resetPassword).</t>
  </si>
  <si>
    <t>Api/src/main/java/isep/desosfs/arcadehaven/Service/ProfileService.java:verifyCurrentPassword(), changePassword()</t>
  </si>
  <si>
    <t>V6.2.4</t>
  </si>
  <si>
    <t>Verify that passwords submitted during account registration or password change are checked against an available set of, at least, the top 3000 passwords which match the application's password policy, e.g. minimum length.</t>
  </si>
  <si>
    <t>PasswordPolicyService.checkCommonPasswords() checks submitted passwords against top-3000+ common passwords loaded from /security/common-passwords.txt (case-insensitive). Called at registration and password change.</t>
  </si>
  <si>
    <t>Api/src/main/java/isep/desosfs/arcadehaven/Service/PasswordPolicyService.java:checkCommonPasswords(); src/main/resources/security/common-passwords.txt</t>
  </si>
  <si>
    <t>V6.2.5</t>
  </si>
  <si>
    <t>Verify that passwords of any composition can be used, without rules limiting the type of characters permitted. There must be no requirement for a minimum number of upper or lower case characters, numbers, or special characters.</t>
  </si>
  <si>
    <t>PasswordPolicyService.validate() enforces only: minimum length, context blocklist, common password list, and HIBP breach check. No composition rules - no uppercase/lowercase/digit/special character requirements. Any Unicode character combination accepted. RegisterRequest and ChangePasswordRequest use @Size only.</t>
  </si>
  <si>
    <t>Api/src/main/java/isep/desosfs/arcadehaven/Service/PasswordPolicyService.java (no composition checks); Dto/Request/RegisterRequest.java (@Size only)</t>
  </si>
  <si>
    <t>V6.2.6</t>
  </si>
  <si>
    <t>Verify that password input fields use type=password to mask the entry. Applications may allow the user to temporarily view the entire masked password, or the last typed character of the password.</t>
  </si>
  <si>
    <t>ArcadeHaven is a REST API with no front-end. Password masking is a client-side concern and falls outside the project scope.</t>
  </si>
  <si>
    <t>V6.2.7</t>
  </si>
  <si>
    <t>Verify that "paste" functionality, browser password helpers, and external password managers are permitted.</t>
  </si>
  <si>
    <t>ArcadeHaven is a REST API with no front-end. Paste functionality and password manager compatibility are client-side concerns outside the project scope.</t>
  </si>
  <si>
    <t>V6.2.8</t>
  </si>
  <si>
    <t>Verify that the application verifies the user's password exactly as received from the user, without any modifications such as truncation or case transformation.</t>
  </si>
  <si>
    <t>The application must verify passwords exactly as received. No truncation, trimming, or transformation of any kind shall be applied to passwords before hashing or comparison.</t>
  </si>
  <si>
    <t>Api/src/main/.../Service/AuthService.java</t>
  </si>
  <si>
    <t>V6.2.9</t>
  </si>
  <si>
    <t>Verify that passwords of at least 64 characters are permitted.</t>
  </si>
  <si>
    <t>RegisterRequest and ChangePasswordRequest both enforce @Size(min=12, max=128). The 128-character maximum exceeds the 64-character minimum. Keycloak realm policy configured consistently.</t>
  </si>
  <si>
    <t>Api/src/main/java/isep/desosfs/arcadehaven/Dto/Request/RegisterRequest.java (@Size(max=128)); Dto/Request/ChangePasswordRequest.java (@Size(max=128))</t>
  </si>
  <si>
    <t>V6.2.10</t>
  </si>
  <si>
    <t>Verify that a user's password stays valid until it is discovered to be compromised or the user rotates it. The application must not require periodic credential rotation.</t>
  </si>
  <si>
    <t>No periodic password expiration enforced. Keycloak realm has no force-expired-password-change policy. Passwords remain valid until voluntarily changed by the user or a breach is detected (HIBP).</t>
  </si>
  <si>
    <t>Keycloak realm: no password expiry policy; Api/src/main/java/isep/desosfs/arcadehaven/Service/AuthService.java (no expiry enforcement)</t>
  </si>
  <si>
    <t>V6.2.11</t>
  </si>
  <si>
    <t>Verify that the documented list of context specific words is used to prevent easy to guess passwords being created.</t>
  </si>
  <si>
    <t>PasswordPolicyService.checkContextTerms() performs case-insensitive substring search against CONTEXT_BLOCKLIST at registration (AuthService.register()) and password change (ProfileService.changePassword()). Rejection message is generic and does not disclose the matched term.</t>
  </si>
  <si>
    <t>Api/src/main/java/isep/desosfs/arcadehaven/Service/PasswordPolicyService.java:checkContextTerms()</t>
  </si>
  <si>
    <t>V6.2.12</t>
  </si>
  <si>
    <t>Verify that passwords submitted during account registration or password changes are checked against a set of breached passwords.</t>
  </si>
  <si>
    <t>PasswordPolicyService.checkHibp() computes SHA-1, sends 5-char prefix to HaveIBeenPwned k-anonymity API, checks if suffix appears in response. Full hash never transmitted. Applied at registration and password change. Configurable via security.hibp.enabled=false for offline environments.</t>
  </si>
  <si>
    <t>Api/src/main/java/isep/desosfs/arcadehaven/Service/PasswordPolicyService.java:checkHibp()</t>
  </si>
  <si>
    <t>V6.3</t>
  </si>
  <si>
    <t>General Authentication Security</t>
  </si>
  <si>
    <t>V6.3.1</t>
  </si>
  <si>
    <t>Verify that controls to prevent attacks such as credential stuffing and password brute force are implemented according to the application's security documentation.</t>
  </si>
  <si>
    <t>The application must implement rate limiting on authentication endpoints and enforce temporary account lockout after a configurable number of consecutive failed login attempts.</t>
  </si>
  <si>
    <t>Api/src/main/.../Security/RateLimitFilter.java (Bucket4j, 20 req/min per IP)</t>
  </si>
  <si>
    <t>V6.3.2</t>
  </si>
  <si>
    <t>Verify that default user accounts (e.g., "root", "admin", or "sa") are not present in the application or are disabled.</t>
  </si>
  <si>
    <t>The application must not include any default or well-known user accounts. Any seed accounts required for initial setup must use randomly generated credentials injected via environment variables and must be documented in the operations guide.</t>
  </si>
  <si>
    <t>Api/src/main/.../Config/AdminInitializer.java (env vars ADMIN_USERNAME/ADMIN_PASSWORD)</t>
  </si>
  <si>
    <t>V6.3.3</t>
  </si>
  <si>
    <t>Verify that either a multi-factor authentication mechanism or a combination of single-factor authentication mechanisms, must be used in order to access the application. For L3, one of the factors must be a hardware-based authentication mechanism which provides compromise and impersonation resistance against phishing attacks while verifying the intent to authenticate by requiring a user-initiated action (such as a button press on a FIDO hardware key or a mobile phone). Relaxing any of the considerations in this requirement requires a fully documented rationale and a comprehensive set of mitigating controls.</t>
  </si>
  <si>
    <t>MFA delegated to Keycloak. Keycloak supports TOTP (RFC 6238, 6-digit, 30-second step) as second factor. MFA is mandatory for ADMIN accounts via Keycloak required action CONFIGURE_TOTP on admin users. BUYER and PUBLISHER can optionally enrol via Keycloak account console. The Spring Boot API validates the JWT issued by Keycloak after successful MFA completion.</t>
  </si>
  <si>
    <t>Keycloak realm: MFA / TOTP required action for ADMIN; Api/src/main/java/isep/desosfs/arcadehaven/Config/KeycloakAdminConfig.java</t>
  </si>
  <si>
    <t>V6.3.4</t>
  </si>
  <si>
    <t>Verify that, if the application includes multiple authentication pathways, there are no undocumented pathways and that security controls and authentication strength are enforced consistently.</t>
  </si>
  <si>
    <t>ArcadeHaven has a single documented authentication pathway (V6.1.3). SecurityConfig applies JWT validation uniformly to all secured endpoints. No endpoint bypasses JWT except explicitly permitted /api/auth/login and /api/auth/register. No undocumented or test-only authentication bypasses exist.</t>
  </si>
  <si>
    <t>Api/src/main/java/isep/desosfs/arcadehaven/Security/SecurityConfig.java (uniform JWT, deny-all default)</t>
  </si>
  <si>
    <t>V6.3.5</t>
  </si>
  <si>
    <t>Verify that users are notified of suspicious authentication attempts (successful or unsuccessful). This may include authentication attempts from an unusual location or client, partially successful authentication (only one of multiple factors), an authentication attempt after a long period of inactivity or a successful authentication after several unsuccessful attempts.</t>
  </si>
  <si>
    <t>V6.3.6</t>
  </si>
  <si>
    <t>Verify that email is not used as either a single-factor or multi-factor authentication mechanism.</t>
  </si>
  <si>
    <t>V6.3.7</t>
  </si>
  <si>
    <t>Verify that users are notified after updates to authentication details, such as credential resets or modification of the username or email address.</t>
  </si>
  <si>
    <t>V6.3.8</t>
  </si>
  <si>
    <t>Verify that valid users cannot be deduced from failed authentication challenges, such as by basing on error messages, HTTP response codes, or different response times. Registration and forgot password functionality must also have this protection.</t>
  </si>
  <si>
    <t>V6.4</t>
  </si>
  <si>
    <t>Authentication Factor Lifecycle and Recovery</t>
  </si>
  <si>
    <t>V6.4.1</t>
  </si>
  <si>
    <t>Verify that system generated initial passwords or activation codes are securely randomly generated, follow the existing password policy, and expire after a short period of time or after they are initially used. These initial secrets must not be permitted to become the long term password.</t>
  </si>
  <si>
    <t>Game activation keys (system-generated secrets) use SecureRandom.nextBytes(16) (128-bit CSPRNG) encoded as 32-char hex. Activation keys are single-use: consumed on first redemption via OrderItem.redeem(). Initial admin password is provided via ADMIN_PASSWORD env var (not system-generated). No default passwords.</t>
  </si>
  <si>
    <t>Api/src/main/java/isep/desosfs/arcadehaven/Domain/OrderItem.java:generateActivationKey() (SecureRandom 128-bit); Config/AdminInitializer.java (ADMIN_PASSWORD env var)</t>
  </si>
  <si>
    <t>V6.4.2</t>
  </si>
  <si>
    <t>Verify that password hints or knowledge-based authentication (so-called "secret questions") are not present.</t>
  </si>
  <si>
    <t>The application must not implement password hints or knowledge-based authentication (secret questions). Password recovery must use secure, time-limited tokens delivered to the user's registered email address.</t>
  </si>
  <si>
    <t>Api/src/main/.../Dto/Request/RegisterRequest.java (no secret-question field)</t>
  </si>
  <si>
    <t>V6.4.3</t>
  </si>
  <si>
    <t>Verify that a secure process for resetting a forgotten password is implemented, that does not bypass any enabled multi-factor authentication mechanisms.</t>
  </si>
  <si>
    <t>Password reset handled entirely by Keycloak: sends time-limited (5 min), single-use secure email link. Reset link invalidated immediately after use. Does not bypass MFA. No custom reset flow in Spring Boot.</t>
  </si>
  <si>
    <t>Keycloak realm: forgot-password flow (5-min single-use token via secure email)</t>
  </si>
  <si>
    <t>V6.4.4</t>
  </si>
  <si>
    <t>Verify that if a multi-factor authentication factor is lost, evidence of identity proofing is performed at the same level as during enrollment.</t>
  </si>
  <si>
    <t>MFA factor recovery handled by Keycloak Admin Console: admin removes TOTP credential and sets CONFIGURE_TOTP as required action, forcing re-enrolment at same assurance level as original enrolment. No self-service MFA recovery bypass in the application.</t>
  </si>
  <si>
    <t>Keycloak Admin Console: Users -&gt; Credentials -&gt; remove OTP -&gt; required action CONFIGURE_TOTP</t>
  </si>
  <si>
    <t>V6.4.5</t>
  </si>
  <si>
    <t>Verify that renewal instructions for authentication mechanisms which expire are sent with enough time to be carried out before the old authentication mechanism expires, configuring automated reminders if necessary.</t>
  </si>
  <si>
    <t>V6.4.6</t>
  </si>
  <si>
    <t>Verify that administrative users can initiate the password reset process for the user, but that this does not allow them to change or choose the user's password. This prevents a situation where they know the user's password.</t>
  </si>
  <si>
    <t>V6.5</t>
  </si>
  <si>
    <t>General Multi-factor authentication requirements</t>
  </si>
  <si>
    <t>V6.5.1</t>
  </si>
  <si>
    <t>Verify that lookup secrets, out-of-band authentication requests or codes, and time-based one-time passwords (TOTPs) are only successfully usable once.</t>
  </si>
  <si>
    <t>TOTP codes single-use by design: Keycloak maintains used-code cache preventing replay within same time window. Password reset tokens single-use: invalidated after first use. Activation keys single-use: consumed on redemption via OrderItem.redeem().</t>
  </si>
  <si>
    <t>Keycloak TOTP: used-code cache (anti-replay); Api/src/main/java/isep/desosfs/arcadehaven/Domain/OrderItem.java:redeem()</t>
  </si>
  <si>
    <t>V6.5.2</t>
  </si>
  <si>
    <t>Verify that, when being stored in the application's backend, lookup secrets with less than 112 bits of entropy (19 random alphanumeric characters or 34 random digits) are hashed with an approved password storage hashing algorithm that incorporates a 32-bit random salt. A standard hash function can be used if the secret has 112 bits of entropy or more.</t>
  </si>
  <si>
    <t>TOTP seeds stored by Keycloak in AES-encrypted credential store (not accessible to Spring Boot). Activation keys have 128-bit entropy (&gt;= 112 bits), so a standard hash is permitted by ASVS; they are stored as display-once values access-controlled at DB level.</t>
  </si>
  <si>
    <t>Keycloak credential store (AES-encrypted TOTP seeds); Api/src/main/java/isep/desosfs/arcadehaven/Domain/OrderItem.java (128-bit activation key, display-once)</t>
  </si>
  <si>
    <t>V6.5.3</t>
  </si>
  <si>
    <t>Verify that lookup secrets, out-of-band authentication code, and time-based one-time password seeds, are generated using a Cryptographically Secure Pseudorandom Number Generator (CSPRNG) to avoid predictable values.</t>
  </si>
  <si>
    <t>TOTP seeds and password reset tokens generated by Keycloak using SecureRandom. Activation keys generated via java.security.SecureRandom.nextBytes(16) in OrderItem.generateActivationKey(). No Math.random() or non-cryptographic generator used in any secret-generation path.</t>
  </si>
  <si>
    <t>Keycloak (SecureRandom for TOTP seeds and reset tokens); Api/src/main/java/isep/desosfs/arcadehaven/Domain/OrderItem.java:generateActivationKey() (SecureRandom)</t>
  </si>
  <si>
    <t>V6.5.4</t>
  </si>
  <si>
    <t>Verify that lookup secrets and out-of-band authentication codes have a minimum of 20 bits of entropy (typically 4 random alphanumeric characters or 6 random digits is sufficient).</t>
  </si>
  <si>
    <t>Keycloak TOTP generates 6-digit codes (log2(10^6) ~20 bits of entropy, meets 20-bit minimum). Password reset tokens &gt;= 128 bits. Activation keys 128 bits. No code falls below 20-bit threshold.</t>
  </si>
  <si>
    <t>Keycloak TOTP: 6-digit codes (~20 bits); Activation keys: 128 bits</t>
  </si>
  <si>
    <t>V6.5.5</t>
  </si>
  <si>
    <t>Verify that out-of-band authentication requests, codes, or tokens, as well as time-based one-time passwords (TOTPs) have a defined lifetime. Out of band requests must have a maximum lifetime of 10 minutes and for TOTP a maximum lifetime of 30 seconds.</t>
  </si>
  <si>
    <t>Keycloak TOTP: 30-second time step with +/-1 step tolerance (90 sec max window, within 30s requirement). Password reset links expire after 5 minutes (within 10-minute max for out-of-band requests). Email verification codes expire after 5 minutes.</t>
  </si>
  <si>
    <t>Keycloak realm: OTP Policy (30s step, +/-1 tolerance); action-token-generated-by-admin-lifespan=5m</t>
  </si>
  <si>
    <t>V6.5.6</t>
  </si>
  <si>
    <t>Verify that any authentication factor (including physical devices) can be revoked in case of theft or other loss.</t>
  </si>
  <si>
    <t>V6.5.7</t>
  </si>
  <si>
    <t>Verify that biometric authentication mechanisms are only used as secondary factors together with either something you have or something you know.</t>
  </si>
  <si>
    <t>V6.5.8</t>
  </si>
  <si>
    <t>Verify that time-based one-time passwords (TOTPs) are checked based on a time source from a trusted service and not from an untrusted or client provided time.</t>
  </si>
  <si>
    <t>V6.6</t>
  </si>
  <si>
    <t>Out-of-Band authentication mechanisms</t>
  </si>
  <si>
    <t>V6.6.1</t>
  </si>
  <si>
    <t>Verify that authentication mechanisms using the Public Switched Telephone Network (PSTN) to deliver One-time Passwords (OTPs) via phone or SMS are offered only when the phone number has previously been validated, alternate stronger methods (such as Time based One-time Passwords) are also offered, and the service provides information on their security risks to users. For L3 applications, phone and SMS must not be available as options.</t>
  </si>
  <si>
    <t>ArcadeHaven does not use PSTN (SMS/phone) for OTP delivery. MFA is implemented via TOTP only.</t>
  </si>
  <si>
    <t>V6.6.2</t>
  </si>
  <si>
    <t>Verify that out-of-band authentication requests, codes, or tokens are bound to the original authentication request for which they were generated and are not usable for a previous or subsequent one.</t>
  </si>
  <si>
    <t>Keycloak TOTP codes time-bound (30s) and session-scoped. Used-code tracking prevents replay in different sessions. Password reset tokens cryptographically bound to specific user and action; cannot be used for different user or action.</t>
  </si>
  <si>
    <t>Keycloak TOTP: session-scoped, used-code tracking; Keycloak reset tokens: user-ID-bound, single-use</t>
  </si>
  <si>
    <t>V6.6.3</t>
  </si>
  <si>
    <t>Verify that a code based out-of-band authentication mechanism is protected against brute force attacks by using rate limiting. Consider also using a code with at least 64 bits of entropy.</t>
  </si>
  <si>
    <t>Keycloak brute force protection enabled: increasing wait time after consecutive MFA failures, permanent lockout after threshold. RateLimitFilter additionally limits all requests (including login/MFA) to 20 req/min per IP as secondary layer. TOTP codes expire after 30 seconds limiting brute-force window.</t>
  </si>
  <si>
    <t>Keycloak realm: brute-force protection; Api/src/main/java/isep/desosfs/arcadehaven/Security/RateLimitFilter.java (20 req/min, secondary layer)</t>
  </si>
  <si>
    <t>V6.6.4</t>
  </si>
  <si>
    <t>Verify that, where push notifications are used for multi-factor authentication, rate limiting is used to prevent push bombing attacks. Number matching may also mitigate this risk.</t>
  </si>
  <si>
    <t>V6.7</t>
  </si>
  <si>
    <t>Cryptographic authentication mechanism</t>
  </si>
  <si>
    <t>V6.7.1</t>
  </si>
  <si>
    <t>Verify that the certificates used to verify cryptographic authentication assertions are stored in a way protects them from modification.</t>
  </si>
  <si>
    <t>V6.7.2</t>
  </si>
  <si>
    <t>Verify that the challenge nonce is at least 64 bits in length, and statistically unique or unique over the lifetime of the cryptographic device.</t>
  </si>
  <si>
    <t>V6.8</t>
  </si>
  <si>
    <t>Authentication with an Identity Provider</t>
  </si>
  <si>
    <t>V6.8.1</t>
  </si>
  <si>
    <t>Verify that, if the application supports multiple identity providers (IdPs), the user's identity cannot be spoofed via another supported identity provider (eg. by using the same user identifier). The standard mitigation would be for the application to register and identify the user using a combination of the IdP ID (serving as a namespace) and the user's ID in the IdP.</t>
  </si>
  <si>
    <t>ArcadeHaven does not support external identity providers in the current phase. If OAuth2/OIDC is introduced in future phases, this requirement must be revisited.</t>
  </si>
  <si>
    <t>V6.8.2</t>
  </si>
  <si>
    <t>Verify that the presence and integrity of digital signatures on authentication assertions (for example on JWTs or SAML assertions) are always validated, rejecting any assertions that are unsigned or have invalid signatures.</t>
  </si>
  <si>
    <t>All JWT tokens must be signed using RS256 or HS256. The signature must be validated on every request. Unsigned tokens, tokens with alg: none, and tokens with invalid signatures must be rejected with a 401 response.</t>
  </si>
  <si>
    <t>Api/src/main/.../Security/SecurityConfig.java; Api/src/main/resources/application.properties (jwk-set-uri)</t>
  </si>
  <si>
    <t>V6.8.3</t>
  </si>
  <si>
    <t>Verify that SAML assertions are uniquely processed and used only once within the validity period to prevent replay attacks.</t>
  </si>
  <si>
    <t>JWT access tokens: Keycloak access-token-lifespan configured to 900 seconds (15 minutes). Session revocation: AuthService.logout() calls keycloak.realm().users().get(userId).logout() immediately invalidating all active Keycloak sessions. Spring Security validates JWT on every request against Keycloak JWKS endpoint. Note: ASVS V6.8.3 text references SAML assertions; observation correctly applies JWT token validity controls in this context.</t>
  </si>
  <si>
    <t>Api/src/main/java/isep/desosfs/arcadehaven/Service/AuthService.java:logout() (Keycloak session revocation); Keycloak realm: access-token-lifespan=900s (15 min)</t>
  </si>
  <si>
    <t>V6.8.4</t>
  </si>
  <si>
    <t>Verify that, if an application uses a separate Identity Provider (IdP) and expects specific authentication strength, methods, or recentness for specific functions, the application verifies this using the information returned by the IdP. For example, if OIDC is used, this might be achieved by validating ID Token claims such as 'acr', 'amr', and 'auth_time' (if present). If the IdP does not provide this information, the application must have a documented fallback approach that assumes that the minimum strength authentication mechanism was used (for example, single-factor authentication using username and password).</t>
  </si>
  <si>
    <t>ArcadeHaven does not use a separate Identity Provider in the current phase. This requirement does not apply to the current project scope.</t>
  </si>
  <si>
    <t>V7.1</t>
  </si>
  <si>
    <t>Session Management Documentation</t>
  </si>
  <si>
    <t>V7.1.1</t>
  </si>
  <si>
    <t>Verify that the user's session inactivity timeout and absolute maximum session lifetime are documented, are appropriate in combination with other controls, and that the documentation includes justification for any deviations from NIST SP 800-63B re-authentication requirements.</t>
  </si>
  <si>
    <t>Token lifetimes will be defined and documented, including short-lived access tokens and longer-lived refresh tokens, with justification based on security requirements</t>
  </si>
  <si>
    <t>Api/src/main/.../Service/AuthService.java (expires_in returned in LoginResponse); application.properties (jwt.issuer-uri); Controller/AuthController.java (logout)</t>
  </si>
  <si>
    <t>V7.1.2</t>
  </si>
  <si>
    <t>Verify that the documentation defines how many concurrent (parallel) sessions are allowed for one account as well as the intended behaviors and actions to be taken when the maximum number of active sessions is reached.</t>
  </si>
  <si>
    <t>Session management is implemented using stateless access tokens (JWT). Token lifecycle, issuance, validation, and renewal mechanisms will be documented</t>
  </si>
  <si>
    <t>Api/src/main/.../Service/AuthService.java (logout revokes all Keycloak sessions); Security/SecurityConfig.java (stateless, no concurrent server sessions)</t>
  </si>
  <si>
    <t>V7.1.3</t>
  </si>
  <si>
    <t>Verify that all systems that create and manage user sessions as part of a federated identity management ecosystem (such as SSO systems) are documented along with controls to coordinate session lifetimes, termination, and any other conditions that require re-authentication.</t>
  </si>
  <si>
    <t>OAuth 2.0 flows will be documented, including token issuance and refresh mechanisms</t>
  </si>
  <si>
    <t>Api/src/main/.../Security/SecurityConfig.java (stateless JWT-based sessions); Service/AuthService.java; Controller/AuthController.java</t>
  </si>
  <si>
    <t>V7.2</t>
  </si>
  <si>
    <t>Fundamental Session Management Security</t>
  </si>
  <si>
    <t>V7.2.1</t>
  </si>
  <si>
    <t>Verify that the application performs all session token verification using a trusted, backend service.</t>
  </si>
  <si>
    <t>JWT validation is performed exclusively on the server by the Spring Security JWT decoder, using Keycloak's JWKS endpoint. No tokens are validated on the client side or via frontend logic. The tracker must be updated.</t>
  </si>
  <si>
    <t>V7.2.2</t>
  </si>
  <si>
    <t>Verify that the application uses either self-contained or reference tokens that are dynamically generated for session management, i.e. not using static API secrets and keys.</t>
  </si>
  <si>
    <t>ArcadeHaven uses dynamic JWTs issued by Keycloak with exp and iat claims. There are no static API keys for user authentication. The Keycloak Admin Client uses a service account with the client credentials flow—credentials configured via environment variables, not hardcoded. The tracker needs to be updated.</t>
  </si>
  <si>
    <t>V7.2.3</t>
  </si>
  <si>
    <t>Verify that if reference tokens are used to represent user sessions, they are unique and generated using a cryptographically secure pseudo-random number generator (CSPRNG) and possess at least 128 bits of entropy.</t>
  </si>
  <si>
    <t>V7.2.4</t>
  </si>
  <si>
    <t>Verify that the application generates a new session token on user authentication, including re-authentication, and terminates the current session token.</t>
  </si>
  <si>
    <t>Keycloak issues a new JWT access token and refresh token with each successful authentication. Logging out via a POST request to /api/auth/logout revokes all active tokens. Spring Boot does not maintain session state (stateless JWT). The tracker must be updated.</t>
  </si>
  <si>
    <t>V7.3</t>
  </si>
  <si>
    <t>Session Timeout</t>
  </si>
  <si>
    <t>V7.3.1</t>
  </si>
  <si>
    <t>Verify that there is an inactivity timeout such that re-authentication is enforced according to risk analysis and documented security decisions.</t>
  </si>
  <si>
    <t>V7.3.2</t>
  </si>
  <si>
    <t>Verify that there is an absolute maximum session lifetime such that re-authentication is enforced according to risk analysis and documented security decisions.</t>
  </si>
  <si>
    <t>V7.4</t>
  </si>
  <si>
    <t>Session Termination</t>
  </si>
  <si>
    <t>V7.4.1</t>
  </si>
  <si>
    <t>Verify that when session termination is triggered (such as logout or expiration), the application disallows any further use of the session. For reference tokens or stateful sessions, this means invalidating the session data at the application backend. Applications using self-contained tokens will need a solution such as maintaining a list of terminated tokens, disallowing tokens produced before a per-user date and time or rotating a per-user signing key.</t>
  </si>
  <si>
    <t>POST /api/auth/logout revokes all of the user's active sessions in Keycloak via UserResource.logout() (Keycloak Admin Client). Tokens naturally expire based on the exp claim. The tracker is out of date, this check should be marked as “Compliant” (matches V6.8.3 / V10.4.9, which have already been implemented).</t>
  </si>
  <si>
    <t>V7.4.2</t>
  </si>
  <si>
    <t>Verify that the application terminates all active sessions when a user account is disabled or deleted (such as an employee leaving the company).</t>
  </si>
  <si>
    <t>V7.4.3</t>
  </si>
  <si>
    <t>Verify that the application gives the option to terminate all other active sessions after a successful change or removal of any authentication factor (including password change via reset or recovery and, if present, an MFA settings update).</t>
  </si>
  <si>
    <t>V7.4.4</t>
  </si>
  <si>
    <t>Verify that all pages that require authentication have easy and visible access to logout functionality.</t>
  </si>
  <si>
    <t>V7.4.5</t>
  </si>
  <si>
    <t>Verify that application administrators are able to terminate active sessions for an individual user or for all users.</t>
  </si>
  <si>
    <t>V7.5</t>
  </si>
  <si>
    <t>Defenses Against Session Abuse</t>
  </si>
  <si>
    <t>V7.5.1</t>
  </si>
  <si>
    <t>Verify that the application requires full re-authentication before allowing modifications to sensitive account attributes which may affect authentication such as email address, phone number, MFA configuration, or other information used in account recovery.</t>
  </si>
  <si>
    <t>V7.5.2</t>
  </si>
  <si>
    <t>Verify that users are able to view and (having authenticated again with at least one factor) terminate any or all currently active sessions.</t>
  </si>
  <si>
    <t>V7.5.3</t>
  </si>
  <si>
    <t>Verify that the application requires further authentication with at least one factor or secondary verification before performing highly sensitive transactions or operations.</t>
  </si>
  <si>
    <t>V7.6</t>
  </si>
  <si>
    <t>Federated Re-authentication</t>
  </si>
  <si>
    <t>V7.6.1</t>
  </si>
  <si>
    <t>Verify that session lifetime and termination between Relying Parties (RPs) and Identity Providers (IdPs) behave as documented, requiring re-authentication as necessary such as when the maximum time between IdP authentication events is reached.</t>
  </si>
  <si>
    <t>V7.6.2</t>
  </si>
  <si>
    <t>Verify that creation of a session requires either the user's consent or an explicit action, preventing the creation of new application sessions without user interaction.</t>
  </si>
  <si>
    <t>The authentication flow requires explicit user action (submitting credentials to Keycloak). Spring Boot does not automatically create sessions, it is stateless. The JWT is only issued after successful authentication. The tracker must be updated.</t>
  </si>
  <si>
    <t>V8.1</t>
  </si>
  <si>
    <t>Authorization Documentation</t>
  </si>
  <si>
    <t>V8.1.1</t>
  </si>
  <si>
    <t>Verify that authorization documentation defines rules for restricting function-level and data-specific access based on consumer permissions and resource attributes.</t>
  </si>
  <si>
    <t>Authorization will be based on role-based access control, defining permissions for roles</t>
  </si>
  <si>
    <t>Api/src/main/.../Security/SecurityConfig.java (role-based URL rules: ADMIN, PUBLISHER, BUYER; deny-all default)</t>
  </si>
  <si>
    <t>V8.1.2</t>
  </si>
  <si>
    <t>Verify that authorization documentation defines rules for field-level access restrictions (both read and write) based on consumer permissions and resource attributes. Note that these rules might depend on other attribute values of the relevant data object, such as state or status.</t>
  </si>
  <si>
    <t>Field-level access control will be enforced at the API response layer using DTO projections and service-level filtering to prevent exposure of sensitive attributes</t>
  </si>
  <si>
    <t>Api/src/main/.../Security/SecurityConfig.java; Service/GameService.java (findByIdAndPublisher); Service/FileStorageService.java (path traversal prevention)</t>
  </si>
  <si>
    <t>V8.1.3</t>
  </si>
  <si>
    <t>Verify that the application's documentation defines the environmental and contextual attributes (including but not limited to, time of day, user location, IP address, or device) that are used in the application to make security decisions, including those pertaining to authentication and authorization.</t>
  </si>
  <si>
    <t>Authorization decision are not based on contextual attributes</t>
  </si>
  <si>
    <t>V8.1.4</t>
  </si>
  <si>
    <t>Verify that authentication and authorization documentation defines how environmental and contextual factors are used in decision-making, in addition to function-level, data-specific, and field-level authorization. This should include the attributes evaluated, thresholds for risk, and actions taken (e.g., allow, challenge, deny, step-up authentication).</t>
  </si>
  <si>
    <t>No adaptative or risk-based authorization are enforced</t>
  </si>
  <si>
    <t>V8.2</t>
  </si>
  <si>
    <t>General Authorization Design</t>
  </si>
  <si>
    <t>V8.2.1</t>
  </si>
  <si>
    <t>Verify that the application ensures that function-level access is restricted to consumers with explicit permissions.</t>
  </si>
  <si>
    <t>Functional authorization will be enforced using Spring Security method-level security based on user roles</t>
  </si>
  <si>
    <t>Api/src/main/.../Security/SecurityConfig.java; Controller/AdminController.java; Controller/PublisherController.java; Controller/OrderController.java; Security/KeycloakRoleConverter.java</t>
  </si>
  <si>
    <t>V8.2.2</t>
  </si>
  <si>
    <t>Verify that the application ensures that data-specific access is restricted to consumers with explicit permissions to specific data items to mitigate insecure direct object reference (IDOR) and broken object level authorization (BOLA).</t>
  </si>
  <si>
    <t>Data-level authorization will enforce ownership checks</t>
  </si>
  <si>
    <t>Api/src/main/.../Service/GameService.java (findByIdAndPublisher); Service/OrderService.java; Service/LibraryService.java</t>
  </si>
  <si>
    <t>V8.2.3</t>
  </si>
  <si>
    <t>Verify that the application ensures that field-level access is restricted to consumers with explicit permissions to specific fields to mitigate broken object property level authorization (BOPLA).</t>
  </si>
  <si>
    <t>Sensitive fields will be excluded from API responses using DTO mapping and controlled serialization to prevent data leakage</t>
  </si>
  <si>
    <t>Api/src/main/.../Dto/Response/UserResponse.java; Dto/Response/OrderResponse.java; Dto/Response/GameResponse.java; Dto/Response/LibraryEntryResponse.java</t>
  </si>
  <si>
    <t>V8.2.4</t>
  </si>
  <si>
    <t>Verify that adaptive security controls based on a consumer's environmental and contextual attributes (such as time of day, location, IP address, or device) are implemented for authentication and authorization decisions, as defined in the application's documentation. These controls must be applied when the consumer tries to start a new session and also during an existing session.</t>
  </si>
  <si>
    <t>No contextual or adaptative authorization controls are not implemented</t>
  </si>
  <si>
    <t>V8.3</t>
  </si>
  <si>
    <t>Operation Level Authorization</t>
  </si>
  <si>
    <t>V8.3.1</t>
  </si>
  <si>
    <t>Verify that the application enforces authorization rules at a trusted service layer and doesn't rely on controls that an untrusted consumer could manipulate, such as client-side JavaScript.</t>
  </si>
  <si>
    <t xml:space="preserve"> All authorization is server-side: SecurityConfig with rules based on path/role, @PreAuthorize(“hasRole(...)”)</t>
  </si>
  <si>
    <t>V8.3.2</t>
  </si>
  <si>
    <t>Verify that changes to values on which authorization decisions are made are applied immediately. Where changes cannot be applied immediately, (such as when relying on data in self-contained tokens), there must be mitigating controls to alert when a consumer performs an action when they are no longer authorized to do so and revert the change. Note that this alternative would not mitigate information leakage.</t>
  </si>
  <si>
    <t>V8.3.3</t>
  </si>
  <si>
    <t>Verify that access to an object is based on the originating subject's (e.g. consumer's) permissions, not on the permissions of any intermediary or service acting on their behalf. For example, if a consumer calls a web service using a self-contained token for authentication, and the service then requests data from a different service, the second service will use the consumer's token, rather than a machine-to-machine token from the first service, to make permission decisions.</t>
  </si>
  <si>
    <t>ArcadeHaven system is monolithic; no inter-service authorization propagation is required</t>
  </si>
  <si>
    <t>V8.4</t>
  </si>
  <si>
    <t>Other Authorization Considerations</t>
  </si>
  <si>
    <t>V8.4.1</t>
  </si>
  <si>
    <t>Verify that multi-tenant applications use cross-tenant controls to ensure consumer operations will never affect tenants with which they do not have permissions to interact.</t>
  </si>
  <si>
    <t>ArcadeHaven is not a multi-tenant system so all users belong to the same application context</t>
  </si>
  <si>
    <t>V8.4.2</t>
  </si>
  <si>
    <t>Verify that access to administrative interfaces incorporates multiple layers of security, including continuous consumer identity verification, device security posture assessment, and contextual risk analysis, ensuring that network location or trusted endpoints are not the sole factors for authorization even though they may reduce the likelihood of unauthorized access.</t>
  </si>
  <si>
    <t>V9.1</t>
  </si>
  <si>
    <t>Token source and integrity</t>
  </si>
  <si>
    <t>V9.1.1</t>
  </si>
  <si>
    <t>Verify that self-contained tokens are validated using their digital signature or MAC to protect against tampering before accepting the token's contents.</t>
  </si>
  <si>
    <t>All JWT tokens issued by ArcadeHaven will be validated using their digital signature (HMAC-SHA256 or RS256) before any token content is trusted. Spring Security's JWT filter will reject any token with an invalid or missing signature with a 401 response.</t>
  </si>
  <si>
    <t>Api/src/main/.../Security/SecurityConfig.java (Spring Security JWT decoder)</t>
  </si>
  <si>
    <t>V9.1.2</t>
  </si>
  <si>
    <t>Verify that only algorithms on an allowlist can be used to create and verify self-contained tokens, for a given context. The allowlist must include the permitted algorithms, ideally only either symmetric or asymmetric algorithms, and must not include the 'None' algorithm. If both symmetric and asymmetric must be supported, additional controls will be needed to prevent key confusion.</t>
  </si>
  <si>
    <t>An algorithm allowlist will be configured in the JWT validation layer. Only HS256 or RS256 will be permitted. The None algorithm will be explicitly rejected. No mixed symmetric/asymmetric support is planned, avoiding key confusion risks.</t>
  </si>
  <si>
    <t>Api/src/main/.../Security/SecurityConfig.java (Nimbus JOSE, RS256 only)</t>
  </si>
  <si>
    <t>V9.1.3</t>
  </si>
  <si>
    <t>Verify that key material that is used to validate self-contained tokens is from trusted pre-configured sources for the token issuer, preventing attackers from specifying untrusted sources and keys. For JWTs and other JWS structures, headers such as 'jku', 'x5u', and 'jwk' must be validated against an allowlist of trusted sources.</t>
  </si>
  <si>
    <t>Key material for JWT validation will be pre-configured server-side via environment variables. JWT headers such as jku, x5u, and jwk will be ignored or validated against a strict allowlist to prevent attackers from supplying untrusted key sources.</t>
  </si>
  <si>
    <t>Api/src/main/.../Security/SecurityConfig.java; application.properties (jwk-set-uri)</t>
  </si>
  <si>
    <t>V9.2</t>
  </si>
  <si>
    <t>Token content</t>
  </si>
  <si>
    <t>V9.2.1</t>
  </si>
  <si>
    <t>Verify that, if a validity time span is present in the token data, the token and its content are accepted only if the verification time is within this validity time span. For example, for JWTs, the claims 'nbf' and 'exp' must be verified.</t>
  </si>
  <si>
    <t>JWT tokens will include exp (expiration) and nbf (not before) claims. The validation layer will reject tokens outside their validity window. Access tokens will have a maximum lifetime of 15 minutes.</t>
  </si>
  <si>
    <t>Api/src/main/.../Security/SecurityConfig.java (Spring Security validates exp/nbf)</t>
  </si>
  <si>
    <t>V9.2.2</t>
  </si>
  <si>
    <t>Verify that the service receiving a token validates the token to be the correct type and is meant for the intended purpose before accepting the token's contents. For example, only access tokens can be accepted for authorization decisions and only ID Tokens can be used for proving user authentication.</t>
  </si>
  <si>
    <t>ArcadeHaven will issue distinct token types (access token, refresh token)</t>
  </si>
  <si>
    <t>Api/src/main/.../Security/SecurityConfig.java (Spring Security JWT decoder validates exp, nbf, iss automatically)</t>
  </si>
  <si>
    <t>V9.2.3</t>
  </si>
  <si>
    <t>Verify that the service only accepts tokens which are intended for use with that service (audience). For JWTs, this can be achieved by validating the 'aud' claim against an allowlist defined in the service.</t>
  </si>
  <si>
    <t>JWT tokens will include an aud (audience) claim set to arcadehaven-api. The validation layer will reject any token whose aud claim does not match the expected value.</t>
  </si>
  <si>
    <t>Api/src/main/.../Security/SecurityConfig.java (issuer-uri validation per realm); application.properties (jwk-set-uri)</t>
  </si>
  <si>
    <t>V9.2.4</t>
  </si>
  <si>
    <t>Verify that, if a token issuer uses the same private key for issuing tokens to different audiences, the issued tokens contain an audience restriction that uniquely identifies the intended audiences. This will prevent a token from being reused with an unintended audience. If the audience identifier is dynamically provisioned, the token issuer must validate these audiences in order to make sure that they do not result in audience impersonation.</t>
  </si>
  <si>
    <t>ArcadeHaven uses a single audience (arcadehaven-api), so audience confusion risk is low.</t>
  </si>
  <si>
    <t>Api/src/main/.../Security/SecurityConfig.java (JWK set URI bound to single Keycloak realm); application.properties (jwt.issuer-uri)</t>
  </si>
  <si>
    <t>V10.1</t>
  </si>
  <si>
    <t>Generic OAuth and OIDC Security</t>
  </si>
  <si>
    <t>V10.1.1</t>
  </si>
  <si>
    <t>Verify that tokens are only sent to components that strictly need them. For example, when using a backend-for-frontend pattern for browser-based JavaScript applications, access and refresh tokens shall only be accessible for the backend.</t>
  </si>
  <si>
    <t>The frontend communicates with Keycloak directly. No backend-for-frontend token forwarding is used, the Spring Boot backend only validates tokens, never forwards them to other services.</t>
  </si>
  <si>
    <t>Api/src/main/.../Security/SecurityConfig.java; Service/AuthService.java</t>
  </si>
  <si>
    <t>V10.1.2</t>
  </si>
  <si>
    <t>Verify that the client only accepts values from the authorization server (such as the authorization code or ID Token) if these values result from an authorization flow that was initiated by the same user agent session and transaction. This requires that client-generated secrets, such as the proof key for code exchange (PKCE) 'code_verifier', 'state' or OIDC 'nonce', are not guessable, are specific to the transaction, and are securely bound to both the client and the user agent session in which the transaction was started.</t>
  </si>
  <si>
    <t>Token values are issued exclusively by Keycloak and validated by the Spring Boot resource server using Keycloak's public keys (via JWKS endpoint). No token mixing between different authorization servers occurs.</t>
  </si>
  <si>
    <t>Api/src/main/.../Security/SecurityConfig.java (iss/aud validation); Keycloak PKCE/state/nonce</t>
  </si>
  <si>
    <t>V10.2</t>
  </si>
  <si>
    <t>OAuth Client</t>
  </si>
  <si>
    <t>V10.2.1</t>
  </si>
  <si>
    <t>Verify that, if the code flow is used, the OAuth client has protection against browser-based request forgery attacks, commonly known as cross-site request forgery (CSRF), which trigger token requests, either by using proof key for code exchange (PKCE) functionality or checking the 'state' parameter that was sent in the authorization request.</t>
  </si>
  <si>
    <t>The frontend uses the Authorization Code flow with PKCE (code_challenge / code_verifier). PKCE inherently protects against CSRF-based token request forgery. Additionally, the state parameter will be generated and validated on every authorization request.</t>
  </si>
  <si>
    <t>V10.2.2</t>
  </si>
  <si>
    <t>Verify that, if the OAuth client can interact with more than one authorization server, it has a defense against mix-up attacks. For example, it could require that the authorization server return the 'iss' parameter value and validate it in the authorization response and the token response.</t>
  </si>
  <si>
    <t>ArcadeHaven uses a single Keycloak instance as its only authorization server. Mix-up attacks between multiple authorization servers are not applicable in the current scope.</t>
  </si>
  <si>
    <t>V10.2.3</t>
  </si>
  <si>
    <t>Verify that the OAuth client only requests the required scopes (or other authorization parameters) in requests to the authorization server.</t>
  </si>
  <si>
    <t>V10.3</t>
  </si>
  <si>
    <t>OAuth Resource Server</t>
  </si>
  <si>
    <t>V10.3.1</t>
  </si>
  <si>
    <t>Verify that the resource server only accepts access tokens that are intended for use with that service (audience). The audience may be included in a structured access token (such as the 'aud' claim in JWT), or it can be checked using the token introspection endpoint.</t>
  </si>
  <si>
    <t>The Spring Boot resource server validates the aud claim in every JWT, ensuring only tokens issued for arcadehaven-api are accepted. Configured via spring.security.oauth2.resourceserver.jwt.audiences=arcadehaven-api. Tokens with a different audience are rejected with 401.</t>
  </si>
  <si>
    <t>Api/src/main/resources/application.properties (spring.security.oauth2.resourceserver.jwt.audiences=arcadehaven-api); Security/SecurityConfig.java</t>
  </si>
  <si>
    <t>V10.3.2</t>
  </si>
  <si>
    <t>Verify that the resource server enforces authorization decisions based on claims from the access token that define delegated authorization. If claims such as 'sub', 'scope', and 'authorization_details' are present, they must be part of the decision.</t>
  </si>
  <si>
    <t>Authorization decisions are enforced by Spring Security using @PreAuthorize annotations. The sub, scope, and role claims from the JWT are all evaluated in access control decisions at the method level</t>
  </si>
  <si>
    <t>Api/src/main/.../Security/KeycloakRoleConverter.java; Security/SecurityConfig.java</t>
  </si>
  <si>
    <t>V10.3.3</t>
  </si>
  <si>
    <t>Verify that if an access control decision requires identifying a unique user from an access token (JWT or related token introspection response), the resource server identifies the user from claims that cannot be reassigned to other users. Typically, it means using a combination of 'iss' and 'sub' claims.</t>
  </si>
  <si>
    <t>Users are uniquely identified by the combination of iss (Keycloak issuer URL) and sub (user UUID) claims. This pair is non-reassignable and used as the canonical user identity across the resource server.</t>
  </si>
  <si>
    <t>Api/src/main/.../Security/KeycloakRoleConverter.java (sub=UUID); Security/SecurityConfig.java (iss)</t>
  </si>
  <si>
    <t>V10.3.4</t>
  </si>
  <si>
    <t>Verify that, if the resource server requires specific authentication strength, methods, or recentness, it verifies that the presented access token satisfies these constraints. For example, if present, using the OIDC 'acr', 'amr' and 'auth_time' claims respectively.</t>
  </si>
  <si>
    <t>Standard JWT validation (expiry, signature, audience) is enforced</t>
  </si>
  <si>
    <t>V10.3.5</t>
  </si>
  <si>
    <t>Verify that the resource server prevents the use of stolen access tokens or replay of access tokens (from unauthorized parties) by requiring sender-constrained access tokens, either Mutual TLS for OAuth 2 or OAuth 2 Demonstration of Proof of Possession (DPoP).</t>
  </si>
  <si>
    <t>Token theft mitigation relies on short-lived access tokens (15 minutes) and HTTPS enforcement throughout. This may be revisited in a future phase.</t>
  </si>
  <si>
    <t>V10.4</t>
  </si>
  <si>
    <t>OAuth Authorization Server</t>
  </si>
  <si>
    <t>V10.4.1</t>
  </si>
  <si>
    <t>Verify that the authorization server validates redirect URIs based on a client-specific allowlist of pre-registered URIs using exact string comparison.</t>
  </si>
  <si>
    <t>Keycloak arcadehaven-public client is configured with an explicit allowlist of redirect URIs using exact string matching: http://localhost:3000/* and http://localhost:5173/*. No wildcards that would allow arbitrary redirects are permitted.</t>
  </si>
  <si>
    <t>keycloak/realm-export.json (arcadehaven-public client.redirectUris: ["http://localhost:3000/*", "http://localhost:5173/*"])</t>
  </si>
  <si>
    <t>V10.4.2</t>
  </si>
  <si>
    <t>Verify that, if the authorization server returns the authorization code in the authorization response, it can be used only once for a token request. For the second valid request with an authorization code that has already been used to issue an access token, the authorization server must reject a token request and revoke any issued tokens related to the authorization code.</t>
  </si>
  <si>
    <t>Keycloak enforces single-use authorization codes natively. If a code is reused, Keycloak rejects the second request and revokes any tokens previously issued from that code. This is built-in behavior of the Keycloak authorization server.</t>
  </si>
  <si>
    <t>keycloak/realm-export.json (Keycloak 26.2 native: single-use auth codes enforced by authorization server)</t>
  </si>
  <si>
    <t>V10.4.3</t>
  </si>
  <si>
    <t>Verify that the authorization code is short-lived. The maximum lifetime can be up to 10 minutes for L1 and L2 applications and up to 1 minute for L3 applications.</t>
  </si>
  <si>
    <t>Authorization codes are configured with a 60-second lifetime (accessCodeLifespan=60) in the Keycloak realm. This is well within the L1/L2 maximum of 10 minutes and provides strong protection against code interception.</t>
  </si>
  <si>
    <t>keycloak/realm-export.json (accessCodeLifespan=60 seconds)</t>
  </si>
  <si>
    <t>V10.4.4</t>
  </si>
  <si>
    <t>Verify that for a given client, the authorization server only allows the usage of grants that this client needs to use. Note that the grants 'token' (Implicit flow) and 'password' (Resource Owner Password Credentials flow) must no longer be used.</t>
  </si>
  <si>
    <t>Implicit flow (response_type=token) is explicitly disabled for all ArcadeHaven clients (implicitFlowEnabled=false). However, the Resource Owner Password Credentials grant is used by AuthService.login() as an architectural dependency -- the Spring Boot API acts as a login proxy for clients that cannot perform browser redirects. PKCE Authorization Code flow is enforced for browser clients.</t>
  </si>
  <si>
    <t>keycloak/realm-export.json (arcadehaven-public: implicitFlowEnabled=false); Api/src/main/.../Service/AuthService.java (login() uses Direct Grant -- architectural dependency)</t>
  </si>
  <si>
    <t>V10.4.5</t>
  </si>
  <si>
    <t>Verify that the authorization server mitigates refresh token replay attacks for public clients, preferably using sender-constrained refresh tokens, i.e., Demonstrating Proof of Possession (DPoP) or Certificate-Bound Access Tokens using mutual TLS (mTLS). For L1 and L2 applications, refresh token rotation may be used. If refresh token rotation is used, the authorization server must invalidate the refresh token after usage, and revoke all refresh tokens for that authorization if an already used and invalidated refresh token is provided.</t>
  </si>
  <si>
    <t>Refresh token rotation is enforced at realm level: revokeRefreshToken=true and refreshTokenMaxReuse=0. Each refresh token use issues a new token and immediately invalidates the previous one. If a revoked refresh token is presented, all tokens for that session are revoked.</t>
  </si>
  <si>
    <t>keycloak/realm-export.json (revokeRefreshToken=true, refreshTokenMaxReuse=0)</t>
  </si>
  <si>
    <t>V10.4.6</t>
  </si>
  <si>
    <t>Verify that, if the code grant is used, the authorization server mitigates authorization code interception attacks by requiring proof key for code exchange (PKCE). For authorization requests, the authorization server must require a valid 'code_challenge' value and must not accept a 'code_challenge_method' value of 'plain'. For a token request, it must require validation of the 'code_verifier' parameter.</t>
  </si>
  <si>
    <t>PKCE with S256 is enforced for the arcadehaven-public client via the Keycloak client attribute pkce.code.challenge.method=S256. The plain method is rejected. Keycloak validates the code_verifier on every token request against the stored code_challenge.</t>
  </si>
  <si>
    <t>keycloak/realm-export.json (arcadehaven-public attributes: pkce.code.challenge.method=S256)</t>
  </si>
  <si>
    <t>V10.4.7</t>
  </si>
  <si>
    <t>Verify that if the authorization server supports unauthenticated dynamic client registration, it mitigates the risk of malicious client applications. It must validate client metadata such as any registered URIs, ensure the user's consent, and warn the user before processing an authorization request with an untrusted client application.</t>
  </si>
  <si>
    <t>Dynamic client registration is not supported in ArcadeHaven. All clients are pre-registered in Keycloak by administrators. No unauthenticated registration endpoint is exposed.</t>
  </si>
  <si>
    <t>V10.4.8</t>
  </si>
  <si>
    <t>Verify that refresh tokens have an absolute expiration, including if sliding refresh token expiration is applied.</t>
  </si>
  <si>
    <t>Refresh tokens have an absolute expiration of 7 days (ssoSessionMaxLifespan=604800 seconds) configured at realm level. offlineSessionMaxLifespanEnabled=false prevents indefinite offline session extension. Sliding expiration is bounded by the absolute maximum.</t>
  </si>
  <si>
    <t>keycloak/realm-export.json (ssoSessionMaxLifespan=604800, offlineSessionMaxLifespanEnabled=false)</t>
  </si>
  <si>
    <t>V10.4.9</t>
  </si>
  <si>
    <t>Verify that refresh tokens and reference access tokens can be revoked by an authorized user using the authorization server user interface, to mitigate the risk of malicious clients or stolen tokens.</t>
  </si>
  <si>
    <t>Token and refresh token revocation is available via: (1) POST /api/auth/logout which calls Keycloak session revocation API, (2) Keycloak account management console at /realms/arcadehaven/account where users can view and revoke active sessions.</t>
  </si>
  <si>
    <t>keycloak/realm-export.json; Api/src/main/.../Service/AuthService.java (logout() -&gt; keycloak.realm().users().get(id).logout()); Controller/AuthController.java</t>
  </si>
  <si>
    <t>V10.4.10</t>
  </si>
  <si>
    <t>Verify that confidential client is authenticated for client-to-authorized server backchannel requests such as token requests, pushed authorization requests (PAR), and token revocation requests.</t>
  </si>
  <si>
    <t>The Spring Boot backend authenticates to Keycloak Admin API using CLIENT_CREDENTIALS grant with dedicated confidential client arcadehaven-backend (service account). Removed use of master realm admin-cli. The service account has realm-admin role scoped to the arcadehaven realm only (principle of least privilege).</t>
  </si>
  <si>
    <t>keycloak/realm-export.json (arcadehaven-backend: serviceAccountsEnabled=true, clientRoles: realm-management/realm-admin); Config/KeycloakAdminConfig.java (OAuth2Constants.CLIENT_CREDENTIALS)</t>
  </si>
  <si>
    <t>V10.4.11</t>
  </si>
  <si>
    <t>Verify that the authorization server configuration only assigns the required scopes to the OAuth client.</t>
  </si>
  <si>
    <t>arcadehaven-public client is configured with only required scopes in defaultClientScopes: [openid, web-origins, acr, profile, roles, email, basic]. optionalClientScopes is empty, preventing clients from requesting additional scopes beyond what is needed.</t>
  </si>
  <si>
    <t>keycloak/realm-export.json (arcadehaven-public: defaultClientScopes=[openid,web-origins,acr,profile,roles,email,basic], optionalClientScopes=[])</t>
  </si>
  <si>
    <t>V10.4.12</t>
  </si>
  <si>
    <t>Verify that for a given client, the authorization server only allows the 'response_mode' value that this client needs to use. For example, by having the authorization server validate this value against the expected values or by using pushed authorization request (PAR) or JWT-secured Authorization Request (JAR).</t>
  </si>
  <si>
    <t>Only response_mode=query (default for code flow) is permitted. No other response modes are configured or accepted for ArcadeHaven clients in Keycloak.</t>
  </si>
  <si>
    <t>V10.4.13</t>
  </si>
  <si>
    <t>Verify that grant type 'code' is always used together with pushed authorization requests (PAR).</t>
  </si>
  <si>
    <t>Pushed Authorization Requests (PAR) are not implemented</t>
  </si>
  <si>
    <t>V10.4.14</t>
  </si>
  <si>
    <t>Verify that the authorization server issues only sender-constrained (Proof-of-Possession) access tokens, either with certificate-bound access tokens using mutual TLS (mTLS) or DPoP-bound access tokens (Demonstration of Proof of Possession).</t>
  </si>
  <si>
    <t>Sender-constrained access tokens (mTLS or DPoP) are out of scope for Phase 1. Standard bearer tokens are used, protected by HTTPS and short expiry.</t>
  </si>
  <si>
    <t>V10.4.15</t>
  </si>
  <si>
    <t>Verify that, for a server-side client (which is not executed on the end-user device), the authorization server ensures that the 'authorization_details' parameter value is from the client backend and that the user has not tampered with it. For example, by requiring the usage of pushed authorization request (PAR) or JWT-secured Authorization Request (JAR).</t>
  </si>
  <si>
    <t xml:space="preserve">	ArcadeHaven does not use authorization_details (Rich Authorization Requests). Not applicable in the current scope.</t>
  </si>
  <si>
    <t>V10.4.16</t>
  </si>
  <si>
    <t>Verify that the client is confidential and the authorization server requires the use of strong client authentication methods (based on public-key cryptography and resistant to replay attacks), such as mutual TLS ('tls_client_auth', 'self_signed_tls_client_auth') or private key JWT ('private_key_jwt').</t>
  </si>
  <si>
    <t>Strong client authentication via mTLS or private_key_jwt is not implemented.</t>
  </si>
  <si>
    <t>V10.5</t>
  </si>
  <si>
    <t>OIDC Client</t>
  </si>
  <si>
    <t>V10.5.1</t>
  </si>
  <si>
    <t>Verify that the client (as the relying party) mitigates ID Token replay attacks. For example, by ensuring that the 'nonce' claim in the ID Token matches the 'nonce' value sent in the authentication request to the OpenID Provider (in OAuth2 refereed to as the authorization request sent to the authorization server).</t>
  </si>
  <si>
    <t>ArcadeHaven has no browser-based OIDC client (relying party). The nonce validation requirement applies to the client consuming the ID Token in an authorization code flow with a browser redirect. Since the Spring Boot API acts as a resource server only (not an OIDC RP performing browser redirects), there is no client-side nonce to validate.</t>
  </si>
  <si>
    <t>V10.5.2</t>
  </si>
  <si>
    <t>Verify that the client uniquely identifies the user from ID Token claims, usually the 'sub' claim, which cannot be reassigned to other users (for the scope of an identity provider).</t>
  </si>
  <si>
    <t xml:space="preserve">	Users are uniquely identified by the sub claim in the ID Token, which maps to the Keycloak user UUID. This value is non-reassignable within the Keycloak identity provider.</t>
  </si>
  <si>
    <t>Api/src/main/.../Security/KeycloakRoleConverter.java (sub UUID, non-reassignable)</t>
  </si>
  <si>
    <t>V10.5.3</t>
  </si>
  <si>
    <t>Verify that the client rejects attempts by a malicious authorization server to impersonate another authorization server through authorization server metadata. The client must reject authorization server metadata if the issuer URL in the authorization server metadata does not exactly match the pre-configured issuer URL expected by the client.</t>
  </si>
  <si>
    <t>The Spring Boot backend validate the iss claim against a pre-configured Keycloak issuer URL. Any token with a different issuer is rejected, preventing authorization server impersonation.</t>
  </si>
  <si>
    <t>Api/src/main/.../Security/SecurityConfig.java; application.properties (issuer-uri)</t>
  </si>
  <si>
    <t>V10.5.4</t>
  </si>
  <si>
    <t>Verify that the client validates that the ID Token is intended to be used for that client (audience) by checking that the 'aud' claim from the token is equal to the 'client_id' value for the client.</t>
  </si>
  <si>
    <t>The aud claim in ID Tokens is validated by the Spring Security JWT decoder configured with arcadehaven-api audience. The realm export configures the audience mapper so the arcadehaven-public client receives tokens with the correct audience claim.</t>
  </si>
  <si>
    <t>Api/src/main/resources/application.properties (spring.security.oauth2.resourceserver.jwt.audiences=arcadehaven-api); keycloak/realm-export.json</t>
  </si>
  <si>
    <t>V10.5.5</t>
  </si>
  <si>
    <t>Verify that, when using OIDC back-channel logout, the relying party mitigates denial of service through forced logout and cross-JWT confusion in the logout flow. The client must verify that the logout token is correctly typed with a value of 'logout+jwt', contains the 'event' claim with the correct member name, and does not contain a 'nonce' claim. Note that it is also recommended to have a short expiration (e.g., 2 minutes).</t>
  </si>
  <si>
    <t xml:space="preserve">OIDC back-channel logout is not implemented. Session termination relies on refresh token revocation and short-lived access tokens. </t>
  </si>
  <si>
    <t>V10.6</t>
  </si>
  <si>
    <t>OpenID Provider</t>
  </si>
  <si>
    <t>V10.6.1</t>
  </si>
  <si>
    <t>Verify that the OpenID Provider only allows values 'code', 'ciba', 'id_token', or 'id_token code' for response mode. Note that 'code' is preferred over 'id_token code' (the OIDC Hybrid flow), and 'token' (any Implicit flow) must not be used.</t>
  </si>
  <si>
    <t>The arcadehaven-public client is configured with implicitFlowEnabled=false and standardFlowEnabled=true (Authorization Code flow only). The OpenID Provider (Keycloak) only issues code response types for ArcadeHaven clients. id_token and token response types are not permitted.</t>
  </si>
  <si>
    <t>keycloak/realm-export.json (arcadehaven-public: implicitFlowEnabled=false, standardFlowEnabled=true)</t>
  </si>
  <si>
    <t>V10.6.2</t>
  </si>
  <si>
    <t>Verify that the OpenID Provider mitigates denial of service through forced logout. By obtaining explicit confirmation from the end-user or, if present, validating parameters in the logout request (initiated by the relying party), such as the 'id_token_hint'.</t>
  </si>
  <si>
    <t>Keycloak validates logout requests and supports id_token_hint to confirm session identity before terminating. The ArcadeHaven POST /api/auth/logout endpoint forwards session revocation to Keycloak, which handles forced-logout DoS through its built-in flow validation.</t>
  </si>
  <si>
    <t>keycloak/realm-export.json (Keycloak manages logout flow validation); Api/src/main/.../Service/AuthService.java (logout() -&gt; Keycloak revocation); Security/RateLimitFilter.java</t>
  </si>
  <si>
    <t>V10.7</t>
  </si>
  <si>
    <t>Consent Management</t>
  </si>
  <si>
    <t>V10.7.1</t>
  </si>
  <si>
    <t>Verify that the authorization server ensures that the user consents to each authorization request. If the identity of the client cannot be assured, the authorization server must always explicitly prompt the user for consent.</t>
  </si>
  <si>
    <t>For first-party pre-registered clients consentRequired=false. Keycloak prompts explicit consent for any external client whose identity cannot be assured. Dynamic client registration is not supported, so all clients are trusted first-party applications.</t>
  </si>
  <si>
    <t>keycloak/realm-export.json (arcadehaven-public: consentRequired=false; dynamic client registration disabled)</t>
  </si>
  <si>
    <t>V10.7.2</t>
  </si>
  <si>
    <t>Verify that when the authorization server prompts for user consent, it presents sufficient and clear information about what is being consented to. When applicable, this should include the nature of the requested authorizations (typically based on scope, resource server, Rich Authorization Requests (RAR) authorization details), the identity of the authorized application, and the lifetime of these authorizations.</t>
  </si>
  <si>
    <t>Keycloak's built-in consent screen presents the authorizing application name, the requested scopes (openid, profile, email, roles), and session lifetime to the user before approval. This satisfies the requirement for clear and sufficient information about what is being authorized.</t>
  </si>
  <si>
    <t>keycloak/realm-export.json (Keycloak consent UI renders scope, client identity, and session lifetime)</t>
  </si>
  <si>
    <t>V10.7.3</t>
  </si>
  <si>
    <t>Verify that the user can review, modify, and revoke consents which the user has granted through the authorization server.</t>
  </si>
  <si>
    <t>Users can review, modify, and revoke granted consents and active sessions via the Keycloak account management console (/realms/arcadehaven/account). Additionally, POST /api/auth/logout triggers full session revocation via the Keycloak Admin API.</t>
  </si>
  <si>
    <t>keycloak/realm-export.json; Api/src/main/.../Service/AuthService.java (logout() revokes all sessions); Controller/AuthController.java; Keycloak /realms/arcadehaven/account</t>
  </si>
  <si>
    <t>V11.1</t>
  </si>
  <si>
    <t>Cryptographic Inventory and Documentation</t>
  </si>
  <si>
    <t>V11.1.1</t>
  </si>
  <si>
    <t>Verify that there is a documented policy for management of cryptographic keys and a cryptographic key lifecycle that follows a key management standard such as NIST SP 800-57. This should include ensuring that keys are not overshared (for example, with more than two entities for shared secrets and more than one entity for private keys).</t>
  </si>
  <si>
    <t>ArcadeHaven's cryptographic keys are documented at the requirements level: the JWT signing secret is managed as an environment variable (RNF-23, SC-001), and the BCrypt cost factor is a configurable application parameter (RNF-01). A formal key management lifecycle document covering key generation, storage, rotation schedule, expiry, and revocation — aligned with NIST SP 800-57 — is being produced. The JWT signing key is the highest-priority asset: its compromise would allow forging authentication tokens for any user role.</t>
  </si>
  <si>
    <t>Api/src/main/.../Security/WebServerTlsConfig.java (ENABLED_TLS_PROTOCOLS, APPROVED/FORBIDDEN cipher suites); application.properties (TLS 1.2+)</t>
  </si>
  <si>
    <t>V11.1.2</t>
  </si>
  <si>
    <t>Verify that a cryptographic inventory is performed, maintained, regularly updated, and includes all cryptographic keys, algorithms, and certificates used by the application. It must also document where keys can and cannot be used in the system, and the types of data that can and cannot be protected using the keys.</t>
  </si>
  <si>
    <t>Cryptographic inventory documented in Documentation/CryptographicInventory.md. Covers 6 assets: KA-01 JWT RS256 (Keycloak, 2048-bit RSA), KA-02 BCrypt cost-12 (Keycloak password storage), KA-03 CSPRNG 128-bit SecureRandom (activation key generation), KA-04 SHA-1 HIBP k-anonymity (non-cryptographic, protocol-mandated), KA-05 TLS 1.2/1.3 AES-256-GCM ECDHE, KA-06 SSH RSA/ECDSA host key verification. Each asset includes algorithm justification, key size, usage, config location, and status. Prohibited algorithms table included (MD5, SHA-1 for crypto, DES/3DES, RC4, ECB, PKCS#1v1.5, alg:none).</t>
  </si>
  <si>
    <t>Documentation/CryptographicInventory.md (sections 1-2, 4-5)</t>
  </si>
  <si>
    <t>V11.1.3</t>
  </si>
  <si>
    <t>Verify that cryptographic discovery mechanisms are employed to identify all instances of cryptography in the system, including encryption, hashing, and signing operations.</t>
  </si>
  <si>
    <t>V11.1.4</t>
  </si>
  <si>
    <t>Verify that a cryptographic inventory is maintained. This must include a documented plan that outlines the migration path to new cryptographic standards, such as post-quantum cryptography, in order to react to future threats.</t>
  </si>
  <si>
    <t>V11.2</t>
  </si>
  <si>
    <t>Secure Cryptography Implementation</t>
  </si>
  <si>
    <t>V11.2.1</t>
  </si>
  <si>
    <t>Verify that industry-validated implementations (including libraries and hardware-accelerated implementations) are used for cryptographic operations.</t>
  </si>
  <si>
    <t>ArcadeHaven uses industry-standard libraries for all cryptographic operations. BCrypt is implemented via Spring Security's BCryptPasswordEncoder, a widely audited production-grade implementation. JWT signing and verification uses a standard JWT library (jjwt or Spring Security OAuth2). No custom cryptographic code is written — all operations are delegated to these validated libraries.</t>
  </si>
  <si>
    <t>Api/src/main/.../Service/PasswordPolicyService.java; Security/SecurityConfig.java; Api/pom.xml</t>
  </si>
  <si>
    <t>V11.2.2</t>
  </si>
  <si>
    <t>Verify that the application is designed with crypto agility such that random number, authenticated encryption, MAC, or hashing algorithms, key lengths, rounds, ciphers and modes can be reconfigured, upgraded, or swapped at any time, to protect against cryptographic breaks. Similarly, it must also be possible to replace keys and passwords and re-encrypt data. This will allow for seamless upgrades to post-quantum cryptography (PQC), once high-assurance implementations of approved PQC schemes or standards are widely available.</t>
  </si>
  <si>
    <t>Crypto agility migration procedures documented in Documentation/CryptographicInventory.md §3. Five migration paths documented: RS256-&gt;ES256 (Keycloak key provider swap, no Spring code change), BCrypt-&gt;Argon2id (Keycloak password policy swap, transparent re-hash on login), BCrypt work-factor increase (Keycloak realm settings only), activation key size 128-&gt;256 bit (change new byte[16] to new byte[32] + Flyway migration), TLS protocol/cipher change (application.properties + nginx config). No algorithm is embedded in business logic; all changes require only configuration.</t>
  </si>
  <si>
    <t>Documentation/CryptographicInventory.md §3 (Migration Procedures 3.1-3.5)</t>
  </si>
  <si>
    <t>V11.2.3</t>
  </si>
  <si>
    <t>Verify that all cryptographic primitives utilize a minimum of 128-bits of security based on the algorithm, key size, and configuration. For example, a 256-bit ECC key provides roughly 128 bits of security where RSA requires a 3072-bit key to achieve 128 bits of security.</t>
  </si>
  <si>
    <t>BCrypt with work factor 12 provides adequate security against brute-force attacks on the hash output. JWT HS256 uses a 256-bit HMAC key, providing 128-bit security equivalence. TLS 1.2+ mandates cipher suites with at least 128-bit security (AES-128-GCM or AES-256-GCM). The JWT signing secret must be at least 256 bits (32 bytes) to match the HS256 key size requirement.</t>
  </si>
  <si>
    <t>Api/src/main/.../Security/SecurityConfig.java (RS256/HS256, BCrypt&gt;=12, TLS1.2+)</t>
  </si>
  <si>
    <t>V11.2.4</t>
  </si>
  <si>
    <t>Verify that all cryptographic operations are constant-time, with no 'short-circuit' operations in comparisons, calculations, or returns, to avoid leaking information.</t>
  </si>
  <si>
    <t>Although a Level 3 requirement, ArcadeHaven's cryptographic libraries already implement constant-time behavior. Spring Security's BCryptPasswordEncoder.matches() uses constant-time comparison for hash verification. Standard JWT libraries (jjwt, Spring Security OAuth2) use constant-time HMAC comparison to prevent timing side-channel attacks on signature verification. No custom comparison logic bypasses these guarantees. A formal verification sweep to confirm no application-level comparison paths short-circuit on cryptographic values has not yet been completed.</t>
  </si>
  <si>
    <t>Api/src/main/.../Security/SecurityConfig.java (BCryptPasswordEncoder.matches, Nimbus JOSE)</t>
  </si>
  <si>
    <t>V11.2.5</t>
  </si>
  <si>
    <t>Verify that all cryptographic modules fail securely, and errors are handled in a way that does not enable vulnerabilities, such as Padding Oracle attacks.</t>
  </si>
  <si>
    <t>Padding Oracle attacks require an application to perform CBC-mode block cipher decryption and return distinguishable error responses for padding failures versus decryption failures. ArcadeHaven performs no application-level CBC decryption. Transport encryption is handled entirely by TLS (RNF-05); password storage uses BCrypt (not a symmetric cipher); JWT uses HMAC-SHA256 signing (not encryption). The attack surface for Padding Oracle vulnerabilities is architecturally absent.</t>
  </si>
  <si>
    <t>V11.3</t>
  </si>
  <si>
    <t>Encryption Algorithms</t>
  </si>
  <si>
    <t>V11.3.1</t>
  </si>
  <si>
    <t>Verify that insecure block modes (e.g., ECB) and weak padding schemes (e.g., PKCS#1 v1.5) are not used.</t>
  </si>
  <si>
    <t>ArcadeHaven does not implement application-level symmetric encryption. All block cipher usage is within TLS 1.2+, which prohibits ECB mode and PKCS#1 v1.5 padding. BCrypt does not use ECB; JWT payloads are Base64url-encoded and signed — not encrypted with a block cipher. No ECB or weak padding schemes exist in the application's cryptographic surface.</t>
  </si>
  <si>
    <t>Api/src/main/.../Security/SecurityConfig.java (TLS1.2+ only, no ECB)</t>
  </si>
  <si>
    <t>V11.3.2</t>
  </si>
  <si>
    <t>Verify that only approved ciphers and modes such as AES with GCM are used.</t>
  </si>
  <si>
    <t>Transport encryption across all ArcadeHaven endpoints uses HTTPS with TLS 1.2 or higher (RNF-05). TLS 1.2+ negotiates only approved cipher suites including AES-128-GCM and AES-256-GCM. The application does not perform additional symmetric encryption beyond what TLS provides — data at rest is either BCrypt-hashed (passwords) or stored with access controls.</t>
  </si>
  <si>
    <t>Api/src/main/.../Security/SecurityConfig.java (TLS AES-GCM cipher suites)</t>
  </si>
  <si>
    <t>V11.3.3</t>
  </si>
  <si>
    <t>Verify that encrypted data is protected against unauthorized modification preferably by using an approved authenticated encryption method or by combining an approved encryption method with an approved MAC algorithm.</t>
  </si>
  <si>
    <t>JWT tokens — the primary bearer of sensitive state in ArcadeHaven — use HMAC-SHA256 (HS256) to produce a signature over the Base64url-encoded header and payload. Any modification to the token claims (e.g., changing the user role from buyer to admin) invalidates the signature and causes rejection. TLS-protected responses are also integrity-protected by the TLS record MAC.</t>
  </si>
  <si>
    <t>Api/src/main/.../Security/SecurityConfig.java (HMAC-SHA256 JWT integrity)</t>
  </si>
  <si>
    <t>V11.3.4</t>
  </si>
  <si>
    <t>Verify that nonces, initialization vectors, and other single-use numbers are not used for more than one encryption key and data-element pair. The method of generation must be appropriate for the algorithm being used.</t>
  </si>
  <si>
    <t>V11.3.5</t>
  </si>
  <si>
    <t>Verify that any combination of an encryption algorithm and a MAC algorithm is operating in encrypt-then-MAC mode.</t>
  </si>
  <si>
    <t>ArcadeHaven implements no custom combination of a symmetric cipher and a separate MAC algorithm. JWT uses sign-then-Base64url-encode with HMAC-SHA256 (not a cipher+MAC combination). TLS-authenticated encryption (AEAD via AES-GCM) is handled internally by the TLS stack — the application does not compose encryption and MAC operations separately. The encrypt-then-MAC ordering concern is architecturally inapplicable to ArcadeHaven's cryptographic surface.</t>
  </si>
  <si>
    <t>V11.4</t>
  </si>
  <si>
    <t>Hashing and Hash-based Functions</t>
  </si>
  <si>
    <t>V11.4.1</t>
  </si>
  <si>
    <t>Verify that only approved hash functions are used for general cryptographic use cases, including digital signatures, HMAC, KDF, and random bit generation. Disallowed hash functions, such as MD5, must not be used for any cryptographic purpose.</t>
  </si>
  <si>
    <t>ArcadeHaven uses only approved hash functions. BCrypt (for password hashing) uses an internal Blowfish-based construction approved as a password KDF. JWT signing uses HMAC-SHA256, an approved MAC construction based on SHA-256. MD5 and SHA-1 are not used anywhere in the application's cryptographic surface.</t>
  </si>
  <si>
    <t>Api/src/main/.../Service/PasswordPolicyService.java (SHA-1 HIBP-only, non-cryptographic)</t>
  </si>
  <si>
    <t>V11.4.2</t>
  </si>
  <si>
    <t>Verify that passwords are stored using an approved, computationally intensive, key derivation function (also known as a "password hashing function"), with parameter settings configured based on current guidance. The settings should balance security and performance to make brute-force attacks sufficiently challenging for the required level of security.</t>
  </si>
  <si>
    <t>All ArcadeHaven user passwords are stored as BCrypt hashes (RNF-01, AC-001). BCrypt is the industry-standard password KDF, specifically designed to be computationally intensive and resistant to GPU-accelerated brute-force attacks. The work factor is configurable and must be set to at least 10; current OWASP guidance recommends 12. The work factor is stored in the hash itself, enabling seamless re-hashing to a higher cost factor in future. Plaintext passwords are never stored or logged.</t>
  </si>
  <si>
    <t>Api/src/main/.../Service/AuthService.java (Keycloak BCrypt &gt;= work factor 12)</t>
  </si>
  <si>
    <t>V11.4.3</t>
  </si>
  <si>
    <t>Verify that hash functions used in digital signatures, as part of data authentication or data integrity are collision resistant and have appropriate bit-lengths. If collision resistance is required, the output length must be at least 256 bits. If only resistance to second pre-image attacks is required, the output length must be at least 128 bits.</t>
  </si>
  <si>
    <t>JWT tokens in ArcadeHaven are signed using HMAC-SHA256 (HS256). SHA-256 produces a 256-bit (32-byte) output, meeting the minimum bit-length for collision resistance. The HMAC construction provides both collision resistance and a keyed MAC property, ensuring that only the holder of the JWT signing secret can produce a valid signature. This protects against token forgery and role claim modification (abuse case AC-03).</t>
  </si>
  <si>
    <t>Api/src/main/.../Security/SecurityConfig.java (HMAC-SHA256 256-bit / RS256)</t>
  </si>
  <si>
    <t>V11.4.4</t>
  </si>
  <si>
    <t>Verify that the application uses approved key derivation functions with key stretching parameters when deriving secret keys from passwords. The parameters in use must balance security and performance to prevent brute-force attacks from compromising the resulting cryptographic key.</t>
  </si>
  <si>
    <t>BCrypt's adaptive cost factor provides key stretching for password hashing (RNF-01). The cost factor determines the number of Blowfish key schedule rounds, making each hash attempt exponentially more expensive as the factor increases. An attacker who obtains the BCrypt hash cannot brute-force the original password efficiently. The cost factor must be calibrated to take at least 100ms per hash on current hardware, per OWASP guidance.</t>
  </si>
  <si>
    <t>Api/src/main/.../Service/AuthService.java (Keycloak BCrypt adaptive cost)</t>
  </si>
  <si>
    <t>V11.5</t>
  </si>
  <si>
    <t>Random Values</t>
  </si>
  <si>
    <t>V11.5.1</t>
  </si>
  <si>
    <t>Verify that all random numbers and strings which are intended to be non-guessable must be generated using a cryptographically secure pseudo-random number generator (CSPRNG) and have at least 128 bits of entropy. Note that UUIDs do not respect this condition.</t>
  </si>
  <si>
    <t>A security gap has been identified: RNF-08 specifies activation key generation using "UUID or equivalent," but this requirement explicitly states that UUIDs do not meet the CSPRNG 128-bit entropy condition. Activation keys grant access to purchased games in a buyer's library and are high-value targets for theft (abuse case AC-07). The fix is to generate 128 bits of raw entropy using Java's SecureRandom, encoded as a 32-character hex or 22-character base64url string. SC-003 and RNF-08 are being updated to reflect CSPRNG-based generation.</t>
  </si>
  <si>
    <t>Api/src/main/.../Service/SftpStorageService.java (UUID.randomUUID() for secure filenames); Domain entities (UUID primary keys via @GeneratedValue)</t>
  </si>
  <si>
    <t>V11.5.2</t>
  </si>
  <si>
    <t>Verify that the random number generation mechanism in use is designed to work securely, even under heavy demand.</t>
  </si>
  <si>
    <t>Although a Level 3 requirement, Java's SecureRandom — the CSPRNG mandated by V11.5.1 for activation key generation — is by design non-blocking and thread-safe under concurrent load. Since Java 9, the NativePRNGNonBlocking algorithm reads from /dev/urandom on Linux (never blocks) and the JVM reseeds automatically without degrading to a predictable state. No application-level changes are required; the mechanism is inherently compliant. A formal confirmation of the SecureRandom algorithm variant in use within the Docker container is pending.</t>
  </si>
  <si>
    <t>Java SecureRandom (NativePRNGNonBlocking on Linux, JVM built-in)</t>
  </si>
  <si>
    <t>V11.6</t>
  </si>
  <si>
    <t>Public Key Cryptography</t>
  </si>
  <si>
    <t>V11.6.1</t>
  </si>
  <si>
    <t>Verify that only approved cryptographic algorithms and modes of operation are used for key generation and seeding, and digital signature generation and verification. Key generation algorithms must not generate insecure keys vulnerable to known attacks, for example, RSA keys which are vulnerable to Fermat factorization.</t>
  </si>
  <si>
    <t>ArcadeHaven uses JWT for authentication (RNF-02). If HS256 is used, the HMAC shared secret is a random byte array with no susceptibility to RSA-specific attacks such as Fermat factorization. If RS256 is used, the RSA key pair must be generated via Java KeyPairGenerator with a minimum key size of 3072 bits — standard Spring Security and JWT library implementations enforce correct prime selection and are not vulnerable to Fermat factorization. Algorithm confusion attacks (HS256 vs RS256 swap) are rejected by the JWT library.</t>
  </si>
  <si>
    <t>Api/src/main/.../Security/SecurityConfig.java; application.properties (jwt.*)</t>
  </si>
  <si>
    <t>V11.6.2</t>
  </si>
  <si>
    <t>Verify that approved cryptographic algorithms are used for key exchange (such as Diffie-Hellman) with a focus on ensuring that key exchange mechanisms use secure parameters. This will prevent attacks on the key establishment process which could lead to adversary-in-the-middle attacks or cryptographic breaks.</t>
  </si>
  <si>
    <t>ArcadeHaven performs no application-level key exchange. All key establishment is handled by TLS at the transport layer (RNF-05). The TLS stack negotiates cipher suites using ECDHE or DHE with approved parameters, which is an infrastructure concern. The application does not implement Diffie-Hellman or any key exchange protocol directly. This is also a Level 3 requirement.</t>
  </si>
  <si>
    <t>V11.7</t>
  </si>
  <si>
    <t>In-Use Data Cryptography</t>
  </si>
  <si>
    <t>V11.7.1</t>
  </si>
  <si>
    <t>Verify that full memory encryption is in use that protects sensitive data while it is in use, preventing access by unauthorized users or processes.</t>
  </si>
  <si>
    <t>Full memory encryption (e.g., AMD SME/SEV, Intel TME) is a hardware and OS-level capability that operates below the application layer. ArcadeHaven cannot implement or control this from within a Java/Spring Boot application or Docker container. The application minimises sensitive data in memory: plaintext passwords are passed directly to BCrypt and not retained; JWT tokens live only for the duration of a single request. Memory protection beyond this scope is an infrastructure responsibility outside the application's control surface.</t>
  </si>
  <si>
    <t>V11.7.2</t>
  </si>
  <si>
    <t>Verify that data minimization ensures the minimal amount of data is exposed during processing, and ensure that data is encrypted immediately after use or as soon as feasible.</t>
  </si>
  <si>
    <t>V12.1</t>
  </si>
  <si>
    <t>General TLS Security Guidance</t>
  </si>
  <si>
    <t>V12.1.1</t>
  </si>
  <si>
    <t>Verify that only the latest recommended versions of the TLS protocol are enabled, such as TLS 1.2 and TLS 1.3. The latest version of the TLS protocol must be the preferred option.</t>
  </si>
  <si>
    <t>ArcadeHaven will enforce TLS 1.2 and TLS 1.3 only. TLS 1.0 and 1.1 will be explicitly disabled in the Spring Boot embedded Tomcat configuration and in the reverse proxy (Nginx/Docker). TLS 1.3 will be set as the preferred version.</t>
  </si>
  <si>
    <t>Api/src/main/.../Security/WebServerTlsConfig.java (ENABLED_TLS_PROTOCOLS="TLSv1.2,TLSv1.3"); application.properties (server.ssl.*)</t>
  </si>
  <si>
    <t>V12.1.2</t>
  </si>
  <si>
    <t>Verify that only recommended cipher suites are enabled, with the strongest cipher suites set as preferred. L3 applications must only support cipher suites which provide forward secrecy.</t>
  </si>
  <si>
    <t>Only strong cipher suites will be enabled. Weak ciphers (e.g. RC4, 3DES, NULL) will be explicitly disabled. For Level 2, cipher suites supporting forward secrecy (ECDHE-based) will be preferred and configured in the reverse proxy TLS settings.</t>
  </si>
  <si>
    <t>Api/src/main/.../Security/WebServerTlsConfig.java (APPROVED_CIPHER_SUITES: ECDHE-ECDSA/RSA-AES256/128-GCM; FORBIDDEN_CIPHER_SUITES blocked)</t>
  </si>
  <si>
    <t>V12.1.3</t>
  </si>
  <si>
    <t>Verify that the application validates that mTLS client certificates are trusted before using the certificate identity for authentication or authorization.</t>
  </si>
  <si>
    <t>ArcadeHaven does not implement mutual TLS (mTLS) client certificate authentication in Phase 1. Authentication is handled via JWT Bearer tokens.</t>
  </si>
  <si>
    <t>V12.1.4</t>
  </si>
  <si>
    <t>Verify that proper certification revocation, such as Online Certificate Status Protocol (OCSP) Stapling, is enabled and configured.</t>
  </si>
  <si>
    <t>V12.1.5</t>
  </si>
  <si>
    <t>Verify that Encrypted Client Hello (ECH) is enabled in the application's TLS settings to prevent exposure of sensitive metadata, such as the Server Name Indication (SNI), during TLS handshake processes.</t>
  </si>
  <si>
    <t>V12.2</t>
  </si>
  <si>
    <t>HTTPS Communication with External Facing Services</t>
  </si>
  <si>
    <t>V12.2.1</t>
  </si>
  <si>
    <t>Verify that TLS is used for all connectivity between a client and external facing, HTTP-based services, and does not fall back to insecure or unencrypted communications.</t>
  </si>
  <si>
    <t>All client-to-API communication will be over HTTPS only. HTTP connections will not be redirected but rejected outright to prevent silent plaintext data leakage. Enforced via Spring Security and reverse proxy configuration.</t>
  </si>
  <si>
    <t>Api/src/main/resources/application.properties (server.ssl.*); Api/docker-compose.yml (TLS termination config)</t>
  </si>
  <si>
    <t>V12.2.2</t>
  </si>
  <si>
    <t>Verify that external facing services use publicly trusted TLS certificates.</t>
  </si>
  <si>
    <t>A publicly trusted TLS certificate (e.g. Let's Encrypt) will be used for the ArcadeHaven API in production. Self-signed certificates will only be used in local development environments and will never be used in staging or production.</t>
  </si>
  <si>
    <t>Api/src/main/resources/application.properties (spring.security.oauth2.resourceserver.jwt.issuer-uri with HTTPS)</t>
  </si>
  <si>
    <t>V12.3</t>
  </si>
  <si>
    <t>General Service to Service Communication Security</t>
  </si>
  <si>
    <t>V12.3.1</t>
  </si>
  <si>
    <t>Verify that an encrypted protocol such as TLS is used for all inbound and outbound connections to and from the application, including monitoring systems, management tools, remote access and SSH, middleware, databases, mainframes, partner systems, or external APIs. The server must not fall back to insecure or unencrypted protocols.</t>
  </si>
  <si>
    <t>All inter-service and external communications enforce TLS with no fallback to plaintext protocols.</t>
  </si>
  <si>
    <t>Api/src/main/.../Service/SftpStorageService.java (SSH/SFTP via SSHJ library for all file transfer)</t>
  </si>
  <si>
    <t>V12.3.2</t>
  </si>
  <si>
    <t>Verify that TLS clients validate certificates received before communicating with a TLS server.</t>
  </si>
  <si>
    <t>TLS certificates are validated for all outbound connections; validation is never disabled.</t>
  </si>
  <si>
    <t>Api/src/main/.../Service/SftpStorageService.java (OpenSSHKnownHosts verification when sftp.known-hosts-path is configured)</t>
  </si>
  <si>
    <t>V12.3.3</t>
  </si>
  <si>
    <t>Verify that TLS or another appropriate transport encryption mechanism used for all connectivity between internal, HTTP-based services within the application, and does not fall back to insecure or unencrypted communications.</t>
  </si>
  <si>
    <t>Covered by V12.3.1. Internal DB communication explicitly enforces TLS.</t>
  </si>
  <si>
    <t>Api/src/main/.../Service/SftpStorageService.java (all file ops over SFTP/SSH); application.properties (sftp.*)</t>
  </si>
  <si>
    <t>V12.3.4</t>
  </si>
  <si>
    <t>Verify that TLS connections between internal services use trusted certificates. Where internally generated or self-signed certificates are used, the consuming service must be configured to only trust specific internal CAs and specific self-signed certificates.</t>
  </si>
  <si>
    <t>Only explicitly trusted certificates are accepted; no global trust of self-signed certificates.</t>
  </si>
  <si>
    <t>Api/src/main/.../Service/SftpStorageService.java (known-hosts-path for trusted host verification; PromiscuousVerifier only in dev); docker-compose.yml</t>
  </si>
  <si>
    <t>V12.3.5</t>
  </si>
  <si>
    <t>Verify that services communicating internally within a system (intra-service communications) use strong authentication to ensure that each endpoint is verified. Strong authentication methods, such as TLS client authentication, must be employed to ensure identity, using public-key infrastructure and mechanisms that are resistant to replay attacks. For microservice architectures, consider using a service mesh to simplify certificate management and enhance security.</t>
  </si>
  <si>
    <t>V13.1</t>
  </si>
  <si>
    <t>Configuration Documentation</t>
  </si>
  <si>
    <t>V13.1.1</t>
  </si>
  <si>
    <t>Verify that all communication needs for the application are documented. This must include external services which the application relies upon and cases where an end user might be able to provide an external location to which the application will then connect.</t>
  </si>
  <si>
    <t>All communication channels will be documented, including database connectivity, external API integration and server-side file generation</t>
  </si>
  <si>
    <t>Api/docker-compose.yml (inter-service network: api, keycloak, postgres, sftp-server); application.properties (all external service endpoints documented)</t>
  </si>
  <si>
    <t>V13.1.2</t>
  </si>
  <si>
    <t>Verify that for each service the application uses, the documentation defines the maximum number of concurrent connections (e.g., connection pool limits) and how the application behaves when that limit is reached, including any fallback or recovery mechanisms, to prevent denial of service conditions.</t>
  </si>
  <si>
    <t>V13.1.3</t>
  </si>
  <si>
    <t>Verify that the application documentation defines resource‑management strategies for every external system or service it uses (e.g., databases, file handles, threads, HTTP connections). This should include resource‑release procedures, timeout settings, failure handling, and where retry logic is implemented, specifying retry limits, delays, and back‑off algorithms. For synchronous HTTP request–response operations it should mandate short timeouts and either disable retries or strictly limit retries to prevent cascading delays and resource exhaustion.</t>
  </si>
  <si>
    <t>V13.1.4</t>
  </si>
  <si>
    <t>Verify that the application's documentation defines the secrets that are critical for the security of the application and a schedule for rotating them, based on the organization's threat model and business requirements.</t>
  </si>
  <si>
    <t>V13.2</t>
  </si>
  <si>
    <t>Backend Communication Configuration</t>
  </si>
  <si>
    <t>V13.2.1</t>
  </si>
  <si>
    <t>Verify that communications between backend application components that don't support the application's standard user session mechanism, including APIs, middleware, and data layers, are authenticated. Authentication must use individual service accounts, short-term tokens, or certificate-based authentication and not unchanging credentials such as passwords, API keys, or shared accounts with privileged access.</t>
  </si>
  <si>
    <t>V13.2.2</t>
  </si>
  <si>
    <t>Verify that communications between backend application components, including local or operating system services, APIs, middleware, and data layers, are performed with accounts assigned the least necessary privileges.</t>
  </si>
  <si>
    <t>V13.2.3</t>
  </si>
  <si>
    <t>Verify that if a credential has to be used for service authentication, the credential being used by the consumer is not a default credential (e.g., root/root or admin/admin).</t>
  </si>
  <si>
    <t>No default credentials are used in the system. All environments rely on explicit configuration via environment variables</t>
  </si>
  <si>
    <t>V13.2.4</t>
  </si>
  <si>
    <t>Verify that an allowlist is used to define the external resources or systems with which the application is permitted to communicate (e.g., for outbound requests, data loads, or file access). This allowlist can be implemented at the application layer, web server, firewall, or a combination of different layers.</t>
  </si>
  <si>
    <t>V13.2.5</t>
  </si>
  <si>
    <t>Verify that the web or application server is configured with an allowlist of resources or systems to which the server can send requests or load data or files from.</t>
  </si>
  <si>
    <t>ArcadeHeaven does not dynamically load external resources</t>
  </si>
  <si>
    <t>V13.2.6</t>
  </si>
  <si>
    <t>Verify that where the application connects to separate services, it follows the documented configuration for each connection, such as maximum parallel connections, behavior when maximum allowed connections is reached, connection timeouts, and retry strategies.</t>
  </si>
  <si>
    <t>V13.3</t>
  </si>
  <si>
    <t>Secret Management</t>
  </si>
  <si>
    <t>V13.3.1</t>
  </si>
  <si>
    <t>Verify that a secrets management solution, such as a key vault, is used to securely create, store, control access to, and destroy backend secrets. These could include passwords, key material, integrations with databases and third-party systems, keys and seeds for time-based tokens, other internal secrets, and API keys. Secrets must not be included in application source code or included in build artifacts. For an L3 application, this must involve a hardware-backed solution such as an HSM.</t>
  </si>
  <si>
    <t>V13.3.2</t>
  </si>
  <si>
    <t>Verify that access to secret assets adheres to the principle of least privilege.</t>
  </si>
  <si>
    <t>V13.3.3</t>
  </si>
  <si>
    <t>Verify that all cryptographic operations are performed using an isolated security module (such as a vault or hardware security module) to securely manage and protect key material from exposure outside of the security module.</t>
  </si>
  <si>
    <t>V13.3.4</t>
  </si>
  <si>
    <t>Verify that secrets are configured to expire and be rotated based on the application's documentation.</t>
  </si>
  <si>
    <t>V13.4</t>
  </si>
  <si>
    <t>Unintended Information Leakage</t>
  </si>
  <si>
    <t>V13.4.1</t>
  </si>
  <si>
    <t>Verify that the application is deployed either without any source control metadata, including the .git or .svn folders, or in a way that these folders are inaccessible both externally and to the application itself.</t>
  </si>
  <si>
    <t>Created Api/.dockerignore excluding .git, .env, .env.*, target/, logs/, .github/, Documentation/, Deliverables/, .idea/ and other non-runtime artefacts. Prevents source-control metadata and secrets from being baked into the Docker image (ASVS V13.4.1).</t>
  </si>
  <si>
    <t>Api/.dockerignore</t>
  </si>
  <si>
    <t>V13.4.2</t>
  </si>
  <si>
    <t>Verify that debug modes are disabled for all components in production environments to prevent exposure of debugging features and information leakage.</t>
  </si>
  <si>
    <t>spring.jpa.show-sql=false (already set). No Spring Boot DevTools in pom.xml. Actuator limited to /actuator/health only via management.endpoints.web.exposure.include=health and management.endpoint.health.show-details=never. No H2 console configured.</t>
  </si>
  <si>
    <t>Api/src/main/resources/application.properties (management.* properties); Api/src/main/java/isep/desosfs/arcadehaven/Security/SecurityConfig.java</t>
  </si>
  <si>
    <t>V13.4.3</t>
  </si>
  <si>
    <t>Verify that web servers do not expose directory listings to clients unless explicitly intended.</t>
  </si>
  <si>
    <t>Directory listing is not enabled</t>
  </si>
  <si>
    <t>V13.4.4</t>
  </si>
  <si>
    <t>Verify that using the HTTP TRACE method is not supported in production environments, to avoid potential information leakage.</t>
  </si>
  <si>
    <t>HTTP TRACE denied globally via .requestMatchers(HttpMethod.TRACE, "/**").denyAll() in SecurityConfig.filterChain(). Prevents Cross-Site Tracing (XST) attacks on all paths.</t>
  </si>
  <si>
    <t>Api/src/main/java/isep/desosfs/arcadehaven/Security/SecurityConfig.java:54</t>
  </si>
  <si>
    <t>V13.4.5</t>
  </si>
  <si>
    <t>Verify that documentation (such as for internal APIs) and monitoring endpoints are not exposed unless explicitly intended.</t>
  </si>
  <si>
    <t>Swagger UI (/swagger-ui/**) and API docs (/v3/api-docs/**) now require authentication (changed from permitAll() to authenticated()). Actuator exposes only /actuator/health with show-details=never. No unauthenticated access to monitoring or documentation endpoints.</t>
  </si>
  <si>
    <t>Api/src/main/java/isep/desosfs/arcadehaven/Security/SecurityConfig.java:60-65; Api/src/main/resources/application.properties (management.endpoints.*)</t>
  </si>
  <si>
    <t>V13.4.6</t>
  </si>
  <si>
    <t>Verify that the application does not expose detailed version information of backend components.</t>
  </si>
  <si>
    <t>V13.4.7</t>
  </si>
  <si>
    <t>Verify that the web tier is configured to only serve files with specific file extensions to prevent unintentional information, configuration, and source code leakage.</t>
  </si>
  <si>
    <t>The web tier does not serve static files directly</t>
  </si>
  <si>
    <t>V14.1</t>
  </si>
  <si>
    <t>Data Protection Documentation</t>
  </si>
  <si>
    <t>V14.1.1</t>
  </si>
  <si>
    <t>Verify that all sensitive data created and processed by the application has been identified and classified into protection levels. This includes data that is only encoded and therefore easily decoded, such as Base64 strings or the plaintext payload inside a JWT. Protection levels need to take into account any data protection and privacy regulations and standards which the application is required to comply with.</t>
  </si>
  <si>
    <t>All sensitive data in ArcadeHaven will be identified and classified. Key sensitive data includes: password hashes, JWT tokens, activation keys, personal user data (email, username), order history, and payment-related data. JWT payloads will be treated as sensitive despite being only Base64-encoded. Classification will be documented in the data protection policy.</t>
  </si>
  <si>
    <t>Api/src/main/.../Service/PasswordPolicyService.java (SHA-1 prefix only for HIBP, full hash never stored); Security/SecurityAuditService.java (IP logged, no credentials)</t>
  </si>
  <si>
    <t>V14.1.2</t>
  </si>
  <si>
    <t>Verify that all sensitive data protection levels have a documented set of protection requirements. This must include (but not be limited to) requirements related to general encryption, integrity verification, retention, how the data is to be logged, access controls around sensitive data in logs, database-level encryption, privacy and privacy-enhancing technologies to be used, and other confidentiality requirements.</t>
  </si>
  <si>
    <t>Due to the academic scope of this project, this requirement is considered out of scope and is therefore not implemented.</t>
  </si>
  <si>
    <t>V14.2</t>
  </si>
  <si>
    <t>General Data Protection</t>
  </si>
  <si>
    <t>V14.2.1</t>
  </si>
  <si>
    <t>Verify that sensitive data is only sent to the server in the HTTP message body or header fields, and that the URL and query string do not contain sensitive information, such as an API key or session token.</t>
  </si>
  <si>
    <t>ArcadeHaven API will never include sensitive data (API keys, tokens, passwords) in URL query strings. All sensitive data will be transmitted in the HTTP request body (POST/PUT) or in the Authorization header. Enforced by API design guidelines and validated in code reviews.</t>
  </si>
  <si>
    <t>Api/src/main/.../Controller/AuthController.java; Dto/Request/RegisterRequest.java</t>
  </si>
  <si>
    <t>V14.2.2</t>
  </si>
  <si>
    <t>Verify that the application prevents sensitive data from being cached in server components, such as load balancers and application caches, or ensures that the data is securely purged after use.</t>
  </si>
  <si>
    <t>Sensitive API responses will include Cache-Control: no-store headers to prevent caching in intermediary layers such as load balancers or reverse proxies.</t>
  </si>
  <si>
    <t>Api/src/main/.../Exception/GlobalExceptionHandler.java (generic error messages only, no internal details leaked); Security/SecurityEventHandler.java</t>
  </si>
  <si>
    <t>V14.2.3</t>
  </si>
  <si>
    <t>Verify that defined sensitive data is not sent to untrusted parties (e.g., user trackers) to prevent unwanted collection of data outside of the application's control.</t>
  </si>
  <si>
    <t>ArcadeHaven does not integrate any third-party trackers or analytics services. The only external service calls are to RAWG API (game metadata, no user data sent). No user data is shared with untrusted parties.</t>
  </si>
  <si>
    <t>Api/src/main/.../Service/PasswordPolicyService.java (HIBP 5-char prefix only)</t>
  </si>
  <si>
    <t>V14.2.4</t>
  </si>
  <si>
    <t>Verify that controls around sensitive data related to encryption, integrity verification, retention, how the data is to be logged, access controls around sensitive data in logs, privacy and privacy-enhancing technologies, are implemented as defined in the documentation for the specific data's protection level.</t>
  </si>
  <si>
    <t>Controls defined in V14.1.2 will be implemented and verified: BCrypt for password hashing, TLS for data in transit, Cache-Control: no-store for sensitive responses, role-based access to sensitive log data, and data retention policies enforced via scheduled database cleanup jobs.</t>
  </si>
  <si>
    <t>Api/src/main/resources/application.properties (TLS config); Security/WebServerTlsConfig.java; Security/SecurityConfig.java</t>
  </si>
  <si>
    <t>V14.2.5</t>
  </si>
  <si>
    <t>Verify that caching mechanisms are configured to only cache responses which have the expected content type for that resource and do not contain sensitive, dynamic content. The web server should return a 404 or 302 response when a non-existent file is accessed rather than returning a different, valid file. This should prevent Web Cache Deception attacks.</t>
  </si>
  <si>
    <t>V14.2.6</t>
  </si>
  <si>
    <t>Verify that the application only returns the minimum required sensitive data for the application's functionality. For example, only returning some of the digits of a credit card number and not the full number. If the complete data is required, it should be masked in the user interface unless the user specifically views it.</t>
  </si>
  <si>
    <t>V14.2.7</t>
  </si>
  <si>
    <t>Verify that sensitive information is subject to data retention classification, ensuring that outdated or unnecessary data is deleted automatically, on a defined schedule, or as the situation requires.</t>
  </si>
  <si>
    <t>V14.2.8</t>
  </si>
  <si>
    <t>Verify that sensitive information is removed from the metadata of user-submitted files unless storage is consented to by the user.</t>
  </si>
  <si>
    <t>V14.3</t>
  </si>
  <si>
    <t>Client-side Data Protection</t>
  </si>
  <si>
    <t>V14.3.1</t>
  </si>
  <si>
    <t>Verify that authenticated data is cleared from client storage, such as the browser DOM, after the client or session is terminated. The 'Clear-Site-Data' HTTP response header field may be able to help with this but the client-side should also be able to clear up if the server connection is not available when the session is terminated.</t>
  </si>
  <si>
    <t>ArcadeHaven is a back-end REST API with no browser-facing front-end. Client-side storage clearing and Clear-Site-Data headers are not applicable in the current scope.</t>
  </si>
  <si>
    <t>V14.3.2</t>
  </si>
  <si>
    <t>Verify that the application sets sufficient anti-caching HTTP response header fields (i.e., Cache-Control: no-store) so that sensitive data is not cached in browsers.</t>
  </si>
  <si>
    <t>Sensitive responses include Cache-Control: no-store to prevent caching by browsers, proxies, and intermediaries.</t>
  </si>
  <si>
    <t>Api/src/main/.../Security/SecurityConfig.java (.cacheControl(Customizer.withDefaults()) sets Cache-Control: no-cache, no-store)</t>
  </si>
  <si>
    <t>V14.3.3</t>
  </si>
  <si>
    <t>Verify that data stored in browser storage (such as localStorage, sessionStorage, IndexedDB, or cookies) does not contain sensitive data, with the exception of session tokens.</t>
  </si>
  <si>
    <t>Authentication uses JWT Bearer tokens passed in the Authorization header, managed entirely by the API consumer.</t>
  </si>
  <si>
    <t>V15.1</t>
  </si>
  <si>
    <t>Secure Coding and Architecture Documentation</t>
  </si>
  <si>
    <t>V15.1.1</t>
  </si>
  <si>
    <t>Verify that application documentation defines risk based remediation time frames for 3rd party component versions with vulnerabilities and for updating libraries in general, to minimize the risk from these components.</t>
  </si>
  <si>
    <t>Formal SLA documented: Critical CVEs &lt;=7 days, High &lt;=30 days, Medium &lt;=90 days, Low next release. OWASP Dependency Check runs on every CI execution (sca-dependency-check.yml). False-positive suppression procedure defined.</t>
  </si>
  <si>
    <t>Documentation/VulnerabilityRemediationPolicy.md §1; .github/workflows/sca-dependency-check.yml</t>
  </si>
  <si>
    <t>V15.1.2</t>
  </si>
  <si>
    <t>Verify that an inventory catalog, such as software bill of materials (SBOM), is maintained of all third-party libraries in use, including verifying that components come from pre-defined, trusted, and continually maintained repositories.</t>
  </si>
  <si>
    <t>CycloneDX SBOM generated on every build (cyclonedx:makeAggregateBom, build.yml). bom.xml and bom.json uploaded as report-build-test artifact. All dependencies from Maven Central (trusted repository).</t>
  </si>
  <si>
    <t>Api/pom.xml (cyclonedx-maven-plugin 2.9.0); .github/workflows/build.yml</t>
  </si>
  <si>
    <t>V15.1.3</t>
  </si>
  <si>
    <t>Verify that the application documentation identifies functionality which is time-consuming or resource-demanding. This must include how to prevent a loss of availability due to overusing this functionality and how to avoid a situation where building a response takes longer than the consumer's timeout. Potential defenses may include asynchronous processing, using queues, and limiting parallel processes per user and per application.</t>
  </si>
  <si>
    <t>Resource-demanding functionality formally documented: file uploads (25 MB cap, Tika MIME check), SFTP operations (SSH host-key verification), HIBP check (fail-open), invoice/key-card generation, Keycloak Admin API calls, DB game-listing (composite indexes). Each entry lists risk and mitigations.</t>
  </si>
  <si>
    <t>Documentation/VulnerabilityRemediationPolicy.md §2</t>
  </si>
  <si>
    <t>V15.1.4</t>
  </si>
  <si>
    <t>Verify that application documentation highlights third-party libraries which are considered to be "risky components".</t>
  </si>
  <si>
    <t>V15.1.5</t>
  </si>
  <si>
    <t>Verify that application documentation highlights parts of the application where "dangerous functionality" is being used.</t>
  </si>
  <si>
    <t>8 dangerous features formally labelled with risk category and mitigations: file upload (path traversal, MIME spoofing), RAWG SSRF adjacency, Keycloak Admin API, ROPC grant, admin initialisation, JWT signing keys, SFTP host-key, activation keys.</t>
  </si>
  <si>
    <t>Documentation/VulnerabilityRemediationPolicy.md §3</t>
  </si>
  <si>
    <t>V15.2</t>
  </si>
  <si>
    <t>Security Architecture and Dependencies</t>
  </si>
  <si>
    <t>V15.2.1</t>
  </si>
  <si>
    <t>Verify that the application only contains components which have not breached the documented update and remediation time frames.</t>
  </si>
  <si>
    <t>OWASP Dependency Check (dependency-check-maven 12.1.3) runs on every CI execution against NVD database with NVD_API_KEY secret. Build fails on CVE threshold breach. Report uploaded as report-sca artifact. Remediation SLA enforces no components past timeframe in production.</t>
  </si>
  <si>
    <t>.github/workflows/sca-dependency-check.yml; Api/pom.xml; Documentation/VulnerabilityRemediationPolicy.md §1</t>
  </si>
  <si>
    <t>V15.2.2</t>
  </si>
  <si>
    <t>Verify that the application has implemented defenses against loss of availability due to functionality which is time-consuming or resource-demanding, based on the documented security decisions and strategies for this.</t>
  </si>
  <si>
    <t>Defenses implemented: maximum file size enforced at the Spring multipart layer (FO-001), MIME type validation rejects unexpected content (FO-002), HTTP client timeout configured for RAWG API calls (RNF-16), local metadata fallback when RAWG is unavailable, and rate limiting (AC-006, RNF-09) on all security-sensitive and high-volume endpoints to prevent repeated triggering of resource-intensive operations.</t>
  </si>
  <si>
    <t>Api/src/main/.../Security/RateLimitFilter.java; Exception/GlobalExceptionHandler.java; application.properties</t>
  </si>
  <si>
    <t>V15.2.3</t>
  </si>
  <si>
    <t>Verify that the production environment only includes functionality that is required for the application to function, and does not expose extraneous functionality such as test code, sample snippets, and development functionality.</t>
  </si>
  <si>
    <t>Production environment hygiene verified: spring.jpa.show-sql=false, management.endpoints.web.exposure.include=health, management.endpoint.health.show-details=never, Swagger requires authentication, no H2 console, no DevTools dependency. springdoc-openapi present but gated behind JWT authentication in SecurityConfig.</t>
  </si>
  <si>
    <t>Api/src/main/resources/application.properties; Api/src/main/java/isep/desosfs/arcadehaven/Security/SecurityConfig.java</t>
  </si>
  <si>
    <t>V15.2.4</t>
  </si>
  <si>
    <t>Verify that third-party components and all of their transitive dependencies are included from the expected repository, whether internally owned or an external source, and that there is no risk of a dependency confusion attack.</t>
  </si>
  <si>
    <t>V15.2.5</t>
  </si>
  <si>
    <t>Verify that the application implements additional protections around parts of the application which are documented as containing "dangerous functionality" or using third-party libraries considered to be "risky components". This could include techniques such as sandboxing, encapsulation, containerization or network level isolation to delay and deter attackers who compromise one part of an application from pivoting elsewhere in the application.</t>
  </si>
  <si>
    <t>Although a Level 3 requirement, ArcadeHaven's Docker containerisation directly satisfies the requirement's explicit examples: containerization and network-level isolation. The entire application — including the iText PDF generation component, the RAWG API HTTP client, and the file upload handler — runs inside a Docker container with no host-level access. The database is isolated in a separate container with network-level access restricted to the application container. No process can escape the container boundary without explicit Docker configuration. Additional sandboxing beyond Docker (e.g., seccomp profiles, AppArmor) is being evaluated as part of the deployment hardening specification.</t>
  </si>
  <si>
    <t>Api/docker-compose.yml (separate containers, network isolation)</t>
  </si>
  <si>
    <t>V15.3</t>
  </si>
  <si>
    <t>Defensive Coding</t>
  </si>
  <si>
    <t>V15.3.1</t>
  </si>
  <si>
    <t>Verify that the application only returns the required subset of fields from a data object. For example, it should not return an entire data object, as some individual fields should not be accessible to users.</t>
  </si>
  <si>
    <t>ArcadeHaven uses dedicated response DTO classes for all API responses. Entity classes (User, Game, Order, ActivationKey) are never directly serialised into responses. The UserResponseDTO never includes passwordHash; OrderResponseDTO excludes activation key values except in the explicit library endpoint for authenticated buyers; GameResponseDTO excludes internal metadata fields.</t>
  </si>
  <si>
    <t>Api/src/main/.../Dto/Response/UserResponse.java; Dto/Response/GameResponse.java; Dto/Response/OrderResponse.java; Dto/Response/LibraryEntryResponse.java</t>
  </si>
  <si>
    <t>V15.3.2</t>
  </si>
  <si>
    <t>Verify that where the application backend makes calls to external URLs, it is configured to not follow redirects unless it is intended functionality.</t>
  </si>
  <si>
    <t>RestTemplate bean configured with anonymous SimpleClientHttpRequestFactory subclass that overrides prepareConnection() calling connection.setInstanceFollowRedirects(false). Applied to all outbound HTTP calls: AuthService (ROPC login/logout) and ProfileService (current-password verification). Future RAWG client inherits this bean.</t>
  </si>
  <si>
    <t>Api/src/main/java/isep/desosfs/arcadehaven/Config/KeycloakAdminConfig.java</t>
  </si>
  <si>
    <t>V15.3.3</t>
  </si>
  <si>
    <t>Verify that the application has countermeasures to protect against mass assignment attacks by limiting allowed fields per controller and action, e.g., it is not possible to insert or update a field value when it was not intended to be part of that action.</t>
  </si>
  <si>
    <t>Spring Boot uses dedicated request DTO classes for each endpoint operation. JPA entities are never directly bound to request bodies. Fields that must not be modifiable by users — role, userId, createdAt, isApproved, activationKeyValue — are absent from request DTOs. Role assignment is performed exclusively through the administrator role-management endpoint (RF-07) with explicit authorization checks (AC-004).</t>
  </si>
  <si>
    <t>Api/src/main/.../Dto/Request/RegisterRequest.java; Dto/Request/CreateGameRequest.java; Dto/Request/UpdateProfileRequest.java; Dto/Request/AddOrderItemRequest.java</t>
  </si>
  <si>
    <t>V15.3.4</t>
  </si>
  <si>
    <t>Verify that all proxying and middleware components transfer the user's original IP address correctly using trusted data fields that cannot be manipulated by the end user, and the application and web server use this correct value for logging and security decisions such as rate limiting, taking into account that even the original IP address may not be reliable due to dynamic IPs, VPNs, or corporate firewalls.</t>
  </si>
  <si>
    <t>server.forward-headers-strategy=NATIVE activates Tomcat RemoteIpFilter. server.tomcat.remoteip.trusted-proxies restricts trust to RFC-1918 ranges (Docker networks). Client-supplied X-Forwarded-For headers are stripped. RateLimitFilter and SecurityEventHandler use request.getRemoteAddr() directly.</t>
  </si>
  <si>
    <t>Api/src/main/resources/application.properties; Api/src/main/java/isep/desosfs/arcadehaven/Security/RateLimitFilter.java; SecurityEventHandler.java</t>
  </si>
  <si>
    <t>V15.3.5</t>
  </si>
  <si>
    <t>Verify that the application explicitly ensures that variables are of the correct type and performs strict equality and comparator operations. This is to avoid type juggling or type confusion vulnerabilities caused by the application code making an assumption about a variable type.</t>
  </si>
  <si>
    <t>Java is a statically and strongly typed language with no implicit type coercion. All API inputs are declared as typed DTO fields annotated with Bean Validation constraints (@NotNull, @Positive, @Email, @Size). Jackson's deserialiser rejects type mismatches with a 400 Bad Request before reaching business logic. There is no type juggling equivalent in Java.</t>
  </si>
  <si>
    <t>Api/src/main/.../Dto/Request/ (all request DTOs — Java static typing + Bean Validation)</t>
  </si>
  <si>
    <t>V15.3.6</t>
  </si>
  <si>
    <t>Verify that JavaScript code is written in a way that prevents prototype pollution, for example, by using Set() or Map() instead of object literals.</t>
  </si>
  <si>
    <t>Prototype pollution is a vulnerability class specific to JavaScript/Node.js environments. ArcadeHaven is a Java/Spring Boot backend with no JavaScript runtime component. This vulnerability class is architecturally inapplicable.</t>
  </si>
  <si>
    <t>V15.3.7</t>
  </si>
  <si>
    <t>Verify that the application has defenses against HTTP parameter pollution attacks, particularly if the application framework makes no distinction about the source of request parameters (query string, body parameters, cookies, or header fields).</t>
  </si>
  <si>
    <t>Spring MVC processes query parameters, request body, and header fields through separate and explicit binding mechanisms (@RequestParam, @RequestBody, @RequestHeader). Duplicate query parameters for a single-value field produce a 400 Bad Request via Spring's typed binding. Input validation (IV-001) applies whitelist validation to all parameters before they reach business logic.</t>
  </si>
  <si>
    <t>Api/src/main/.../Security/SecurityConfig.java; all controllers (@RequestParam/@RequestBody separate binding)</t>
  </si>
  <si>
    <t>V15.4</t>
  </si>
  <si>
    <t>Safe Concurrency</t>
  </si>
  <si>
    <t>V15.4.1</t>
  </si>
  <si>
    <t>Verify that shared objects in multi-threaded code (such as caches, files, or in-memory objects accessed by multiple threads) are accessed safely by using thread-safe types and synchronization mechanisms like locks or semaphores to avoid race conditions and data corruption.</t>
  </si>
  <si>
    <t>V15.4.2</t>
  </si>
  <si>
    <t>Verify that checks on a resource's state, such as its existence or permissions, and the actions that depend on them are performed as a single atomic operation to prevent time-of-check to time-of-use (TOCTOU) race conditions. For example, checking if a file exists before opening it, or verifying a user’s access before granting it.</t>
  </si>
  <si>
    <t>V15.4.3</t>
  </si>
  <si>
    <t>Verify that locks are used consistently to avoid threads getting stuck, whether by waiting on each other or retrying endlessly, and that locking logic stays within the code responsible for managing the resource to ensure locks cannot be inadvertently or maliciously modified by external classes or code.</t>
  </si>
  <si>
    <t>V15.4.4</t>
  </si>
  <si>
    <t>Verify that resource allocation policies prevent thread starvation by ensuring fair access to resources, such as by leveraging thread pools, allowing lower-priority threads to proceed within a reasonable timeframe.</t>
  </si>
  <si>
    <t>V16.1</t>
  </si>
  <si>
    <t>Security Logging Documentation</t>
  </si>
  <si>
    <t>V16.1.1</t>
  </si>
  <si>
    <t>Verify that an inventory exists documenting the logging performed at each layer of the application's technology stack, what events are being logged, log formats, where that logging is stored, how it is used, how access to it is controlled, and for how long logs are kept.</t>
  </si>
  <si>
    <t>Formal logging inventory documented in Documentation/LoggingInventory.md. Covers all 8 security event types (LOGIN_SUCCESS, REGISTRATION_SUCCESS, REGISTRATION_FAILURE, UNAUTHORIZED, ACCESS_DENIED, RATE_LIMIT_EXCEEDED, VALIDATION_FAILURE, ADMIN_ACTION, THRESHOLD_EXCEEDED), structured JSON format spec with all fields, dual-destination architecture (console + rolling file), access controls (appuser:appgroup, chmod 750), 30-day retention policy, explicit list of what is NOT logged (JWTs, activation keys, request bodies), and SIEM integration guidance.</t>
  </si>
  <si>
    <t>Documentation/LoggingInventory.md; Api/src/main/java/isep/desosfs/arcadehaven/Security/SecurityAuditService.java; Api/src/main/resources/logback-spring.xml</t>
  </si>
  <si>
    <t>V16.2</t>
  </si>
  <si>
    <t>General Logging</t>
  </si>
  <si>
    <t>V16.2.1</t>
  </si>
  <si>
    <t>Verify that each log entry includes necessary metadata (such as when, where, who, what) that would allow for a detailed investigation of the timeline when an event happens.</t>
  </si>
  <si>
    <t>All SecurityAuditService events now include: ts (ISO-8601 UTC timestamp), ip, user, method, path, event type in structured JSON. Admin actions logged with admin username, action, and target entity. Rate-limit hits and validation failures include IP and path. ASVS V16.2.1 who/what/when fully covered.</t>
  </si>
  <si>
    <t>Api/src/main/java/isep/desosfs/arcadehaven/Security/SecurityAuditService.java</t>
  </si>
  <si>
    <t>V16.2.2</t>
  </si>
  <si>
    <t>Verify that time sources for all logging components are synchronized, and that timestamps in security event metadata use UTC or include an explicit time zone offset. UTC is recommended to ensure consistency across distributed systems and to prevent confusion during daylight saving time transitions.</t>
  </si>
  <si>
    <t>LM-001 mandates UTC timestamps for all log entries. The application generates UTC timestamps using the JVM's Instant.now(), which reads from the system clock. Time source synchronisation across all Docker containers (application and database) is ensured by the host system NTP configuration, being defined as part of the Docker deployment specification (RNF-21/22). The application itself does not depend on local wall-clock time for any security decisions.</t>
  </si>
  <si>
    <t>Api/src/main/.../Security/SecurityAuditService.java (Instant.now() UTC); Security/SecurityEventHandler.java</t>
  </si>
  <si>
    <t>V16.2.3</t>
  </si>
  <si>
    <t>Verify that the application only stores or broadcasts logs to the files and services that are documented in the log inventory.</t>
  </si>
  <si>
    <t>ArcadeHaven logs exclusively to stdout within the Docker container. No third-party logging services, external log collectors, or additional file destinations are integrated at the application level. All log destinations are identified in the V16 logging inventory (V16.1.1). Any future integration with a SIEM or log forwarder will be added to the inventory before use.</t>
  </si>
  <si>
    <t>Api/src/main/.../Security/SecurityAuditService.java (SECURITY_AUDIT logger, stdout + logs/arcadehaven.log)</t>
  </si>
  <si>
    <t>V16.2.4</t>
  </si>
  <si>
    <t>Verify that logs can be read and correlated by the log processor that is in use, preferably by using a common logging format.</t>
  </si>
  <si>
    <t>SecurityAuditService.json() helper emits all events as structured JSON: {"event":"SECURITY_EVENT","ts":"&lt;iso&gt;","type":"...","ip":"...","user":"..."}. Parseable by ELK, Splunk, Datadog, and any standard log processor without custom parsing.</t>
  </si>
  <si>
    <t>Api/src/main/java/isep/desosfs/arcadehaven/Security/SecurityAuditService.java:json()</t>
  </si>
  <si>
    <t>V16.2.5</t>
  </si>
  <si>
    <t>Verify that when logging sensitive data, the application enforces logging based on the data's protection level. For example, it may not be allowed to log certain data, such as credentials or payment details. Other data, such as session tokens, may only be logged by being hashed or masked, either in full or partially.</t>
  </si>
  <si>
    <t>SecurityAuditService.sanitize() now applies two regex patterns before any value is embedded in a log line: JWT_PATTERN replaces full JWT tokens (eyJ... format) with [JWT_REDACTED]; ACTIVATION_KEY_PATTERN replaces 32-char uppercase hex strings with [KEY_REDACTED]. Both patterns are applied automatically to every key/value pair via the json() helper. Passwords and request bodies are never passed to logging methods. Field names (not values) appear in the details field of VALIDATION_FAILURE events.</t>
  </si>
  <si>
    <t>Api/src/main/java/isep/desosfs/arcadehaven/Security/SecurityAuditService.java:sanitize() (JWT_PATTERN, ACTIVATION_KEY_PATTERN)</t>
  </si>
  <si>
    <t>V16.3</t>
  </si>
  <si>
    <t>Security Events</t>
  </si>
  <si>
    <t>V16.3.1</t>
  </si>
  <si>
    <t>Verify that all authentication operations are logged, including successful and unsuccessful attempts. Additional metadata, such as the type of authentication or factors used, should also be collected.</t>
  </si>
  <si>
    <t>AuthService.login() calls auditService.recordLoginSuccess(username) on success. AuthService.register() calls auditService.recordRegistrationSuccess(username) on success. Login failures trigger recordUnauthorized() via GlobalExceptionHandler (BadCredentialsException). IP resolved from current request context (X-Forwarded-For or remoteAddr).</t>
  </si>
  <si>
    <t>Api/src/main/java/isep/desosfs/arcadehaven/Service/AuthService.java:80,104; Api/src/main/java/isep/desosfs/arcadehaven/Security/SecurityAuditService.java:recordLoginSuccess()</t>
  </si>
  <si>
    <t>V16.3.2</t>
  </si>
  <si>
    <t>Verify that failed authorization attempts are logged. For L3, this must include logging all authorization decisions, including logging when sensitive data is accessed (without logging the sensitive data itself).</t>
  </si>
  <si>
    <t>LM-002 requires logging of all authorization failures with user identity, role at time of request, target resource, and outcome. ArcadeHaven enforces three role levels (administrator, publisher, buyer) via RNF-04 and AC-004. Authorization failures include: a buyer attempting to access publisher-only game management routes (AC-11), any user attempting to access admin approval endpoints (AC-12), and a buyer attempting to cancel another buyer's order (AC-16).</t>
  </si>
  <si>
    <t>Api/src/main/.../Security/SecurityAuditService.java (recordAccessDenied); Security/SecurityEventHandler.java</t>
  </si>
  <si>
    <t>V16.3.3</t>
  </si>
  <si>
    <t>Verify that the application logs the security events that are defined in the documentation and also logs attempts to bypass the security controls, such as input validation, business logic, and anti-automation.</t>
  </si>
  <si>
    <t>RateLimitFilter calls recordRateLimitExceeded(ip, path) on every 429 response. GlobalExceptionHandler calls recordValidationFailure(ip, path, fields) for MethodArgumentNotValidException and ConstraintViolationException. AdminService calls recordAdminAction(admin, action, target) for all privileged operations (deactivate/activate user, change role, suspend/revoke library entry) — fixes RNF-13 gap.</t>
  </si>
  <si>
    <t>Api/src/main/java/isep/desosfs/arcadehaven/Security/RateLimitFilter.java:53; Api/src/main/java/isep/desosfs/arcadehaven/Exception/GlobalExceptionHandler.java:70-78; Api/src/main/java/isep/desosfs/arcadehaven/Service/AdminService.java</t>
  </si>
  <si>
    <t>V16.3.4</t>
  </si>
  <si>
    <t>Verify that the application logs unexpected errors and security control failures such as backend TLS failures.</t>
  </si>
  <si>
    <t>ArcadeHaven integrates with the RAWG API over HTTPS (RF-12). Any TLS failure, connection timeout, or unexpected HTTP error code from an external call is treated as a security-relevant event and logged at ERROR level with the target URL, failure type, and timestamp. Unhandled application exceptions are caught by a global exception handler (ER-02) which logs the full exception detail — including stack trace and correlation ID — before returning a generic response to the client.</t>
  </si>
  <si>
    <t>V16.4</t>
  </si>
  <si>
    <t>Log Protection</t>
  </si>
  <si>
    <t>V16.4.1</t>
  </si>
  <si>
    <t>Verify that all logging components appropriately encode data to prevent log injection.</t>
  </si>
  <si>
    <t>SecurityAuditService.sanitize() strips CR (
), LF (
) and TAB (	) and escapes double quotes from all values before embedding them in JSON log entries. Applied to all key/value pairs via the json() helper method (SLF4J {} placeholders already prevent format-string injection for standard log calls).</t>
  </si>
  <si>
    <t>Api/src/main/java/isep/desosfs/arcadehaven/Security/SecurityAuditService.java:sanitize()</t>
  </si>
  <si>
    <t>V16.4.2</t>
  </si>
  <si>
    <t>Verify that logs are protected from unauthorized access and cannot be modified.</t>
  </si>
  <si>
    <t>Log directory /app/logs created in Dockerfile with chmod 750 and owned by appuser:appgroup (non-root container user). Only the application process can write logs; group and world have no write access. logback-spring.xml configures rolling file appender to /app/logs/arcadehaven.log with daily rotation, 30-day retention and 500 MB total cap. Container isolation prevents other processes from accessing the log volume.</t>
  </si>
  <si>
    <t>Api/Dockerfile (mkdir /app/logs, chmod 750); Api/src/main/resources/logback-spring.xml (RollingFileAppender)</t>
  </si>
  <si>
    <t>V16.4.3</t>
  </si>
  <si>
    <t>Verify that logs are securely transmitted to a logically separate system for analysis, detection, alerting, and escalation. The aim is to ensure that if the application is breached, the logs are not compromised.</t>
  </si>
  <si>
    <t>ArcadeHaven is a REST API application containerised with Docker (RNF-21, RNF-22). The application emits structured JSON logs to stdout; collection, forwarding, and storage in a logically separate system is an infrastructure responsibility outside the application layer. Log forwarding to a SIEM or log management service will be configured at deployment time and does not require changes to application code.</t>
  </si>
  <si>
    <t>V16.5</t>
  </si>
  <si>
    <t>Error Handling</t>
  </si>
  <si>
    <t>V16.5.1</t>
  </si>
  <si>
    <t>Verify that a generic message is returned to the consumer when an unexpected or security-sensitive error occurs, ensuring no exposure of sensitive internal system data such as stack traces, queries, secret keys, and tokens.</t>
  </si>
  <si>
    <t>ArcadeHaven exposes a REST API with four trust levels (unauthenticated, buyer, publisher, administrator). Any unhandled exception or security-sensitive error must return a generic response body — for example, {"error": "An unexpected error occurred", "ref": "&lt;correlation-id&gt;"} — regardless of the internal cause. Stack traces, SQL error messages, internal file paths, and exception class names must never appear in HTTP responses. Defined as ER-01 and verified by ST-017.</t>
  </si>
  <si>
    <t>Api/src/main/.../Exception/GlobalExceptionHandler.java (generic error messages, no stack traces)</t>
  </si>
  <si>
    <t>V16.5.2</t>
  </si>
  <si>
    <t>Verify that the application continues to operate securely when external resource access fails, for example, by using patterns such as circuit breakers or graceful degradation.</t>
  </si>
  <si>
    <t>logback-spring.xml configures dual-destination logging: CONSOLE appender (stdout, always available) and FILE appender (rolling file) with &lt;prudent&gt;true&lt;/prudent&gt;. If the file appender fails (disk full, permission error), Logback suppresses the error internally and the application continues operating via the console appender. Both appenders are attached to the root logger and the dedicated SECURITY_AUDIT logger, so security events are never silently lost.</t>
  </si>
  <si>
    <t>Api/src/main/resources/logback-spring.xml (&lt;prudent&gt;true&lt;/prudent&gt; on RollingFileAppender, dual CONSOLE+FILE destinations)</t>
  </si>
  <si>
    <t>V16.5.3</t>
  </si>
  <si>
    <t>Verify that the application fails gracefully and securely, including when an exception occurs, preventing fail-open conditions such as processing a transaction despite errors resulting from validation logic.</t>
  </si>
  <si>
    <t>ArcadeHaven's authorization model (RNF-04, AC-004) is designed to deny by default: any exception thrown during an authorization check must result in access being denied, not granted. A fail-open condition — where an authorization check throws an exception and the request is allowed through — is explicitly prohibited. The global exception handler (ER-02) catches all unhandled exceptions and returns a generic error response, ensuring incomplete request processing never results in partial authorization.</t>
  </si>
  <si>
    <t>Api/src/main/.../Exception/GlobalExceptionHandler.java; Security/SecurityConfig.java (deny-all default)</t>
  </si>
  <si>
    <t>V16.5.4</t>
  </si>
  <si>
    <t>Verify that a "last resort" error handler is defined which will catch all unhandled exceptions. This is both to avoid losing error details that must go to log files and to ensure that an error does not take down the entire application process, leading to a loss of availability.</t>
  </si>
  <si>
    <t>Although a Level 3 requirement, ArcadeHaven's ER-02 control already defines the global exception handler: a Spring @ControllerAdvice / @ExceptionHandler(Exception.class) that intercepts all unhandled exceptions, logs the full detail (stack trace, correlation ID) internally, and returns a generic client response. This handler functions as a last resort handler by design. A formally verified implementation — confirming that no exception class hierarchy escapes the catch-all handler — is being completed as part of the ER-02 implementation review.</t>
  </si>
  <si>
    <t>Api/src/main/.../Exception/GlobalExceptionHandler.java (@ExceptionHandler(Exception.class) catch-all)</t>
  </si>
  <si>
    <t>V17.1</t>
  </si>
  <si>
    <t>TURN Server</t>
  </si>
  <si>
    <t>V17.1.1</t>
  </si>
  <si>
    <t>Verify that the Traversal Using Relays around NAT (TURN) service only allows access to IP addresses that are not reserved for special purposes (e.g., internal networks, broadcast, loopback). Note that this applies to both IPv4 and IPv6 addresses.</t>
  </si>
  <si>
    <t>ArcadeHaven does not implement a TURN server or any NAT traversal mechanism. No real-time peer-to-peer communication is used.</t>
  </si>
  <si>
    <t>V17.1.2</t>
  </si>
  <si>
    <t>Verify that the Traversal Using Relays around NAT (TURN) service is not susceptible to resource exhaustion when legitimate users attempt to open a large number of ports on the TURN server.</t>
  </si>
  <si>
    <t>No TURN server is used. Resource exhaustion via TURN port allocation is not applicable.</t>
  </si>
  <si>
    <t>V17.2</t>
  </si>
  <si>
    <t>Media</t>
  </si>
  <si>
    <t>V17.2.1</t>
  </si>
  <si>
    <t>Verify that the key for the Datagram Transport Layer Security (DTLS) certificate is managed and protected based on the documented policy for management of cryptographic keys.</t>
  </si>
  <si>
    <t>ArcadeHaven does not use DTLS or any media server. No cryptographic key management for media transport is required.</t>
  </si>
  <si>
    <t>V17.2.2</t>
  </si>
  <si>
    <t>Verify that the media server is configured to use and support approved Datagram Transport Layer Security (DTLS) cipher suites and a secure protection profile for the DTLS Extension for establishing keys for the Secure Real-time Transport Protocol (DTLS-SRTP).</t>
  </si>
  <si>
    <t>No media server or DTLS-SRTP is used. Not applicable to the current project scope.</t>
  </si>
  <si>
    <t>V17.2.3</t>
  </si>
  <si>
    <t>Verify that Secure Real-time Transport Protocol (SRTP) authentication is checked at the media server to prevent Real-time Transport Protocol (RTP) injection attacks from leading to either a Denial of Service condition or audio or video media insertion into media streams.</t>
  </si>
  <si>
    <t>No SRTP or RTP media streams are used. Not applicable to the current project scope.</t>
  </si>
  <si>
    <t>V17.2.4</t>
  </si>
  <si>
    <t>Verify that the media server is able to continue processing incoming media traffic when encountering malformed Secure Real-time Transport Protocol (SRTP) packets.</t>
  </si>
  <si>
    <t>No media server is implemented. Not applicable to the current project scope.</t>
  </si>
  <si>
    <t>V17.2.5</t>
  </si>
  <si>
    <t>Verify that the media server is able to continue processing incoming media traffic during a flood of Secure Real-time Transport Protocol (SRTP) packets from legitimate users.</t>
  </si>
  <si>
    <t>No media server or SRTP traffic is used. Not applicable to the current project scope.</t>
  </si>
  <si>
    <t>V17.2.6</t>
  </si>
  <si>
    <t>Verify that the media server is not susceptible to the "ClientHello" Race Condition vulnerability in Datagram Transport Layer Security (DTLS) by checking if the media server is publicly known to be vulnerable or by performing the race condition test.</t>
  </si>
  <si>
    <t>No DTLS implementation is used. ClientHello race condition is not applicable.</t>
  </si>
  <si>
    <t>V17.2.7</t>
  </si>
  <si>
    <t>Verify that any audio or video recording mechanisms associated with the media server are able to continue processing incoming media traffic during a flood of Secure Real-time Transport Protocol (SRTP) packets from legitimate users.</t>
  </si>
  <si>
    <t xml:space="preserve">	No audio or video recording mechanisms are used. Not applicable to the current project scope.</t>
  </si>
  <si>
    <t>V17.2.8</t>
  </si>
  <si>
    <t>Verify that the Datagram Transport Layer Security (DTLS) certificate is checked against the Session Description Protocol (SDP) fingerprint attribute, terminating the media stream if the check fails, to ensure the authenticity of the media stream.</t>
  </si>
  <si>
    <t>No DTLS certificates or SDP fingerprint validation is used. Not applicable to the current project scope.</t>
  </si>
  <si>
    <t>V17.3</t>
  </si>
  <si>
    <t>Signaling</t>
  </si>
  <si>
    <t>V17.3.1</t>
  </si>
  <si>
    <t>Verify that the signaling server is able to continue processing legitimate incoming signaling messages during a flood attack. This should be achieved by implementing rate limiting at the signaling level.</t>
  </si>
  <si>
    <t>ArcadeHaven does not implement a signaling server or any WebRTC signaling mechanism. Not applicable to the current project scope.</t>
  </si>
  <si>
    <t>V17.3.2</t>
  </si>
  <si>
    <t>Verify that the signaling server is able to continue processing legitimate signaling messages when encountering malformed signaling message that could cause a denial of service condition. This could include implementing input validation, safely handling integer overflows, preventing buffer overflows, and employing other robust error-handling techniques.</t>
  </si>
  <si>
    <t>No signaling server is used. Malformed signaling message handling is not applicable to the current project scope.</t>
  </si>
  <si>
    <t>Output is mainly JSON responses handled by the Jackson serializer used by SpringBoot. Server generated files (PDF invoices, activation keys) are properly escaped and sanitized before file creation.</t>
  </si>
  <si>
    <t>Api/src/main/java/.../Exception/GlobalExceptionHandler.java (JSON error responses, no raw stack traces); Security/SecurityEventHandler.java (writeJson via ObjectMapper); Api/src/main/java/…/Service/InvoiceService.java;</t>
  </si>
  <si>
    <t>Api/src/main/java/.../Dto/Request/RegisterRequest.java; Api/src/main/java/.../Validation/NoHtmlValidator.java</t>
  </si>
  <si>
    <t>ArcadeHaven validates external URLs configuration scheme and host. Additionally, URLs are constructed using UriComponentsBuilder, ensuring dynamic paths segments are properly encoded and preventing malformed URL and and malicious URL injections.</t>
  </si>
  <si>
    <t>Api/src/main/java/…/Service/AuthService.java; Api/src/main/java/…/Service/ProfileService.java; Api/src/main/java/…/Config/KeycloakAdminConfig.java;</t>
  </si>
  <si>
    <t>ArcadeHaven escapes special characters in inputs through the NoHtml validator and FileValidator.</t>
  </si>
  <si>
    <t>Api/src/main/java/…/Validation/NoHtmlValidator.java; Api/src/main/java/…/Validation/FileeValidator.java</t>
  </si>
  <si>
    <t>ArcadeHaven enforces input size constraints and value bounds in Dto files and sanitizes potentially dangerous context when building invoices. Uploaded files are assigned sanitized filenames before being store in file storage</t>
  </si>
  <si>
    <t>Api/src/main/java/…/Dto/Request; Api/src/main/java/…/Service/InvoiceService.java; Api/src/main/java/…/Service/FileStorageService.java; Api/main/java/…/Service/SftpStorageService.java</t>
  </si>
  <si>
    <t>ArcadeHaven ensures that user-controlled input is never used as a format string in logging, templating, or string formatting operations. All formatting operations use fixed templates with parameterized values, preventing format-string injection risks.</t>
  </si>
  <si>
    <t>Api/src/main/java/…/Controller; Api/src/main/java/…/Dto</t>
  </si>
  <si>
    <t>ArcadeHaven Dto classes enforce value bounds and domain classes apply range validation techniques to prevent overflow</t>
  </si>
  <si>
    <t>Api/src/main/java/…/Dto/Request; Api/src/main/java/.../Service/Domain/Game Api/src/main/java/.../Service/Domain/OrderItem</t>
  </si>
  <si>
    <t>Documentation/Requirements/requirements.md; Documentation/SecurityTesting/securityTesting.md</t>
  </si>
  <si>
    <t>Api/src/main/resources/application.properties (max-file-size=25MB); Api/src/main/java/…/Services/GameService.java; Api/src/main/java/…/Validation/FileValidator.java</t>
  </si>
  <si>
    <t>All uploaded files will be validated by checking the file extension against an allowlist (JPG, JPEG, PNG, WebP) and verifying the magic bytes of the file content. Image files will be re-written server-side (via Java ImageIO) to strip any embedded malicious content and confirm the file is a valid image.</t>
  </si>
  <si>
    <t>Api/src/main/java/.../Validation/FileValidator.java (Tika MIME detection from file bytes); Api/src/main/java/…/Service/FileStorageService.java</t>
  </si>
  <si>
    <t>Uploaded files are storage in a File Storage outside web-accessible directories. File access is performed through authenticated API endpoints and returned as a stream of binaries.</t>
  </si>
  <si>
    <t>Api/src/main/java/…/controller/PublisherController.java; Api/src/main/java/…/service/FileStorageService.java</t>
  </si>
  <si>
    <t>Uploaded files paths are validated against traversal attempts, absolute paths abuse and allowed top level root.</t>
  </si>
  <si>
    <t>Api/src/main/java/…/Service/FileStorageService.java</t>
  </si>
  <si>
    <t>ArcadeHaven does not trust user-submitted filenames. Uploaded files are stored with a safe filename generated with UUID.</t>
  </si>
  <si>
    <t>Api/src/main/java/.../Service/GameService.java; Api/src/main/java/…/Controller/PublisherController.java;</t>
  </si>
  <si>
    <t>ArcadeHaven fetches files by their UUID and returns sanitized filename saved at time of creation.</t>
  </si>
  <si>
    <t>Api/src/main/java/…/Service/GameService.java;</t>
  </si>
  <si>
    <t>ArcadeHaven scans for known malware using ClamAV antivirus before processing a file.</t>
  </si>
  <si>
    <t>Api/src/main/java/…/Service/ClamAVService.java; Api/src/main/java/…/GameService.java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</si>
</sst>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rgb="FF000000"/>
      <name val="Calibri"/>
      <family val="2"/>
      <charset val="1"/>
    </font>
    <font>
      <b/>
      <sz val="16"/>
      <color rgb="FFFFFFFF"/>
      <name val="Cambria"/>
      <family val="1"/>
    </font>
    <font>
      <i/>
      <sz val="10"/>
      <color rgb="FF595959"/>
      <name val="Cambria"/>
      <family val="1"/>
    </font>
    <font>
      <b/>
      <sz val="10"/>
      <name val="Cambria"/>
      <family val="1"/>
    </font>
    <font>
      <b/>
      <sz val="9"/>
      <name val="Cambria"/>
      <family val="1"/>
    </font>
    <font>
      <b/>
      <sz val="9"/>
      <color rgb="FFFFFFFF"/>
      <name val="Cambria"/>
      <family val="1"/>
    </font>
    <font>
      <sz val="10"/>
      <name val="Cambria"/>
      <family val="1"/>
    </font>
    <font>
      <b/>
      <sz val="11"/>
      <color rgb="FFFFFFFF"/>
      <name val="Cambria"/>
      <family val="1"/>
    </font>
    <font>
      <b/>
      <sz val="10"/>
      <color rgb="FFFFFFFF"/>
      <name val="Cambria"/>
      <family val="1"/>
    </font>
    <font>
      <b/>
      <sz val="10"/>
      <color rgb="FF1F3864"/>
      <name val="Cambria"/>
      <family val="1"/>
    </font>
    <font>
      <sz val="11"/>
      <color rgb="FF000000"/>
      <name val="Calibri"/>
      <family val="2"/>
    </font>
    <font>
      <b/>
      <sz val="10"/>
      <color rgb="FF1F3864"/>
      <name val="Cambria"/>
      <family val="2"/>
    </font>
  </fonts>
  <fills count="14">
    <fill>
      <patternFill patternType="none"/>
    </fill>
    <fill>
      <patternFill patternType="gray125"/>
    </fill>
    <fill>
      <patternFill patternType="solid">
        <fgColor rgb="FF1F3864"/>
        <bgColor rgb="FF333333"/>
      </patternFill>
    </fill>
    <fill>
      <patternFill patternType="solid">
        <fgColor rgb="FFFFFFFF"/>
        <bgColor rgb="FFF7FBFF"/>
      </patternFill>
    </fill>
    <fill>
      <patternFill patternType="solid">
        <fgColor rgb="FFF7FBFF"/>
        <bgColor rgb="FFFFFFFF"/>
      </patternFill>
    </fill>
    <fill>
      <patternFill patternType="solid">
        <fgColor rgb="FFD6E4F0"/>
        <bgColor rgb="FFC6EFCE"/>
      </patternFill>
    </fill>
    <fill>
      <patternFill patternType="solid">
        <fgColor rgb="FFFFEB9C"/>
        <bgColor rgb="FFF2F2F2"/>
      </patternFill>
    </fill>
    <fill>
      <patternFill patternType="solid">
        <fgColor rgb="FFF2F2F2"/>
        <bgColor rgb="FFF7FBFF"/>
      </patternFill>
    </fill>
    <fill>
      <patternFill patternType="solid">
        <fgColor rgb="FFC6EFCE"/>
        <bgColor rgb="FFD6E4F0"/>
      </patternFill>
    </fill>
    <fill>
      <patternFill patternType="solid">
        <fgColor rgb="FFFABF8F"/>
        <bgColor rgb="FFFFEB9C"/>
      </patternFill>
    </fill>
    <fill>
      <patternFill patternType="solid">
        <fgColor rgb="FFF2F2F2"/>
      </patternFill>
    </fill>
    <fill>
      <patternFill patternType="solid">
        <fgColor rgb="FFFFFFFF"/>
      </patternFill>
    </fill>
    <fill>
      <patternFill patternType="solid">
        <fgColor rgb="FFF7FBFF"/>
      </patternFill>
    </fill>
    <fill>
      <patternFill patternType="solid">
        <fgColor rgb="FFD6E4F0"/>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1">
    <xf numFmtId="0" fontId="0" fillId="0" borderId="0"/>
  </cellStyleXfs>
  <cellXfs count="36">
    <xf numFmtId="0" fontId="0" fillId="0" borderId="0" xfId="0"/>
    <xf numFmtId="0" fontId="4" fillId="0" borderId="0" xfId="0" applyFont="1" applyAlignment="1">
      <alignment horizontal="center" vertical="center"/>
    </xf>
    <xf numFmtId="0" fontId="5" fillId="2" borderId="1" xfId="0" applyFont="1" applyFill="1" applyBorder="1" applyAlignment="1">
      <alignment horizontal="center" vertical="center" wrapText="1"/>
    </xf>
    <xf numFmtId="0" fontId="6" fillId="3" borderId="1" xfId="0" applyFont="1" applyFill="1" applyBorder="1" applyAlignment="1">
      <alignment horizontal="left" vertical="center"/>
    </xf>
    <xf numFmtId="0" fontId="6" fillId="3" borderId="1" xfId="0" applyFont="1" applyFill="1" applyBorder="1" applyAlignment="1">
      <alignment horizontal="center" vertical="center"/>
    </xf>
    <xf numFmtId="9" fontId="6" fillId="3" borderId="1" xfId="0" applyNumberFormat="1" applyFont="1" applyFill="1" applyBorder="1" applyAlignment="1">
      <alignment horizontal="center" vertical="center"/>
    </xf>
    <xf numFmtId="0" fontId="6" fillId="4" borderId="1" xfId="0" applyFont="1" applyFill="1" applyBorder="1" applyAlignment="1">
      <alignment horizontal="left" vertical="center"/>
    </xf>
    <xf numFmtId="0" fontId="6" fillId="4" borderId="1" xfId="0" applyFont="1" applyFill="1" applyBorder="1" applyAlignment="1">
      <alignment horizontal="center" vertical="center"/>
    </xf>
    <xf numFmtId="9" fontId="6" fillId="4" borderId="1" xfId="0" applyNumberFormat="1" applyFont="1" applyFill="1" applyBorder="1" applyAlignment="1">
      <alignment horizontal="center" vertical="center"/>
    </xf>
    <xf numFmtId="0" fontId="7" fillId="2" borderId="1" xfId="0" applyFont="1" applyFill="1" applyBorder="1"/>
    <xf numFmtId="0" fontId="8" fillId="2" borderId="1" xfId="0" applyFont="1" applyFill="1" applyBorder="1" applyAlignment="1">
      <alignment horizontal="center" vertical="center"/>
    </xf>
    <xf numFmtId="9" fontId="8" fillId="2" borderId="1" xfId="0" applyNumberFormat="1" applyFont="1" applyFill="1" applyBorder="1" applyAlignment="1">
      <alignment horizontal="center" vertical="center"/>
    </xf>
    <xf numFmtId="0" fontId="8" fillId="2" borderId="1" xfId="0" applyFont="1" applyFill="1" applyBorder="1" applyAlignment="1">
      <alignment horizontal="center" vertical="center" wrapText="1"/>
    </xf>
    <xf numFmtId="0" fontId="9" fillId="5" borderId="1" xfId="0" applyFont="1" applyFill="1" applyBorder="1" applyAlignment="1">
      <alignment horizontal="left" vertical="center"/>
    </xf>
    <xf numFmtId="0" fontId="0" fillId="3" borderId="1" xfId="0" applyFill="1" applyBorder="1"/>
    <xf numFmtId="0" fontId="0" fillId="3" borderId="1" xfId="0" applyFill="1" applyBorder="1" applyAlignment="1">
      <alignment horizontal="center" vertical="top"/>
    </xf>
    <xf numFmtId="0" fontId="0" fillId="3" borderId="1" xfId="0" applyFill="1" applyBorder="1" applyAlignment="1">
      <alignment horizontal="left" vertical="top" wrapText="1"/>
    </xf>
    <xf numFmtId="0" fontId="3" fillId="6" borderId="1" xfId="0" applyFont="1" applyFill="1" applyBorder="1" applyAlignment="1">
      <alignment horizontal="center" vertical="top"/>
    </xf>
    <xf numFmtId="0" fontId="0" fillId="7" borderId="1" xfId="0" applyFill="1" applyBorder="1" applyAlignment="1">
      <alignment horizontal="center" vertical="top"/>
    </xf>
    <xf numFmtId="0" fontId="0" fillId="4" borderId="1" xfId="0" applyFill="1" applyBorder="1"/>
    <xf numFmtId="0" fontId="0" fillId="4" borderId="1" xfId="0" applyFill="1" applyBorder="1" applyAlignment="1">
      <alignment horizontal="center" vertical="top"/>
    </xf>
    <xf numFmtId="0" fontId="0" fillId="4" borderId="1" xfId="0" applyFill="1" applyBorder="1" applyAlignment="1">
      <alignment horizontal="left" vertical="top" wrapText="1"/>
    </xf>
    <xf numFmtId="0" fontId="3" fillId="8" borderId="1" xfId="0" applyFont="1" applyFill="1" applyBorder="1" applyAlignment="1">
      <alignment horizontal="center" vertical="top"/>
    </xf>
    <xf numFmtId="0" fontId="3" fillId="9" borderId="1" xfId="0" applyFont="1" applyFill="1" applyBorder="1" applyAlignment="1">
      <alignment horizontal="center" vertical="top"/>
    </xf>
    <xf numFmtId="0" fontId="0" fillId="0" borderId="0" xfId="0" applyAlignment="1">
      <alignment vertical="center"/>
    </xf>
    <xf numFmtId="0" fontId="0" fillId="3" borderId="1" xfId="0" applyFill="1" applyBorder="1" applyAlignment="1">
      <alignment horizontal="left" vertical="center" wrapText="1"/>
    </xf>
    <xf numFmtId="0" fontId="0" fillId="4" borderId="1" xfId="0" applyFill="1" applyBorder="1" applyAlignment="1">
      <alignment horizontal="left" vertical="center" wrapText="1"/>
    </xf>
    <xf numFmtId="0" fontId="0" fillId="4" borderId="2" xfId="0" applyFill="1" applyBorder="1" applyAlignment="1">
      <alignment horizontal="left" vertical="top" wrapText="1"/>
    </xf>
    <xf numFmtId="0" fontId="10" fillId="10" borderId="1" xfId="0" applyFont="1" applyFill="1" applyBorder="1" applyAlignment="1">
      <alignment horizontal="center"/>
    </xf>
    <xf numFmtId="0" fontId="10" fillId="11" borderId="1" xfId="0" applyFont="1" applyFill="1" applyBorder="1" applyAlignment="1">
      <alignment horizontal="left" wrapText="1"/>
    </xf>
    <xf numFmtId="0" fontId="10" fillId="12" borderId="1" xfId="0" applyFont="1" applyFill="1" applyBorder="1" applyAlignment="1">
      <alignment horizontal="left" wrapText="1"/>
    </xf>
    <xf numFmtId="0" fontId="11" fillId="13" borderId="1" xfId="0" applyFont="1" applyFill="1" applyBorder="1" applyAlignment="1">
      <alignment horizontal="left"/>
    </xf>
    <xf numFmtId="0" fontId="1" fillId="2" borderId="0" xfId="0" applyFont="1" applyFill="1" applyAlignment="1">
      <alignment horizontal="center" vertical="center"/>
    </xf>
    <xf numFmtId="0" fontId="0" fillId="0" borderId="0" xfId="0"/>
    <xf numFmtId="0" fontId="3" fillId="0" borderId="0" xfId="0" applyFont="1"/>
    <xf numFmtId="0" fontId="2" fillId="0" borderId="0" xfId="0" applyFont="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F7FB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ABF8F"/>
      <rgbColor rgb="FF3366FF"/>
      <rgbColor rgb="FF33CCCC"/>
      <rgbColor rgb="FF99CC00"/>
      <rgbColor rgb="FFFFCC00"/>
      <rgbColor rgb="FFFF9900"/>
      <rgbColor rgb="FFFF6600"/>
      <rgbColor rgb="FF595959"/>
      <rgbColor rgb="FFB3B3B3"/>
      <rgbColor rgb="FF1F3864"/>
      <rgbColor rgb="FF579D1C"/>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1"/>
  <c:style val="2"/>
  <c:chart>
    <c:autoTitleDeleted val="1"/>
    <c:plotArea>
      <c:layout/>
      <c:barChart>
        <c:barDir val="bar"/>
        <c:grouping val="clustered"/>
        <c:varyColors val="0"/>
        <c:ser>
          <c:idx val="0"/>
          <c:order val="0"/>
          <c:tx>
            <c:strRef>
              <c:f>Summary!$E$5</c:f>
              <c:strCache>
                <c:ptCount val="1"/>
                <c:pt idx="0">
                  <c:v>L1
%</c:v>
                </c:pt>
              </c:strCache>
            </c:strRef>
          </c:tx>
          <c:spPr>
            <a:solidFill>
              <a:srgbClr val="C6EFCE"/>
            </a:solidFill>
            <a:ln>
              <a:noFill/>
              <a:prstDash val="solid"/>
            </a:ln>
          </c:spPr>
          <c:invertIfNegative val="0"/>
          <c:dLbls>
            <c:spPr>
              <a:noFill/>
              <a:ln>
                <a:noFill/>
                <a:prstDash val="solid"/>
              </a:ln>
            </c:spPr>
            <c:txPr>
              <a:bodyPr/>
              <a:lstStyle/>
              <a:p>
                <a:pPr>
                  <a:defRPr sz="1000" b="0" strike="noStrike" spc="-1">
                    <a:latin typeface="Arial"/>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Summary!$E$6:$E$22</c:f>
              <c:numCache>
                <c:formatCode>0%</c:formatCode>
                <c:ptCount val="17"/>
                <c:pt idx="0">
                  <c:v>0.375</c:v>
                </c:pt>
                <c:pt idx="1">
                  <c:v>0.75</c:v>
                </c:pt>
                <c:pt idx="2">
                  <c:v>0.375</c:v>
                </c:pt>
                <c:pt idx="3">
                  <c:v>0.5</c:v>
                </c:pt>
                <c:pt idx="4">
                  <c:v>0.75</c:v>
                </c:pt>
                <c:pt idx="5">
                  <c:v>0.84615384615384615</c:v>
                </c:pt>
                <c:pt idx="6">
                  <c:v>0.66666666666666663</c:v>
                </c:pt>
                <c:pt idx="7">
                  <c:v>0.75</c:v>
                </c:pt>
                <c:pt idx="8">
                  <c:v>1</c:v>
                </c:pt>
                <c:pt idx="9">
                  <c:v>0.8</c:v>
                </c:pt>
                <c:pt idx="10">
                  <c:v>1</c:v>
                </c:pt>
                <c:pt idx="11">
                  <c:v>0</c:v>
                </c:pt>
                <c:pt idx="12">
                  <c:v>1</c:v>
                </c:pt>
                <c:pt idx="13">
                  <c:v>0.5</c:v>
                </c:pt>
                <c:pt idx="14">
                  <c:v>1</c:v>
                </c:pt>
                <c:pt idx="15" formatCode="General">
                  <c:v>0</c:v>
                </c:pt>
                <c:pt idx="16" formatCode="General">
                  <c:v>0</c:v>
                </c:pt>
              </c:numCache>
            </c:numRef>
          </c:val>
          <c:extLst>
            <c:ext xmlns:c16="http://schemas.microsoft.com/office/drawing/2014/chart" uri="{C3380CC4-5D6E-409C-BE32-E72D297353CC}">
              <c16:uniqueId val="{00000000-E22D-4F5E-88D8-4A5ECD49E246}"/>
            </c:ext>
          </c:extLst>
        </c:ser>
        <c:ser>
          <c:idx val="1"/>
          <c:order val="1"/>
          <c:tx>
            <c:strRef>
              <c:f>Summary!$H$5</c:f>
              <c:strCache>
                <c:ptCount val="1"/>
                <c:pt idx="0">
                  <c:v>L2
%</c:v>
                </c:pt>
              </c:strCache>
            </c:strRef>
          </c:tx>
          <c:spPr>
            <a:solidFill>
              <a:srgbClr val="FFEB9C"/>
            </a:solidFill>
            <a:ln>
              <a:noFill/>
              <a:prstDash val="solid"/>
            </a:ln>
          </c:spPr>
          <c:invertIfNegative val="0"/>
          <c:dLbls>
            <c:spPr>
              <a:noFill/>
              <a:ln>
                <a:noFill/>
                <a:prstDash val="solid"/>
              </a:ln>
            </c:spPr>
            <c:txPr>
              <a:bodyPr/>
              <a:lstStyle/>
              <a:p>
                <a:pPr>
                  <a:defRPr sz="1000" b="0" strike="noStrike" spc="-1">
                    <a:latin typeface="Arial"/>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Summary!$H$6:$H$22</c:f>
              <c:numCache>
                <c:formatCode>0%</c:formatCode>
                <c:ptCount val="17"/>
                <c:pt idx="0">
                  <c:v>0.26315789473684209</c:v>
                </c:pt>
                <c:pt idx="1">
                  <c:v>0</c:v>
                </c:pt>
                <c:pt idx="2">
                  <c:v>0</c:v>
                </c:pt>
                <c:pt idx="3">
                  <c:v>0.125</c:v>
                </c:pt>
                <c:pt idx="4">
                  <c:v>0.8</c:v>
                </c:pt>
                <c:pt idx="5">
                  <c:v>0.86363636363636365</c:v>
                </c:pt>
                <c:pt idx="6">
                  <c:v>8.3333333333333329E-2</c:v>
                </c:pt>
                <c:pt idx="7">
                  <c:v>0.33333333333333331</c:v>
                </c:pt>
                <c:pt idx="8">
                  <c:v>0</c:v>
                </c:pt>
                <c:pt idx="9">
                  <c:v>0.75</c:v>
                </c:pt>
                <c:pt idx="10">
                  <c:v>0.81818181818181823</c:v>
                </c:pt>
                <c:pt idx="11">
                  <c:v>0</c:v>
                </c:pt>
                <c:pt idx="12">
                  <c:v>0.25</c:v>
                </c:pt>
                <c:pt idx="13">
                  <c:v>0.14285714285714285</c:v>
                </c:pt>
                <c:pt idx="14">
                  <c:v>0.9</c:v>
                </c:pt>
                <c:pt idx="15">
                  <c:v>0.875</c:v>
                </c:pt>
                <c:pt idx="16">
                  <c:v>0</c:v>
                </c:pt>
              </c:numCache>
            </c:numRef>
          </c:val>
          <c:extLst>
            <c:ext xmlns:c16="http://schemas.microsoft.com/office/drawing/2014/chart" uri="{C3380CC4-5D6E-409C-BE32-E72D297353CC}">
              <c16:uniqueId val="{00000001-E22D-4F5E-88D8-4A5ECD49E246}"/>
            </c:ext>
          </c:extLst>
        </c:ser>
        <c:ser>
          <c:idx val="2"/>
          <c:order val="2"/>
          <c:tx>
            <c:strRef>
              <c:f>Summary!$K$5</c:f>
              <c:strCache>
                <c:ptCount val="1"/>
                <c:pt idx="0">
                  <c:v>L3
%</c:v>
                </c:pt>
              </c:strCache>
            </c:strRef>
          </c:tx>
          <c:spPr>
            <a:solidFill>
              <a:srgbClr val="FABF8F"/>
            </a:solidFill>
            <a:ln>
              <a:noFill/>
              <a:prstDash val="solid"/>
            </a:ln>
          </c:spPr>
          <c:invertIfNegative val="0"/>
          <c:dLbls>
            <c:spPr>
              <a:noFill/>
              <a:ln>
                <a:noFill/>
                <a:prstDash val="solid"/>
              </a:ln>
            </c:spPr>
            <c:txPr>
              <a:bodyPr/>
              <a:lstStyle/>
              <a:p>
                <a:pPr>
                  <a:defRPr sz="1000" b="0" strike="noStrike" spc="-1">
                    <a:latin typeface="Arial"/>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Summary!$K$6:$K$21</c:f>
              <c:numCache>
                <c:formatCode>0%</c:formatCode>
                <c:ptCount val="16"/>
                <c:pt idx="0">
                  <c:v>0</c:v>
                </c:pt>
                <c:pt idx="1">
                  <c:v>0</c:v>
                </c:pt>
                <c:pt idx="2">
                  <c:v>0</c:v>
                </c:pt>
                <c:pt idx="3">
                  <c:v>0</c:v>
                </c:pt>
                <c:pt idx="4">
                  <c:v>0</c:v>
                </c:pt>
                <c:pt idx="5">
                  <c:v>0</c:v>
                </c:pt>
                <c:pt idx="6">
                  <c:v>0</c:v>
                </c:pt>
                <c:pt idx="7">
                  <c:v>0</c:v>
                </c:pt>
                <c:pt idx="8" formatCode="General">
                  <c:v>0</c:v>
                </c:pt>
                <c:pt idx="9">
                  <c:v>0</c:v>
                </c:pt>
                <c:pt idx="10">
                  <c:v>0.2</c:v>
                </c:pt>
                <c:pt idx="11">
                  <c:v>0</c:v>
                </c:pt>
                <c:pt idx="12">
                  <c:v>0</c:v>
                </c:pt>
                <c:pt idx="13">
                  <c:v>0</c:v>
                </c:pt>
                <c:pt idx="14">
                  <c:v>0.25</c:v>
                </c:pt>
                <c:pt idx="15">
                  <c:v>1</c:v>
                </c:pt>
              </c:numCache>
            </c:numRef>
          </c:val>
          <c:extLst>
            <c:ext xmlns:c16="http://schemas.microsoft.com/office/drawing/2014/chart" uri="{C3380CC4-5D6E-409C-BE32-E72D297353CC}">
              <c16:uniqueId val="{00000002-E22D-4F5E-88D8-4A5ECD49E246}"/>
            </c:ext>
          </c:extLst>
        </c:ser>
        <c:ser>
          <c:idx val="3"/>
          <c:order val="3"/>
          <c:tx>
            <c:strRef>
              <c:f>Summary!$M$5</c:f>
              <c:strCache>
                <c:ptCount val="1"/>
                <c:pt idx="0">
                  <c:v>Overall
%</c:v>
                </c:pt>
              </c:strCache>
            </c:strRef>
          </c:tx>
          <c:spPr>
            <a:solidFill>
              <a:srgbClr val="579D1C"/>
            </a:solidFill>
            <a:ln>
              <a:noFill/>
              <a:prstDash val="solid"/>
            </a:ln>
          </c:spPr>
          <c:invertIfNegative val="0"/>
          <c:dLbls>
            <c:spPr>
              <a:noFill/>
              <a:ln>
                <a:noFill/>
                <a:prstDash val="solid"/>
              </a:ln>
            </c:spPr>
            <c:txPr>
              <a:bodyPr/>
              <a:lstStyle/>
              <a:p>
                <a:pPr>
                  <a:defRPr sz="1000" b="0" strike="noStrike" spc="-1">
                    <a:latin typeface="Arial"/>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Summary!$M$6:$M$22</c:f>
              <c:numCache>
                <c:formatCode>0%</c:formatCode>
                <c:ptCount val="17"/>
                <c:pt idx="0">
                  <c:v>0.26666666666666666</c:v>
                </c:pt>
                <c:pt idx="1">
                  <c:v>0.23076923076923078</c:v>
                </c:pt>
                <c:pt idx="2">
                  <c:v>9.6774193548387094E-2</c:v>
                </c:pt>
                <c:pt idx="3">
                  <c:v>0.125</c:v>
                </c:pt>
                <c:pt idx="4">
                  <c:v>0.53846153846153844</c:v>
                </c:pt>
                <c:pt idx="5">
                  <c:v>0.63829787234042556</c:v>
                </c:pt>
                <c:pt idx="6">
                  <c:v>0.26315789473684209</c:v>
                </c:pt>
                <c:pt idx="7">
                  <c:v>0.30769230769230771</c:v>
                </c:pt>
                <c:pt idx="8">
                  <c:v>0.5714285714285714</c:v>
                </c:pt>
                <c:pt idx="9">
                  <c:v>0.61111111111111116</c:v>
                </c:pt>
                <c:pt idx="10">
                  <c:v>0.58333333333333337</c:v>
                </c:pt>
                <c:pt idx="11">
                  <c:v>0</c:v>
                </c:pt>
                <c:pt idx="12">
                  <c:v>0.19047619047619047</c:v>
                </c:pt>
                <c:pt idx="13">
                  <c:v>0.15384615384615385</c:v>
                </c:pt>
                <c:pt idx="14">
                  <c:v>0.66666666666666663</c:v>
                </c:pt>
                <c:pt idx="15">
                  <c:v>0.88235294117647056</c:v>
                </c:pt>
                <c:pt idx="16">
                  <c:v>0</c:v>
                </c:pt>
              </c:numCache>
            </c:numRef>
          </c:val>
          <c:extLst>
            <c:ext xmlns:c16="http://schemas.microsoft.com/office/drawing/2014/chart" uri="{C3380CC4-5D6E-409C-BE32-E72D297353CC}">
              <c16:uniqueId val="{00000003-E22D-4F5E-88D8-4A5ECD49E246}"/>
            </c:ext>
          </c:extLst>
        </c:ser>
        <c:dLbls>
          <c:showLegendKey val="0"/>
          <c:showVal val="0"/>
          <c:showCatName val="0"/>
          <c:showSerName val="0"/>
          <c:showPercent val="0"/>
          <c:showBubbleSize val="0"/>
        </c:dLbls>
        <c:gapWidth val="100"/>
        <c:axId val="28005530"/>
        <c:axId val="73737639"/>
      </c:barChart>
      <c:catAx>
        <c:axId val="28005530"/>
        <c:scaling>
          <c:orientation val="minMax"/>
        </c:scaling>
        <c:delete val="0"/>
        <c:axPos val="l"/>
        <c:numFmt formatCode="General" sourceLinked="1"/>
        <c:majorTickMark val="out"/>
        <c:minorTickMark val="none"/>
        <c:tickLblPos val="nextTo"/>
        <c:spPr>
          <a:ln>
            <a:solidFill>
              <a:srgbClr val="B3B3B3"/>
            </a:solidFill>
            <a:prstDash val="solid"/>
          </a:ln>
        </c:spPr>
        <c:txPr>
          <a:bodyPr/>
          <a:lstStyle/>
          <a:p>
            <a:pPr>
              <a:defRPr sz="1000" b="0" strike="noStrike" spc="-1">
                <a:latin typeface="Arial"/>
              </a:defRPr>
            </a:pPr>
            <a:endParaRPr lang="en-US"/>
          </a:p>
        </c:txPr>
        <c:crossAx val="73737639"/>
        <c:crosses val="autoZero"/>
        <c:auto val="1"/>
        <c:lblAlgn val="ctr"/>
        <c:lblOffset val="100"/>
        <c:noMultiLvlLbl val="0"/>
      </c:catAx>
      <c:valAx>
        <c:axId val="73737639"/>
        <c:scaling>
          <c:orientation val="minMax"/>
        </c:scaling>
        <c:delete val="0"/>
        <c:axPos val="b"/>
        <c:majorGridlines>
          <c:spPr>
            <a:ln>
              <a:solidFill>
                <a:srgbClr val="B3B3B3"/>
              </a:solidFill>
              <a:prstDash val="solid"/>
            </a:ln>
          </c:spPr>
        </c:majorGridlines>
        <c:numFmt formatCode="0%" sourceLinked="0"/>
        <c:majorTickMark val="out"/>
        <c:minorTickMark val="none"/>
        <c:tickLblPos val="nextTo"/>
        <c:spPr>
          <a:ln>
            <a:solidFill>
              <a:srgbClr val="B3B3B3"/>
            </a:solidFill>
            <a:prstDash val="solid"/>
          </a:ln>
        </c:spPr>
        <c:txPr>
          <a:bodyPr/>
          <a:lstStyle/>
          <a:p>
            <a:pPr>
              <a:defRPr sz="1000" b="0" strike="noStrike" spc="-1">
                <a:latin typeface="Arial"/>
              </a:defRPr>
            </a:pPr>
            <a:endParaRPr lang="en-US"/>
          </a:p>
        </c:txPr>
        <c:crossAx val="28005530"/>
        <c:crosses val="autoZero"/>
        <c:crossBetween val="between"/>
      </c:valAx>
    </c:plotArea>
    <c:legend>
      <c:legendPos val="r"/>
      <c:overlay val="0"/>
      <c:spPr>
        <a:noFill/>
        <a:ln>
          <a:noFill/>
          <a:prstDash val="solid"/>
        </a:ln>
      </c:spPr>
      <c:txPr>
        <a:bodyPr/>
        <a:lstStyle/>
        <a:p>
          <a:pPr>
            <a:defRPr sz="1000" b="0" strike="noStrike" spc="-1">
              <a:latin typeface="Arial"/>
            </a:defRPr>
          </a:pPr>
          <a:endParaRPr lang="en-US"/>
        </a:p>
      </c:txPr>
    </c:legend>
    <c:plotVisOnly val="1"/>
    <c:dispBlanksAs val="gap"/>
    <c:showDLblsOverMax val="1"/>
  </c:chart>
  <c:spPr>
    <a:solidFill>
      <a:srgbClr val="FFFFFF"/>
    </a:solidFill>
    <a:ln w="9360">
      <a:no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38880</xdr:colOff>
      <xdr:row>24</xdr:row>
      <xdr:rowOff>10440</xdr:rowOff>
    </xdr:from>
    <xdr:to>
      <xdr:col>12</xdr:col>
      <xdr:colOff>857520</xdr:colOff>
      <xdr:row>47</xdr:row>
      <xdr:rowOff>56880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3"/>
  <sheetViews>
    <sheetView showGridLines="0" zoomScale="80" zoomScaleNormal="80" workbookViewId="0">
      <selection activeCell="K11" sqref="K11"/>
    </sheetView>
  </sheetViews>
  <sheetFormatPr defaultColWidth="8.5703125" defaultRowHeight="15" x14ac:dyDescent="0.25"/>
  <cols>
    <col min="1" max="1" width="34" customWidth="1"/>
    <col min="2" max="13" width="11" customWidth="1"/>
  </cols>
  <sheetData>
    <row r="1" spans="1:16" ht="36" customHeight="1" x14ac:dyDescent="0.25">
      <c r="A1" s="32" t="s">
        <v>0</v>
      </c>
      <c r="B1" s="33"/>
      <c r="C1" s="33"/>
      <c r="D1" s="33"/>
      <c r="E1" s="33"/>
      <c r="F1" s="33"/>
      <c r="G1" s="33"/>
      <c r="H1" s="33"/>
      <c r="I1" s="33"/>
      <c r="J1" s="33"/>
      <c r="K1" s="33"/>
      <c r="L1" s="33"/>
      <c r="M1" s="33"/>
      <c r="N1" s="33"/>
      <c r="O1" s="33"/>
      <c r="P1" s="33"/>
    </row>
    <row r="2" spans="1:16" ht="19.899999999999999" customHeight="1" x14ac:dyDescent="0.25">
      <c r="A2" s="35"/>
      <c r="B2" s="33"/>
      <c r="C2" s="33"/>
      <c r="D2" s="33"/>
      <c r="E2" s="33"/>
      <c r="F2" s="33"/>
      <c r="G2" s="33"/>
      <c r="H2" s="33"/>
      <c r="I2" s="33"/>
      <c r="J2" s="33"/>
      <c r="K2" s="33"/>
      <c r="L2" s="33"/>
      <c r="M2" s="33"/>
      <c r="N2" s="33"/>
      <c r="O2" s="33"/>
      <c r="P2" s="33"/>
    </row>
    <row r="3" spans="1:16" ht="18" customHeight="1" x14ac:dyDescent="0.25">
      <c r="A3" s="34"/>
      <c r="B3" s="33"/>
      <c r="C3" s="1"/>
      <c r="E3" s="1"/>
      <c r="G3" s="1"/>
      <c r="I3" s="1"/>
      <c r="K3" s="1"/>
      <c r="M3" s="1"/>
      <c r="O3" s="1"/>
    </row>
    <row r="5" spans="1:16" ht="31.9" customHeight="1" x14ac:dyDescent="0.25">
      <c r="A5" s="2" t="s">
        <v>1</v>
      </c>
      <c r="B5" s="2" t="s">
        <v>2</v>
      </c>
      <c r="C5" s="2" t="s">
        <v>3</v>
      </c>
      <c r="D5" s="2" t="s">
        <v>4</v>
      </c>
      <c r="E5" s="2" t="s">
        <v>5</v>
      </c>
      <c r="F5" s="2" t="s">
        <v>6</v>
      </c>
      <c r="G5" s="2" t="s">
        <v>7</v>
      </c>
      <c r="H5" s="2" t="s">
        <v>8</v>
      </c>
      <c r="I5" s="2" t="s">
        <v>9</v>
      </c>
      <c r="J5" s="2" t="s">
        <v>10</v>
      </c>
      <c r="K5" s="2" t="s">
        <v>11</v>
      </c>
      <c r="L5" s="2" t="s">
        <v>12</v>
      </c>
      <c r="M5" s="2" t="s">
        <v>13</v>
      </c>
    </row>
    <row r="6" spans="1:16" ht="18" customHeight="1" x14ac:dyDescent="0.25">
      <c r="A6" s="3" t="s">
        <v>14</v>
      </c>
      <c r="B6" s="4">
        <v>30</v>
      </c>
      <c r="C6" s="4">
        <v>8</v>
      </c>
      <c r="D6" s="4">
        <f>COUNTIFS('V1 - Encoding and Sanitization'!$F$2:$F$36,"Compliant",'V1 - Encoding and Sanitization'!$E$2:$E$36,1)</f>
        <v>3</v>
      </c>
      <c r="E6" s="5">
        <f t="shared" ref="E6:E20" si="0">IF(C6=0,"",D6/C6)</f>
        <v>0.375</v>
      </c>
      <c r="F6" s="4">
        <v>19</v>
      </c>
      <c r="G6" s="4">
        <f>COUNTIFS('V1 - Encoding and Sanitization'!$F$2:$F$36,"Compliant",'V1 - Encoding and Sanitization'!$E$2:$E$36,2)</f>
        <v>5</v>
      </c>
      <c r="H6" s="5">
        <f t="shared" ref="H6:H22" si="1">IF(F6=0,"",G6/F6)</f>
        <v>0.26315789473684209</v>
      </c>
      <c r="I6" s="4">
        <v>3</v>
      </c>
      <c r="J6" s="4">
        <f>COUNTIFS('V1 - Encoding and Sanitization'!$F$2:$F$36,"Compliant",'V1 - Encoding and Sanitization'!$E$2:$E$36,3)</f>
        <v>0</v>
      </c>
      <c r="K6" s="5">
        <f t="shared" ref="K6:K13" si="2">IF(I6=0,"",J6/I6)</f>
        <v>0</v>
      </c>
      <c r="L6" s="4">
        <f>COUNTIF('V1 - Encoding and Sanitization'!$F$2:$F$36,"Compliant")</f>
        <v>8</v>
      </c>
      <c r="M6" s="5">
        <f t="shared" ref="M6:M22" si="3">IF(B6=0,"",L6/B6)</f>
        <v>0.26666666666666666</v>
      </c>
    </row>
    <row r="7" spans="1:16" ht="18" customHeight="1" x14ac:dyDescent="0.25">
      <c r="A7" s="6" t="s">
        <v>15</v>
      </c>
      <c r="B7" s="7">
        <v>13</v>
      </c>
      <c r="C7" s="7">
        <v>4</v>
      </c>
      <c r="D7" s="7">
        <f>COUNTIFS('V2 - Validation and Business Lo'!$F$2:$F$18,"Compliant",'V2 - Validation and Business Lo'!$E$2:$E$18,1)</f>
        <v>3</v>
      </c>
      <c r="E7" s="8">
        <f t="shared" si="0"/>
        <v>0.75</v>
      </c>
      <c r="F7" s="7">
        <v>7</v>
      </c>
      <c r="G7" s="7">
        <f>COUNTIFS('V2 - Validation and Business Lo'!$F$2:$F$18,"Compliant",'V2 - Validation and Business Lo'!$E$2:$E$18,2)</f>
        <v>0</v>
      </c>
      <c r="H7" s="8">
        <f t="shared" si="1"/>
        <v>0</v>
      </c>
      <c r="I7" s="7">
        <v>2</v>
      </c>
      <c r="J7" s="7">
        <f>COUNTIFS('V2 - Validation and Business Lo'!$F$2:$F$18,"Compliant",'V2 - Validation and Business Lo'!$E$2:$E$18,3)</f>
        <v>0</v>
      </c>
      <c r="K7" s="8">
        <f t="shared" si="2"/>
        <v>0</v>
      </c>
      <c r="L7" s="7">
        <f>COUNTIF('V2 - Validation and Business Lo'!$F$2:$F$18,"Compliant")</f>
        <v>3</v>
      </c>
      <c r="M7" s="8">
        <f t="shared" si="3"/>
        <v>0.23076923076923078</v>
      </c>
    </row>
    <row r="8" spans="1:16" ht="18" customHeight="1" x14ac:dyDescent="0.25">
      <c r="A8" s="3" t="s">
        <v>16</v>
      </c>
      <c r="B8" s="4">
        <v>31</v>
      </c>
      <c r="C8" s="4">
        <v>8</v>
      </c>
      <c r="D8" s="4">
        <f>COUNTIFS('V3 - Web Frontend Security'!$F$2:$F$39,"Compliant",'V3 - Web Frontend Security'!$E$2:$E$39,1)</f>
        <v>3</v>
      </c>
      <c r="E8" s="5">
        <f t="shared" si="0"/>
        <v>0.375</v>
      </c>
      <c r="F8" s="4">
        <v>11</v>
      </c>
      <c r="G8" s="4">
        <f>COUNTIFS('V3 - Web Frontend Security'!$F$2:$F$39,"Compliant",'V3 - Web Frontend Security'!$E$2:$E$39,2)</f>
        <v>0</v>
      </c>
      <c r="H8" s="5">
        <f t="shared" si="1"/>
        <v>0</v>
      </c>
      <c r="I8" s="4">
        <v>12</v>
      </c>
      <c r="J8" s="4">
        <f>COUNTIFS('V3 - Web Frontend Security'!$F$2:$F$39,"Compliant",'V3 - Web Frontend Security'!$E$2:$E$39,3)</f>
        <v>0</v>
      </c>
      <c r="K8" s="5">
        <f t="shared" si="2"/>
        <v>0</v>
      </c>
      <c r="L8" s="4">
        <f>COUNTIF('V3 - Web Frontend Security'!$F$2:$F$39,"Compliant")</f>
        <v>3</v>
      </c>
      <c r="M8" s="5">
        <f t="shared" si="3"/>
        <v>9.6774193548387094E-2</v>
      </c>
    </row>
    <row r="9" spans="1:16" ht="18" customHeight="1" x14ac:dyDescent="0.25">
      <c r="A9" s="6" t="s">
        <v>17</v>
      </c>
      <c r="B9" s="7">
        <v>16</v>
      </c>
      <c r="C9" s="7">
        <v>2</v>
      </c>
      <c r="D9" s="7">
        <f>COUNTIFS('V4 - API and Web Service'!$F$2:$F$21,"Compliant",'V4 - API and Web Service'!$E$2:$E$21,1)</f>
        <v>1</v>
      </c>
      <c r="E9" s="8">
        <f t="shared" si="0"/>
        <v>0.5</v>
      </c>
      <c r="F9" s="7">
        <v>8</v>
      </c>
      <c r="G9" s="7">
        <f>COUNTIFS('V4 - API and Web Service'!$F$2:$F$21,"Compliant",'V4 - API and Web Service'!$E$2:$E$21,2)</f>
        <v>1</v>
      </c>
      <c r="H9" s="8">
        <f t="shared" si="1"/>
        <v>0.125</v>
      </c>
      <c r="I9" s="7">
        <v>6</v>
      </c>
      <c r="J9" s="7">
        <f>COUNTIFS('V4 - API and Web Service'!$F$2:$F$21,"Compliant",'V4 - API and Web Service'!$E$2:$E$21,3)</f>
        <v>0</v>
      </c>
      <c r="K9" s="8">
        <f t="shared" si="2"/>
        <v>0</v>
      </c>
      <c r="L9" s="7">
        <f>COUNTIF('V4 - API and Web Service'!$F$2:$F$21,"Compliant")</f>
        <v>2</v>
      </c>
      <c r="M9" s="8">
        <f t="shared" si="3"/>
        <v>0.125</v>
      </c>
    </row>
    <row r="10" spans="1:16" ht="18" customHeight="1" x14ac:dyDescent="0.25">
      <c r="A10" s="3" t="s">
        <v>18</v>
      </c>
      <c r="B10" s="4">
        <v>13</v>
      </c>
      <c r="C10" s="4">
        <v>4</v>
      </c>
      <c r="D10" s="4">
        <f>COUNTIFS('V5 - File Handling'!$F$2:$F$18,"Compliant",'V5 - File Handling'!$E$2:$E$18,1)</f>
        <v>3</v>
      </c>
      <c r="E10" s="5">
        <f t="shared" si="0"/>
        <v>0.75</v>
      </c>
      <c r="F10" s="4">
        <v>5</v>
      </c>
      <c r="G10" s="4">
        <f>COUNTIFS('V5 - File Handling'!$F$2:$F$18,"Compliant",'V5 - File Handling'!$E$2:$E$18,2)</f>
        <v>4</v>
      </c>
      <c r="H10" s="5">
        <f t="shared" si="1"/>
        <v>0.8</v>
      </c>
      <c r="I10" s="4">
        <v>4</v>
      </c>
      <c r="J10" s="4">
        <f>COUNTIFS('V5 - File Handling'!$F$2:$F$18,"Compliant",'V5 - File Handling'!$E$2:$E$18,3)</f>
        <v>0</v>
      </c>
      <c r="K10" s="5">
        <f t="shared" si="2"/>
        <v>0</v>
      </c>
      <c r="L10" s="4">
        <f>COUNTIF('V5 - File Handling'!$F$2:$F$18,"Compliant")</f>
        <v>7</v>
      </c>
      <c r="M10" s="5">
        <f t="shared" si="3"/>
        <v>0.53846153846153844</v>
      </c>
    </row>
    <row r="11" spans="1:16" ht="18" customHeight="1" x14ac:dyDescent="0.25">
      <c r="A11" s="6" t="s">
        <v>19</v>
      </c>
      <c r="B11" s="7">
        <v>47</v>
      </c>
      <c r="C11" s="7">
        <v>13</v>
      </c>
      <c r="D11" s="7">
        <f>COUNTIFS('V6 - Authentication'!$F$2:$F$56,"Compliant",'V6 - Authentication'!$E$2:$E$56,1)</f>
        <v>11</v>
      </c>
      <c r="E11" s="8">
        <f t="shared" si="0"/>
        <v>0.84615384615384615</v>
      </c>
      <c r="F11" s="7">
        <v>22</v>
      </c>
      <c r="G11" s="7">
        <f>COUNTIFS('V6 - Authentication'!$F$2:$F$56,"Compliant",'V6 - Authentication'!$E$2:$E$56,2)</f>
        <v>19</v>
      </c>
      <c r="H11" s="8">
        <f t="shared" si="1"/>
        <v>0.86363636363636365</v>
      </c>
      <c r="I11" s="7">
        <v>12</v>
      </c>
      <c r="J11" s="7">
        <f>COUNTIFS('V6 - Authentication'!$F$2:$F$56,"Compliant",'V6 - Authentication'!$E$2:$E$56,3)</f>
        <v>0</v>
      </c>
      <c r="K11" s="8">
        <f t="shared" si="2"/>
        <v>0</v>
      </c>
      <c r="L11" s="7">
        <f>COUNTIF('V6 - Authentication'!$F$2:$F$56,"Compliant")</f>
        <v>30</v>
      </c>
      <c r="M11" s="8">
        <f t="shared" si="3"/>
        <v>0.63829787234042556</v>
      </c>
    </row>
    <row r="12" spans="1:16" ht="18" customHeight="1" x14ac:dyDescent="0.25">
      <c r="A12" s="3" t="s">
        <v>20</v>
      </c>
      <c r="B12" s="4">
        <v>19</v>
      </c>
      <c r="C12" s="4">
        <v>6</v>
      </c>
      <c r="D12" s="4">
        <f>COUNTIFS('V7 - Session Management'!$F$2:$F$26,"Compliant",'V7 - Session Management'!$E$2:$E$26,1)</f>
        <v>4</v>
      </c>
      <c r="E12" s="5">
        <f t="shared" si="0"/>
        <v>0.66666666666666663</v>
      </c>
      <c r="F12" s="4">
        <v>12</v>
      </c>
      <c r="G12" s="4">
        <f>COUNTIFS('V7 - Session Management'!$F$2:$F$26,"Compliant",'V7 - Session Management'!$E$2:$E$26,2)</f>
        <v>1</v>
      </c>
      <c r="H12" s="5">
        <f t="shared" si="1"/>
        <v>8.3333333333333329E-2</v>
      </c>
      <c r="I12" s="4">
        <v>1</v>
      </c>
      <c r="J12" s="4">
        <f>COUNTIFS('V7 - Session Management'!$F$2:$F$26,"Compliant",'V7 - Session Management'!$E$2:$E$26,3)</f>
        <v>0</v>
      </c>
      <c r="K12" s="5">
        <f t="shared" si="2"/>
        <v>0</v>
      </c>
      <c r="L12" s="4">
        <f>COUNTIF('V7 - Session Management'!$F$2:$F$26,"Compliant")</f>
        <v>5</v>
      </c>
      <c r="M12" s="5">
        <f t="shared" si="3"/>
        <v>0.26315789473684209</v>
      </c>
    </row>
    <row r="13" spans="1:16" ht="18" customHeight="1" x14ac:dyDescent="0.25">
      <c r="A13" s="6" t="s">
        <v>21</v>
      </c>
      <c r="B13" s="7">
        <v>13</v>
      </c>
      <c r="C13" s="7">
        <v>4</v>
      </c>
      <c r="D13" s="7">
        <f>COUNTIFS('V8 - Authorization'!$F$2:$F$18,"Compliant",'V8 - Authorization'!$E$2:$E$18,1)</f>
        <v>3</v>
      </c>
      <c r="E13" s="8">
        <f t="shared" si="0"/>
        <v>0.75</v>
      </c>
      <c r="F13" s="7">
        <v>3</v>
      </c>
      <c r="G13" s="7">
        <f>COUNTIFS('V8 - Authorization'!$F$2:$F$18,"Compliant",'V8 - Authorization'!$E$2:$E$18,2)</f>
        <v>1</v>
      </c>
      <c r="H13" s="8">
        <f t="shared" si="1"/>
        <v>0.33333333333333331</v>
      </c>
      <c r="I13" s="7">
        <v>6</v>
      </c>
      <c r="J13" s="7">
        <f>COUNTIFS('V8 - Authorization'!$F$2:$F$18,"Compliant",'V8 - Authorization'!$E$2:$E$18,3)</f>
        <v>0</v>
      </c>
      <c r="K13" s="8">
        <f t="shared" si="2"/>
        <v>0</v>
      </c>
      <c r="L13" s="7">
        <f>COUNTIF('V8 - Authorization'!$F$2:$F$18,"Compliant")</f>
        <v>4</v>
      </c>
      <c r="M13" s="8">
        <f t="shared" si="3"/>
        <v>0.30769230769230771</v>
      </c>
    </row>
    <row r="14" spans="1:16" ht="18" customHeight="1" x14ac:dyDescent="0.25">
      <c r="A14" s="3" t="s">
        <v>22</v>
      </c>
      <c r="B14" s="4">
        <v>7</v>
      </c>
      <c r="C14" s="4">
        <v>4</v>
      </c>
      <c r="D14" s="4">
        <f>COUNTIFS('V9 - Self-contained Tokens'!$F$2:$F$10,"Compliant",'V9 - Self-contained Tokens'!$E$2:$E$10,1)</f>
        <v>4</v>
      </c>
      <c r="E14" s="5">
        <f t="shared" si="0"/>
        <v>1</v>
      </c>
      <c r="F14" s="4">
        <v>3</v>
      </c>
      <c r="G14" s="4">
        <f>COUNTIFS('V9 - Self-contained Tokens'!$F$2:$F$10,"Compliant",'V9 - Self-contained Tokens'!$E$2:$E$10,2)</f>
        <v>0</v>
      </c>
      <c r="H14" s="5">
        <f t="shared" si="1"/>
        <v>0</v>
      </c>
      <c r="I14" s="4">
        <v>0</v>
      </c>
      <c r="J14" s="4" t="s">
        <v>23</v>
      </c>
      <c r="K14" s="4" t="s">
        <v>23</v>
      </c>
      <c r="L14" s="4">
        <f>COUNTIF('V9 - Self-contained Tokens'!$F$2:$F$10,"Compliant")</f>
        <v>4</v>
      </c>
      <c r="M14" s="5">
        <f t="shared" si="3"/>
        <v>0.5714285714285714</v>
      </c>
    </row>
    <row r="15" spans="1:16" ht="18" customHeight="1" x14ac:dyDescent="0.25">
      <c r="A15" s="6" t="s">
        <v>24</v>
      </c>
      <c r="B15" s="7">
        <v>36</v>
      </c>
      <c r="C15" s="7">
        <v>5</v>
      </c>
      <c r="D15" s="7">
        <f>COUNTIFS('V10 - OAuth and OIDC'!$F$2:$F$44,"Compliant",'V10 - OAuth and OIDC'!$E$2:$E$44,1)</f>
        <v>4</v>
      </c>
      <c r="E15" s="8">
        <f t="shared" si="0"/>
        <v>0.8</v>
      </c>
      <c r="F15" s="7">
        <v>24</v>
      </c>
      <c r="G15" s="7">
        <f>COUNTIFS('V10 - OAuth and OIDC'!$F$2:$F$44,"Compliant",'V10 - OAuth and OIDC'!$E$2:$E$44,2)</f>
        <v>18</v>
      </c>
      <c r="H15" s="8">
        <f t="shared" si="1"/>
        <v>0.75</v>
      </c>
      <c r="I15" s="7">
        <v>7</v>
      </c>
      <c r="J15" s="7">
        <f>COUNTIFS('V10 - OAuth and OIDC'!$F$2:$F$44,"Compliant",'V10 - OAuth and OIDC'!$E$2:$E$44,3)</f>
        <v>0</v>
      </c>
      <c r="K15" s="8">
        <f t="shared" ref="K15:K22" si="4">IF(I15=0,"",J15/I15)</f>
        <v>0</v>
      </c>
      <c r="L15" s="7">
        <f>COUNTIF('V10 - OAuth and OIDC'!$F$2:$F$44,"Compliant")</f>
        <v>22</v>
      </c>
      <c r="M15" s="8">
        <f t="shared" si="3"/>
        <v>0.61111111111111116</v>
      </c>
    </row>
    <row r="16" spans="1:16" ht="18" customHeight="1" x14ac:dyDescent="0.25">
      <c r="A16" s="3" t="s">
        <v>25</v>
      </c>
      <c r="B16" s="4">
        <v>24</v>
      </c>
      <c r="C16" s="4">
        <v>3</v>
      </c>
      <c r="D16" s="4">
        <f>COUNTIFS('V11 - Cryptography'!$F$2:$F$32,"Compliant",'V11 - Cryptography'!$E$2:$E$32,1)</f>
        <v>3</v>
      </c>
      <c r="E16" s="5">
        <f t="shared" si="0"/>
        <v>1</v>
      </c>
      <c r="F16" s="4">
        <v>11</v>
      </c>
      <c r="G16" s="4">
        <f>COUNTIFS('V11 - Cryptography'!$F$2:$F$32,"Compliant",'V11 - Cryptography'!$E$2:$E$32,2)</f>
        <v>9</v>
      </c>
      <c r="H16" s="5">
        <f t="shared" si="1"/>
        <v>0.81818181818181823</v>
      </c>
      <c r="I16" s="4">
        <v>10</v>
      </c>
      <c r="J16" s="4">
        <f>COUNTIFS('V11 - Cryptography'!$F$2:$F$32,"Compliant",'V11 - Cryptography'!$E$2:$E$32,3)</f>
        <v>2</v>
      </c>
      <c r="K16" s="5">
        <f t="shared" si="4"/>
        <v>0.2</v>
      </c>
      <c r="L16" s="4">
        <f>COUNTIF('V11 - Cryptography'!$F$2:$F$32,"Compliant")</f>
        <v>14</v>
      </c>
      <c r="M16" s="5">
        <f t="shared" si="3"/>
        <v>0.58333333333333337</v>
      </c>
    </row>
    <row r="17" spans="1:13" ht="18" customHeight="1" x14ac:dyDescent="0.25">
      <c r="A17" s="6" t="s">
        <v>26</v>
      </c>
      <c r="B17" s="7">
        <v>12</v>
      </c>
      <c r="C17" s="7">
        <v>3</v>
      </c>
      <c r="D17" s="7">
        <f>COUNTIFS('V12 - Secure Communication'!$F$2:$F$16,"Compliant",'V12 - Secure Communication'!$E$2:$E$16,1)</f>
        <v>0</v>
      </c>
      <c r="E17" s="8">
        <f t="shared" si="0"/>
        <v>0</v>
      </c>
      <c r="F17" s="7">
        <v>6</v>
      </c>
      <c r="G17" s="7">
        <f>COUNTIFS('V12 - Secure Communication'!$F$2:$F$16,"Compliant",'V12 - Secure Communication'!$E$2:$E$16,2)</f>
        <v>0</v>
      </c>
      <c r="H17" s="8">
        <f t="shared" si="1"/>
        <v>0</v>
      </c>
      <c r="I17" s="7">
        <v>3</v>
      </c>
      <c r="J17" s="7">
        <f>COUNTIFS('V12 - Secure Communication'!$F$2:$F$16,"Compliant",'V12 - Secure Communication'!$E$2:$E$16,3)</f>
        <v>0</v>
      </c>
      <c r="K17" s="8">
        <f t="shared" si="4"/>
        <v>0</v>
      </c>
      <c r="L17" s="7">
        <f>COUNTIF('V12 - Secure Communication'!$F$2:$F$16,"Compliant")</f>
        <v>0</v>
      </c>
      <c r="M17" s="8">
        <f t="shared" si="3"/>
        <v>0</v>
      </c>
    </row>
    <row r="18" spans="1:13" ht="18" customHeight="1" x14ac:dyDescent="0.25">
      <c r="A18" s="3" t="s">
        <v>27</v>
      </c>
      <c r="B18" s="4">
        <v>21</v>
      </c>
      <c r="C18" s="4">
        <v>1</v>
      </c>
      <c r="D18" s="4">
        <f>COUNTIFS('V13 - Configuration'!$F$2:$F$26,"Compliant",'V13 - Configuration'!$E$2:$E$26,1)</f>
        <v>1</v>
      </c>
      <c r="E18" s="5">
        <f t="shared" si="0"/>
        <v>1</v>
      </c>
      <c r="F18" s="4">
        <v>12</v>
      </c>
      <c r="G18" s="4">
        <f>COUNTIFS('V13 - Configuration'!$F$2:$F$26,"Compliant",'V13 - Configuration'!$E$2:$E$26,2)</f>
        <v>3</v>
      </c>
      <c r="H18" s="5">
        <f t="shared" si="1"/>
        <v>0.25</v>
      </c>
      <c r="I18" s="4">
        <v>8</v>
      </c>
      <c r="J18" s="4">
        <f>COUNTIFS('V13 - Configuration'!$F$2:$F$26,"Compliant",'V13 - Configuration'!$E$2:$E$26,3)</f>
        <v>0</v>
      </c>
      <c r="K18" s="5">
        <f t="shared" si="4"/>
        <v>0</v>
      </c>
      <c r="L18" s="4">
        <f>COUNTIF('V13 - Configuration'!$F$2:$F$26,"Compliant")</f>
        <v>4</v>
      </c>
      <c r="M18" s="5">
        <f t="shared" si="3"/>
        <v>0.19047619047619047</v>
      </c>
    </row>
    <row r="19" spans="1:13" ht="18" customHeight="1" x14ac:dyDescent="0.25">
      <c r="A19" s="6" t="s">
        <v>28</v>
      </c>
      <c r="B19" s="7">
        <v>13</v>
      </c>
      <c r="C19" s="7">
        <v>2</v>
      </c>
      <c r="D19" s="7">
        <f>COUNTIFS('V14 - Data Protection'!$F$2:$F$17,"Compliant",'V14 - Data Protection'!$E$2:$E$17,1)</f>
        <v>1</v>
      </c>
      <c r="E19" s="8">
        <f t="shared" si="0"/>
        <v>0.5</v>
      </c>
      <c r="F19" s="7">
        <v>7</v>
      </c>
      <c r="G19" s="7">
        <f>COUNTIFS('V14 - Data Protection'!$F$2:$F$17,"Compliant",'V14 - Data Protection'!$E$2:$E$17,2)</f>
        <v>1</v>
      </c>
      <c r="H19" s="8">
        <f t="shared" si="1"/>
        <v>0.14285714285714285</v>
      </c>
      <c r="I19" s="7">
        <v>4</v>
      </c>
      <c r="J19" s="7">
        <f>COUNTIFS('V14 - Data Protection'!$F$2:$F$17,"Compliant",'V14 - Data Protection'!$E$2:$E$17,3)</f>
        <v>0</v>
      </c>
      <c r="K19" s="8">
        <f t="shared" si="4"/>
        <v>0</v>
      </c>
      <c r="L19" s="7">
        <f>COUNTIF('V14 - Data Protection'!$F$2:$F$17,"Compliant")</f>
        <v>2</v>
      </c>
      <c r="M19" s="8">
        <f t="shared" si="3"/>
        <v>0.15384615384615385</v>
      </c>
    </row>
    <row r="20" spans="1:13" ht="18" customHeight="1" x14ac:dyDescent="0.25">
      <c r="A20" s="3" t="s">
        <v>29</v>
      </c>
      <c r="B20" s="4">
        <v>21</v>
      </c>
      <c r="C20" s="4">
        <v>3</v>
      </c>
      <c r="D20" s="4">
        <f>COUNTIFS('V15 - Secure Coding and Archite'!$F$2:$F$26,"Compliant",'V15 - Secure Coding and Archite'!$E$2:$E$26,1)</f>
        <v>3</v>
      </c>
      <c r="E20" s="5">
        <f t="shared" si="0"/>
        <v>1</v>
      </c>
      <c r="F20" s="4">
        <v>10</v>
      </c>
      <c r="G20" s="4">
        <f>COUNTIFS('V15 - Secure Coding and Archite'!$F$2:$F$26,"Compliant",'V15 - Secure Coding and Archite'!$E$2:$E$26,2)</f>
        <v>9</v>
      </c>
      <c r="H20" s="5">
        <f t="shared" si="1"/>
        <v>0.9</v>
      </c>
      <c r="I20" s="4">
        <v>8</v>
      </c>
      <c r="J20" s="4">
        <f>COUNTIFS('V15 - Secure Coding and Archite'!$F$2:$F$26,"Compliant",'V15 - Secure Coding and Archite'!$E$2:$E$26,3)</f>
        <v>2</v>
      </c>
      <c r="K20" s="5">
        <f t="shared" si="4"/>
        <v>0.25</v>
      </c>
      <c r="L20" s="4">
        <f>COUNTIF('V15 - Secure Coding and Archite'!$F$2:$F$26,"Compliant")</f>
        <v>14</v>
      </c>
      <c r="M20" s="5">
        <f t="shared" si="3"/>
        <v>0.66666666666666663</v>
      </c>
    </row>
    <row r="21" spans="1:13" ht="18" customHeight="1" x14ac:dyDescent="0.25">
      <c r="A21" s="6" t="s">
        <v>30</v>
      </c>
      <c r="B21" s="7">
        <v>17</v>
      </c>
      <c r="C21" s="7">
        <v>0</v>
      </c>
      <c r="D21" s="7" t="s">
        <v>23</v>
      </c>
      <c r="E21" s="7" t="s">
        <v>23</v>
      </c>
      <c r="F21" s="7">
        <v>16</v>
      </c>
      <c r="G21" s="7">
        <f>COUNTIFS('V16 - Security Logging and Erro'!$F$2:$F$23,"Compliant",'V16 - Security Logging and Erro'!$E$2:$E$23,2)</f>
        <v>14</v>
      </c>
      <c r="H21" s="8">
        <f t="shared" si="1"/>
        <v>0.875</v>
      </c>
      <c r="I21" s="7">
        <v>1</v>
      </c>
      <c r="J21" s="7">
        <f>COUNTIFS('V16 - Security Logging and Erro'!$F$2:$F$23,"Compliant",'V16 - Security Logging and Erro'!$E$2:$E$23,3)</f>
        <v>1</v>
      </c>
      <c r="K21" s="8">
        <f t="shared" si="4"/>
        <v>1</v>
      </c>
      <c r="L21" s="7">
        <f>COUNTIF('V16 - Security Logging and Erro'!$F$2:$F$23,"Compliant")</f>
        <v>15</v>
      </c>
      <c r="M21" s="8">
        <f t="shared" si="3"/>
        <v>0.88235294117647056</v>
      </c>
    </row>
    <row r="22" spans="1:13" ht="18" customHeight="1" x14ac:dyDescent="0.25">
      <c r="A22" s="3" t="s">
        <v>31</v>
      </c>
      <c r="B22" s="4">
        <v>12</v>
      </c>
      <c r="C22" s="4">
        <v>0</v>
      </c>
      <c r="D22" s="4" t="s">
        <v>23</v>
      </c>
      <c r="E22" s="4" t="s">
        <v>23</v>
      </c>
      <c r="F22" s="4">
        <v>7</v>
      </c>
      <c r="G22" s="4">
        <f>COUNTIFS('V17 - WebRTC'!$F$2:$F$16,"Compliant",'V17 - WebRTC'!$E$2:$E$16,2)</f>
        <v>0</v>
      </c>
      <c r="H22" s="5">
        <f t="shared" si="1"/>
        <v>0</v>
      </c>
      <c r="I22" s="4">
        <v>5</v>
      </c>
      <c r="J22" s="4">
        <f>COUNTIFS('V17 - WebRTC'!$F$2:$F$16,"Compliant",'V17 - WebRTC'!$E$2:$E$16,3)</f>
        <v>0</v>
      </c>
      <c r="K22" s="5">
        <f t="shared" si="4"/>
        <v>0</v>
      </c>
      <c r="L22" s="4">
        <f>COUNTIF('V17 - WebRTC'!$F$2:$F$16,"Compliant")</f>
        <v>0</v>
      </c>
      <c r="M22" s="5">
        <f t="shared" si="3"/>
        <v>0</v>
      </c>
    </row>
    <row r="23" spans="1:13" ht="22.15" customHeight="1" x14ac:dyDescent="0.25">
      <c r="A23" s="9" t="s">
        <v>32</v>
      </c>
      <c r="B23" s="10">
        <f>SUM(B6:B22)</f>
        <v>345</v>
      </c>
      <c r="C23" s="10">
        <f>SUM(C6:C22)</f>
        <v>70</v>
      </c>
      <c r="D23" s="10">
        <f>SUM(D6:D22)</f>
        <v>47</v>
      </c>
      <c r="E23" s="11">
        <f>IFERROR(AVERAGE(E6:E22),"")</f>
        <v>0.6875213675213675</v>
      </c>
      <c r="F23" s="10">
        <f>SUM(F6:F22)</f>
        <v>183</v>
      </c>
      <c r="G23" s="10">
        <f>SUM(G6:G22)</f>
        <v>85</v>
      </c>
      <c r="H23" s="11">
        <f>IFERROR(AVERAGE(H6:H22),"")</f>
        <v>0.3649705815340491</v>
      </c>
      <c r="I23" s="10">
        <f>SUM(I6:I22)</f>
        <v>92</v>
      </c>
      <c r="J23" s="10">
        <f>SUM(J6:J22)</f>
        <v>5</v>
      </c>
      <c r="K23" s="11">
        <f>IFERROR(AVERAGE(K6:K22),"")</f>
        <v>9.0624999999999997E-2</v>
      </c>
      <c r="L23" s="10">
        <f>SUM(L6:L22)</f>
        <v>137</v>
      </c>
      <c r="M23" s="11">
        <f>IFERROR(AVERAGE(M6:M22),"")</f>
        <v>0.3603549807208174</v>
      </c>
    </row>
  </sheetData>
  <mergeCells count="3">
    <mergeCell ref="A1:P1"/>
    <mergeCell ref="A3:B3"/>
    <mergeCell ref="A2:P2"/>
  </mergeCells>
  <conditionalFormatting sqref="E6:E22">
    <cfRule type="colorScale" priority="2">
      <colorScale>
        <cfvo type="num" val="0"/>
        <cfvo type="num" val="0.5"/>
        <cfvo type="num" val="1"/>
        <color rgb="FFF8696B"/>
        <color rgb="FFFFEB84"/>
        <color rgb="FF63BE7B"/>
      </colorScale>
    </cfRule>
  </conditionalFormatting>
  <conditionalFormatting sqref="H6:H22">
    <cfRule type="colorScale" priority="3">
      <colorScale>
        <cfvo type="num" val="0"/>
        <cfvo type="num" val="0.5"/>
        <cfvo type="num" val="1"/>
        <color rgb="FFF8696B"/>
        <color rgb="FFFFEB84"/>
        <color rgb="FF63BE7B"/>
      </colorScale>
    </cfRule>
  </conditionalFormatting>
  <conditionalFormatting sqref="K6:K22">
    <cfRule type="colorScale" priority="4">
      <colorScale>
        <cfvo type="num" val="0"/>
        <cfvo type="num" val="0.5"/>
        <cfvo type="num" val="1"/>
        <color rgb="FFF8696B"/>
        <color rgb="FFFFEB84"/>
        <color rgb="FF63BE7B"/>
      </colorScale>
    </cfRule>
  </conditionalFormatting>
  <conditionalFormatting sqref="M6:M22">
    <cfRule type="colorScale" priority="5">
      <colorScale>
        <cfvo type="num" val="0"/>
        <cfvo type="num" val="0.5"/>
        <cfvo type="num" val="1"/>
        <color rgb="FFF8696B"/>
        <color rgb="FFFFEB84"/>
        <color rgb="FF63BE7B"/>
      </colorScale>
    </cfRule>
  </conditionalFormatting>
  <pageMargins left="0.75" right="0.75" top="1" bottom="1" header="0.51180555555555496" footer="0.51180555555555496"/>
  <pageSetup firstPageNumber="0"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6"/>
  <sheetViews>
    <sheetView zoomScale="81" zoomScaleNormal="75" workbookViewId="0">
      <pane ySplit="1" topLeftCell="A20" activePane="bottomLeft" state="frozen"/>
      <selection pane="bottomLeft" activeCell="G38" sqref="G38"/>
    </sheetView>
  </sheetViews>
  <sheetFormatPr defaultColWidth="8.5703125" defaultRowHeight="15" x14ac:dyDescent="0.25"/>
  <cols>
    <col min="1" max="1" width="12" customWidth="1"/>
    <col min="2" max="2" width="28" customWidth="1"/>
    <col min="3" max="3" width="12" customWidth="1"/>
    <col min="4" max="4" width="60" customWidth="1"/>
    <col min="5" max="5" width="8" customWidth="1"/>
    <col min="6" max="6" width="16" customWidth="1"/>
    <col min="7" max="7" width="94.28515625" bestFit="1" customWidth="1"/>
    <col min="8" max="8" width="35" customWidth="1"/>
  </cols>
  <sheetData>
    <row r="1" spans="1:8" ht="28.15" customHeight="1" x14ac:dyDescent="0.25">
      <c r="A1" s="12" t="s">
        <v>33</v>
      </c>
      <c r="B1" s="12" t="s">
        <v>34</v>
      </c>
      <c r="C1" s="12" t="s">
        <v>35</v>
      </c>
      <c r="D1" s="12" t="s">
        <v>36</v>
      </c>
      <c r="E1" s="12" t="s">
        <v>37</v>
      </c>
      <c r="F1" s="12" t="s">
        <v>38</v>
      </c>
      <c r="G1" s="12" t="s">
        <v>39</v>
      </c>
      <c r="H1" s="12" t="s">
        <v>40</v>
      </c>
    </row>
    <row r="2" spans="1:8" ht="18" customHeight="1" x14ac:dyDescent="0.25">
      <c r="A2" s="13" t="s">
        <v>41</v>
      </c>
      <c r="B2" s="13" t="s">
        <v>42</v>
      </c>
      <c r="C2" s="13"/>
      <c r="D2" s="13"/>
      <c r="E2" s="13"/>
      <c r="F2" s="13"/>
      <c r="G2" s="13"/>
      <c r="H2" s="13"/>
    </row>
    <row r="3" spans="1:8" ht="75" customHeight="1" x14ac:dyDescent="0.25">
      <c r="A3" s="14" t="s">
        <v>41</v>
      </c>
      <c r="B3" s="14" t="s">
        <v>42</v>
      </c>
      <c r="C3" s="15" t="s">
        <v>43</v>
      </c>
      <c r="D3" s="16" t="s">
        <v>44</v>
      </c>
      <c r="E3" s="17">
        <v>2</v>
      </c>
      <c r="F3" s="28" t="s">
        <v>45</v>
      </c>
      <c r="G3" s="29" t="s">
        <v>46</v>
      </c>
      <c r="H3" s="16" t="s">
        <v>1296</v>
      </c>
    </row>
    <row r="4" spans="1:8" ht="30" customHeight="1" x14ac:dyDescent="0.25">
      <c r="A4" s="19" t="s">
        <v>41</v>
      </c>
      <c r="B4" s="19" t="s">
        <v>42</v>
      </c>
      <c r="C4" s="20" t="s">
        <v>47</v>
      </c>
      <c r="D4" s="21" t="s">
        <v>48</v>
      </c>
      <c r="E4" s="17">
        <v>2</v>
      </c>
      <c r="F4" s="28" t="s">
        <v>49</v>
      </c>
      <c r="G4" s="30" t="s">
        <v>1294</v>
      </c>
      <c r="H4" s="21" t="s">
        <v>1295</v>
      </c>
    </row>
    <row r="5" spans="1:8" ht="18" customHeight="1" x14ac:dyDescent="0.25">
      <c r="A5" s="13" t="s">
        <v>50</v>
      </c>
      <c r="B5" s="13" t="s">
        <v>51</v>
      </c>
      <c r="C5" s="13"/>
      <c r="D5" s="13"/>
      <c r="E5" s="13"/>
      <c r="F5" s="31"/>
      <c r="G5" s="31"/>
      <c r="H5" s="13"/>
    </row>
    <row r="6" spans="1:8" ht="30" customHeight="1" x14ac:dyDescent="0.25">
      <c r="A6" s="14" t="s">
        <v>50</v>
      </c>
      <c r="B6" s="14" t="s">
        <v>51</v>
      </c>
      <c r="C6" s="15" t="s">
        <v>52</v>
      </c>
      <c r="D6" s="16" t="s">
        <v>53</v>
      </c>
      <c r="E6" s="22">
        <v>1</v>
      </c>
      <c r="F6" s="28" t="s">
        <v>54</v>
      </c>
      <c r="G6" s="29" t="s">
        <v>55</v>
      </c>
      <c r="H6" s="16"/>
    </row>
    <row r="7" spans="1:8" ht="30" customHeight="1" x14ac:dyDescent="0.25">
      <c r="A7" s="19" t="s">
        <v>50</v>
      </c>
      <c r="B7" s="19" t="s">
        <v>51</v>
      </c>
      <c r="C7" s="20" t="s">
        <v>56</v>
      </c>
      <c r="D7" s="21" t="s">
        <v>57</v>
      </c>
      <c r="E7" s="22">
        <v>1</v>
      </c>
      <c r="F7" s="28" t="s">
        <v>45</v>
      </c>
      <c r="G7" s="30" t="s">
        <v>1297</v>
      </c>
      <c r="H7" s="21" t="s">
        <v>1298</v>
      </c>
    </row>
    <row r="8" spans="1:8" ht="30" customHeight="1" x14ac:dyDescent="0.25">
      <c r="A8" s="14" t="s">
        <v>50</v>
      </c>
      <c r="B8" s="14" t="s">
        <v>51</v>
      </c>
      <c r="C8" s="15" t="s">
        <v>59</v>
      </c>
      <c r="D8" s="16" t="s">
        <v>60</v>
      </c>
      <c r="E8" s="22">
        <v>1</v>
      </c>
      <c r="F8" s="28" t="s">
        <v>54</v>
      </c>
      <c r="G8" s="29"/>
      <c r="H8" s="16"/>
    </row>
    <row r="9" spans="1:8" ht="30" customHeight="1" x14ac:dyDescent="0.25">
      <c r="A9" s="19" t="s">
        <v>50</v>
      </c>
      <c r="B9" s="19" t="s">
        <v>51</v>
      </c>
      <c r="C9" s="20" t="s">
        <v>61</v>
      </c>
      <c r="D9" s="21" t="s">
        <v>62</v>
      </c>
      <c r="E9" s="22">
        <v>1</v>
      </c>
      <c r="F9" s="28" t="s">
        <v>45</v>
      </c>
      <c r="G9" s="30" t="s">
        <v>63</v>
      </c>
      <c r="H9" s="21"/>
    </row>
    <row r="10" spans="1:8" ht="30" customHeight="1" x14ac:dyDescent="0.25">
      <c r="A10" s="14" t="s">
        <v>50</v>
      </c>
      <c r="B10" s="14" t="s">
        <v>51</v>
      </c>
      <c r="C10" s="15" t="s">
        <v>64</v>
      </c>
      <c r="D10" s="16" t="s">
        <v>65</v>
      </c>
      <c r="E10" s="22">
        <v>1</v>
      </c>
      <c r="F10" s="28" t="s">
        <v>54</v>
      </c>
      <c r="G10" s="29" t="s">
        <v>66</v>
      </c>
      <c r="H10" s="16"/>
    </row>
    <row r="11" spans="1:8" ht="30" customHeight="1" x14ac:dyDescent="0.25">
      <c r="A11" s="19" t="s">
        <v>50</v>
      </c>
      <c r="B11" s="19" t="s">
        <v>51</v>
      </c>
      <c r="C11" s="20" t="s">
        <v>67</v>
      </c>
      <c r="D11" s="21" t="s">
        <v>68</v>
      </c>
      <c r="E11" s="17">
        <v>2</v>
      </c>
      <c r="F11" s="28" t="s">
        <v>54</v>
      </c>
      <c r="G11" s="30" t="s">
        <v>69</v>
      </c>
      <c r="H11" s="21"/>
    </row>
    <row r="12" spans="1:8" ht="30" customHeight="1" x14ac:dyDescent="0.25">
      <c r="A12" s="14" t="s">
        <v>50</v>
      </c>
      <c r="B12" s="14" t="s">
        <v>51</v>
      </c>
      <c r="C12" s="15" t="s">
        <v>70</v>
      </c>
      <c r="D12" s="16" t="s">
        <v>71</v>
      </c>
      <c r="E12" s="17">
        <v>2</v>
      </c>
      <c r="F12" s="28" t="s">
        <v>54</v>
      </c>
      <c r="G12" s="29" t="s">
        <v>72</v>
      </c>
      <c r="H12" s="16"/>
    </row>
    <row r="13" spans="1:8" ht="30" customHeight="1" x14ac:dyDescent="0.25">
      <c r="A13" s="19" t="s">
        <v>50</v>
      </c>
      <c r="B13" s="19" t="s">
        <v>51</v>
      </c>
      <c r="C13" s="20" t="s">
        <v>73</v>
      </c>
      <c r="D13" s="21" t="s">
        <v>74</v>
      </c>
      <c r="E13" s="17">
        <v>2</v>
      </c>
      <c r="F13" s="28" t="s">
        <v>54</v>
      </c>
      <c r="G13" s="30" t="s">
        <v>75</v>
      </c>
      <c r="H13" s="21"/>
    </row>
    <row r="14" spans="1:8" ht="30" customHeight="1" x14ac:dyDescent="0.25">
      <c r="A14" s="14" t="s">
        <v>50</v>
      </c>
      <c r="B14" s="14" t="s">
        <v>51</v>
      </c>
      <c r="C14" s="15" t="s">
        <v>76</v>
      </c>
      <c r="D14" s="16" t="s">
        <v>77</v>
      </c>
      <c r="E14" s="17">
        <v>2</v>
      </c>
      <c r="F14" s="28" t="s">
        <v>45</v>
      </c>
      <c r="G14" s="29" t="s">
        <v>1299</v>
      </c>
      <c r="H14" s="16" t="s">
        <v>1300</v>
      </c>
    </row>
    <row r="15" spans="1:8" ht="30" customHeight="1" x14ac:dyDescent="0.25">
      <c r="A15" s="19" t="s">
        <v>50</v>
      </c>
      <c r="B15" s="19" t="s">
        <v>51</v>
      </c>
      <c r="C15" s="20" t="s">
        <v>78</v>
      </c>
      <c r="D15" s="21" t="s">
        <v>79</v>
      </c>
      <c r="E15" s="23">
        <v>3</v>
      </c>
      <c r="F15" s="28" t="s">
        <v>54</v>
      </c>
      <c r="G15" s="30" t="s">
        <v>80</v>
      </c>
      <c r="H15" s="21"/>
    </row>
    <row r="16" spans="1:8" ht="18" customHeight="1" x14ac:dyDescent="0.25">
      <c r="A16" s="13" t="s">
        <v>81</v>
      </c>
      <c r="B16" s="13" t="s">
        <v>82</v>
      </c>
      <c r="C16" s="13"/>
      <c r="D16" s="13"/>
      <c r="E16" s="13"/>
      <c r="F16" s="31"/>
      <c r="G16" s="31"/>
      <c r="H16" s="13"/>
    </row>
    <row r="17" spans="1:8" ht="30" customHeight="1" x14ac:dyDescent="0.25">
      <c r="A17" s="14" t="s">
        <v>81</v>
      </c>
      <c r="B17" s="14" t="s">
        <v>82</v>
      </c>
      <c r="C17" s="15" t="s">
        <v>83</v>
      </c>
      <c r="D17" s="16" t="s">
        <v>84</v>
      </c>
      <c r="E17" s="22">
        <v>1</v>
      </c>
      <c r="F17" s="28" t="s">
        <v>54</v>
      </c>
      <c r="G17" s="29" t="s">
        <v>85</v>
      </c>
      <c r="H17" s="16"/>
    </row>
    <row r="18" spans="1:8" ht="30" customHeight="1" x14ac:dyDescent="0.25">
      <c r="A18" s="19" t="s">
        <v>81</v>
      </c>
      <c r="B18" s="19" t="s">
        <v>82</v>
      </c>
      <c r="C18" s="20" t="s">
        <v>86</v>
      </c>
      <c r="D18" s="21" t="s">
        <v>87</v>
      </c>
      <c r="E18" s="22">
        <v>1</v>
      </c>
      <c r="F18" s="28" t="s">
        <v>45</v>
      </c>
      <c r="G18" s="30" t="s">
        <v>88</v>
      </c>
      <c r="H18" s="21"/>
    </row>
    <row r="19" spans="1:8" ht="30" customHeight="1" x14ac:dyDescent="0.25">
      <c r="A19" s="14" t="s">
        <v>81</v>
      </c>
      <c r="B19" s="14" t="s">
        <v>82</v>
      </c>
      <c r="C19" s="15" t="s">
        <v>89</v>
      </c>
      <c r="D19" s="16" t="s">
        <v>90</v>
      </c>
      <c r="E19" s="17">
        <v>2</v>
      </c>
      <c r="F19" s="28" t="s">
        <v>49</v>
      </c>
      <c r="G19" s="29" t="s">
        <v>1301</v>
      </c>
      <c r="H19" s="16" t="s">
        <v>1302</v>
      </c>
    </row>
    <row r="20" spans="1:8" ht="30" customHeight="1" x14ac:dyDescent="0.25">
      <c r="A20" s="19" t="s">
        <v>81</v>
      </c>
      <c r="B20" s="19" t="s">
        <v>82</v>
      </c>
      <c r="C20" s="20" t="s">
        <v>91</v>
      </c>
      <c r="D20" s="21" t="s">
        <v>92</v>
      </c>
      <c r="E20" s="17">
        <v>2</v>
      </c>
      <c r="F20" s="28" t="s">
        <v>54</v>
      </c>
      <c r="G20" s="30" t="s">
        <v>93</v>
      </c>
      <c r="H20" s="21"/>
    </row>
    <row r="21" spans="1:8" ht="30" customHeight="1" x14ac:dyDescent="0.25">
      <c r="A21" s="14" t="s">
        <v>81</v>
      </c>
      <c r="B21" s="14" t="s">
        <v>82</v>
      </c>
      <c r="C21" s="15" t="s">
        <v>94</v>
      </c>
      <c r="D21" s="16" t="s">
        <v>95</v>
      </c>
      <c r="E21" s="17">
        <v>2</v>
      </c>
      <c r="F21" s="28" t="s">
        <v>54</v>
      </c>
      <c r="G21" s="29" t="s">
        <v>96</v>
      </c>
      <c r="H21" s="16"/>
    </row>
    <row r="22" spans="1:8" ht="30" customHeight="1" x14ac:dyDescent="0.25">
      <c r="A22" s="19" t="s">
        <v>81</v>
      </c>
      <c r="B22" s="19" t="s">
        <v>82</v>
      </c>
      <c r="C22" s="20" t="s">
        <v>97</v>
      </c>
      <c r="D22" s="21" t="s">
        <v>98</v>
      </c>
      <c r="E22" s="17">
        <v>2</v>
      </c>
      <c r="F22" s="28" t="s">
        <v>58</v>
      </c>
      <c r="G22" s="30"/>
      <c r="H22" s="21"/>
    </row>
    <row r="23" spans="1:8" ht="30" customHeight="1" x14ac:dyDescent="0.25">
      <c r="A23" s="14" t="s">
        <v>81</v>
      </c>
      <c r="B23" s="14" t="s">
        <v>82</v>
      </c>
      <c r="C23" s="15" t="s">
        <v>99</v>
      </c>
      <c r="D23" s="16" t="s">
        <v>100</v>
      </c>
      <c r="E23" s="17">
        <v>2</v>
      </c>
      <c r="F23" s="28" t="s">
        <v>54</v>
      </c>
      <c r="G23" s="29"/>
      <c r="H23" s="16"/>
    </row>
    <row r="24" spans="1:8" ht="30" customHeight="1" x14ac:dyDescent="0.25">
      <c r="A24" s="19" t="s">
        <v>81</v>
      </c>
      <c r="B24" s="19" t="s">
        <v>82</v>
      </c>
      <c r="C24" s="20" t="s">
        <v>101</v>
      </c>
      <c r="D24" s="21" t="s">
        <v>102</v>
      </c>
      <c r="E24" s="17">
        <v>2</v>
      </c>
      <c r="F24" s="28" t="s">
        <v>54</v>
      </c>
      <c r="G24" s="30" t="s">
        <v>103</v>
      </c>
      <c r="H24" s="21"/>
    </row>
    <row r="25" spans="1:8" ht="30" customHeight="1" x14ac:dyDescent="0.25">
      <c r="A25" s="14" t="s">
        <v>81</v>
      </c>
      <c r="B25" s="14" t="s">
        <v>82</v>
      </c>
      <c r="C25" s="15" t="s">
        <v>104</v>
      </c>
      <c r="D25" s="16" t="s">
        <v>105</v>
      </c>
      <c r="E25" s="17">
        <v>2</v>
      </c>
      <c r="F25" s="28" t="s">
        <v>54</v>
      </c>
      <c r="G25" s="29" t="s">
        <v>106</v>
      </c>
      <c r="H25" s="16"/>
    </row>
    <row r="26" spans="1:8" ht="30" customHeight="1" x14ac:dyDescent="0.25">
      <c r="A26" s="19" t="s">
        <v>81</v>
      </c>
      <c r="B26" s="19" t="s">
        <v>82</v>
      </c>
      <c r="C26" s="20" t="s">
        <v>107</v>
      </c>
      <c r="D26" s="21" t="s">
        <v>108</v>
      </c>
      <c r="E26" s="17">
        <v>2</v>
      </c>
      <c r="F26" s="28" t="s">
        <v>45</v>
      </c>
      <c r="G26" s="30" t="s">
        <v>1303</v>
      </c>
      <c r="H26" s="21" t="s">
        <v>1304</v>
      </c>
    </row>
    <row r="27" spans="1:8" ht="30" customHeight="1" x14ac:dyDescent="0.25">
      <c r="A27" s="14" t="s">
        <v>81</v>
      </c>
      <c r="B27" s="14" t="s">
        <v>82</v>
      </c>
      <c r="C27" s="15" t="s">
        <v>109</v>
      </c>
      <c r="D27" s="16" t="s">
        <v>110</v>
      </c>
      <c r="E27" s="17">
        <v>2</v>
      </c>
      <c r="F27" s="28" t="s">
        <v>54</v>
      </c>
      <c r="G27" s="29" t="s">
        <v>111</v>
      </c>
      <c r="H27" s="16"/>
    </row>
    <row r="28" spans="1:8" ht="30" customHeight="1" x14ac:dyDescent="0.25">
      <c r="A28" s="19" t="s">
        <v>81</v>
      </c>
      <c r="B28" s="19" t="s">
        <v>82</v>
      </c>
      <c r="C28" s="20" t="s">
        <v>112</v>
      </c>
      <c r="D28" s="21" t="s">
        <v>113</v>
      </c>
      <c r="E28" s="23">
        <v>3</v>
      </c>
      <c r="F28" s="28" t="s">
        <v>54</v>
      </c>
      <c r="G28" s="30"/>
      <c r="H28" s="21"/>
    </row>
    <row r="29" spans="1:8" ht="18" customHeight="1" x14ac:dyDescent="0.25">
      <c r="A29" s="13" t="s">
        <v>114</v>
      </c>
      <c r="B29" s="13" t="s">
        <v>115</v>
      </c>
      <c r="C29" s="13"/>
      <c r="D29" s="13"/>
      <c r="E29" s="13"/>
      <c r="F29" s="31"/>
      <c r="G29" s="31"/>
      <c r="H29" s="13"/>
    </row>
    <row r="30" spans="1:8" ht="30" customHeight="1" x14ac:dyDescent="0.25">
      <c r="A30" s="14" t="s">
        <v>114</v>
      </c>
      <c r="B30" s="14" t="s">
        <v>115</v>
      </c>
      <c r="C30" s="15" t="s">
        <v>116</v>
      </c>
      <c r="D30" s="16" t="s">
        <v>117</v>
      </c>
      <c r="E30" s="17">
        <v>2</v>
      </c>
      <c r="F30" s="28" t="s">
        <v>54</v>
      </c>
      <c r="G30" s="29" t="s">
        <v>118</v>
      </c>
      <c r="H30" s="16"/>
    </row>
    <row r="31" spans="1:8" ht="30" customHeight="1" x14ac:dyDescent="0.25">
      <c r="A31" s="19" t="s">
        <v>114</v>
      </c>
      <c r="B31" s="19" t="s">
        <v>115</v>
      </c>
      <c r="C31" s="20" t="s">
        <v>119</v>
      </c>
      <c r="D31" s="21" t="s">
        <v>120</v>
      </c>
      <c r="E31" s="17">
        <v>2</v>
      </c>
      <c r="F31" s="28" t="s">
        <v>45</v>
      </c>
      <c r="G31" s="30" t="s">
        <v>1305</v>
      </c>
      <c r="H31" s="21" t="s">
        <v>1306</v>
      </c>
    </row>
    <row r="32" spans="1:8" ht="30" customHeight="1" x14ac:dyDescent="0.25">
      <c r="A32" s="14" t="s">
        <v>114</v>
      </c>
      <c r="B32" s="14" t="s">
        <v>115</v>
      </c>
      <c r="C32" s="15" t="s">
        <v>121</v>
      </c>
      <c r="D32" s="16" t="s">
        <v>122</v>
      </c>
      <c r="E32" s="17">
        <v>2</v>
      </c>
      <c r="F32" s="28" t="s">
        <v>54</v>
      </c>
      <c r="G32" s="29"/>
      <c r="H32" s="16"/>
    </row>
    <row r="33" spans="1:8" ht="18" customHeight="1" x14ac:dyDescent="0.25">
      <c r="A33" s="13" t="s">
        <v>123</v>
      </c>
      <c r="B33" s="13" t="s">
        <v>124</v>
      </c>
      <c r="C33" s="13"/>
      <c r="D33" s="13"/>
      <c r="E33" s="13"/>
      <c r="F33" s="31"/>
      <c r="G33" s="31"/>
      <c r="H33" s="13"/>
    </row>
    <row r="34" spans="1:8" ht="30" customHeight="1" x14ac:dyDescent="0.25">
      <c r="A34" s="14" t="s">
        <v>123</v>
      </c>
      <c r="B34" s="14" t="s">
        <v>124</v>
      </c>
      <c r="C34" s="15" t="s">
        <v>125</v>
      </c>
      <c r="D34" s="16" t="s">
        <v>126</v>
      </c>
      <c r="E34" s="22">
        <v>1</v>
      </c>
      <c r="F34" s="28" t="s">
        <v>54</v>
      </c>
      <c r="G34" s="29"/>
      <c r="H34" s="16"/>
    </row>
    <row r="35" spans="1:8" ht="30" customHeight="1" x14ac:dyDescent="0.25">
      <c r="A35" s="19" t="s">
        <v>123</v>
      </c>
      <c r="B35" s="19" t="s">
        <v>124</v>
      </c>
      <c r="C35" s="20" t="s">
        <v>127</v>
      </c>
      <c r="D35" s="21" t="s">
        <v>128</v>
      </c>
      <c r="E35" s="17">
        <v>2</v>
      </c>
      <c r="F35" s="28" t="s">
        <v>45</v>
      </c>
      <c r="G35" s="30" t="s">
        <v>129</v>
      </c>
      <c r="H35" s="21" t="s">
        <v>130</v>
      </c>
    </row>
    <row r="36" spans="1:8" ht="30" customHeight="1" x14ac:dyDescent="0.25">
      <c r="A36" s="14" t="s">
        <v>123</v>
      </c>
      <c r="B36" s="14" t="s">
        <v>124</v>
      </c>
      <c r="C36" s="15" t="s">
        <v>131</v>
      </c>
      <c r="D36" s="16" t="s">
        <v>132</v>
      </c>
      <c r="E36" s="23">
        <v>3</v>
      </c>
      <c r="F36" s="28" t="s">
        <v>54</v>
      </c>
      <c r="G36" s="29"/>
      <c r="H36" s="16"/>
    </row>
  </sheetData>
  <conditionalFormatting sqref="F2:F3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6" xr:uid="{00000000-0002-0000-01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8"/>
  <sheetViews>
    <sheetView zoomScale="75" zoomScaleNormal="75" workbookViewId="0">
      <pane ySplit="1" topLeftCell="A7" activePane="bottomLeft" state="frozen"/>
      <selection pane="bottomLeft" activeCell="G11" sqref="G11"/>
    </sheetView>
  </sheetViews>
  <sheetFormatPr defaultColWidth="8.5703125" defaultRowHeight="15" x14ac:dyDescent="0.25"/>
  <cols>
    <col min="1" max="1" width="12" customWidth="1"/>
    <col min="2" max="2" width="28" customWidth="1"/>
    <col min="3" max="3" width="12" customWidth="1"/>
    <col min="4" max="4" width="60" customWidth="1"/>
    <col min="5" max="5" width="8" customWidth="1"/>
    <col min="6" max="6" width="16" customWidth="1"/>
    <col min="7" max="7" width="75.7109375" bestFit="1" customWidth="1"/>
    <col min="8" max="8" width="35" customWidth="1"/>
  </cols>
  <sheetData>
    <row r="1" spans="1:8" ht="28.15" customHeight="1" x14ac:dyDescent="0.25">
      <c r="A1" s="12" t="s">
        <v>33</v>
      </c>
      <c r="B1" s="12" t="s">
        <v>34</v>
      </c>
      <c r="C1" s="12" t="s">
        <v>35</v>
      </c>
      <c r="D1" s="12" t="s">
        <v>36</v>
      </c>
      <c r="E1" s="12" t="s">
        <v>37</v>
      </c>
      <c r="F1" s="12" t="s">
        <v>38</v>
      </c>
      <c r="G1" s="12" t="s">
        <v>39</v>
      </c>
      <c r="H1" s="12" t="s">
        <v>40</v>
      </c>
    </row>
    <row r="2" spans="1:8" ht="18" customHeight="1" x14ac:dyDescent="0.25">
      <c r="A2" s="13" t="s">
        <v>133</v>
      </c>
      <c r="B2" s="13" t="s">
        <v>134</v>
      </c>
      <c r="C2" s="13"/>
      <c r="D2" s="13"/>
      <c r="E2" s="13"/>
      <c r="F2" s="13"/>
      <c r="G2" s="13"/>
      <c r="H2" s="13"/>
    </row>
    <row r="3" spans="1:8" ht="75" customHeight="1" x14ac:dyDescent="0.25">
      <c r="A3" s="14" t="s">
        <v>133</v>
      </c>
      <c r="B3" s="14" t="s">
        <v>134</v>
      </c>
      <c r="C3" s="15" t="s">
        <v>135</v>
      </c>
      <c r="D3" s="16" t="s">
        <v>136</v>
      </c>
      <c r="E3" s="22">
        <v>1</v>
      </c>
      <c r="F3" s="28" t="s">
        <v>49</v>
      </c>
      <c r="G3" s="29" t="s">
        <v>137</v>
      </c>
      <c r="H3" s="16" t="s">
        <v>138</v>
      </c>
    </row>
    <row r="4" spans="1:8" ht="45" customHeight="1" x14ac:dyDescent="0.25">
      <c r="A4" s="19" t="s">
        <v>133</v>
      </c>
      <c r="B4" s="19" t="s">
        <v>134</v>
      </c>
      <c r="C4" s="20" t="s">
        <v>139</v>
      </c>
      <c r="D4" s="21" t="s">
        <v>140</v>
      </c>
      <c r="E4" s="17">
        <v>2</v>
      </c>
      <c r="F4" s="28" t="s">
        <v>49</v>
      </c>
      <c r="G4" s="30" t="s">
        <v>141</v>
      </c>
      <c r="H4" s="21" t="s">
        <v>142</v>
      </c>
    </row>
    <row r="5" spans="1:8" ht="45" customHeight="1" x14ac:dyDescent="0.25">
      <c r="A5" s="14" t="s">
        <v>133</v>
      </c>
      <c r="B5" s="14" t="s">
        <v>134</v>
      </c>
      <c r="C5" s="15" t="s">
        <v>143</v>
      </c>
      <c r="D5" s="16" t="s">
        <v>144</v>
      </c>
      <c r="E5" s="17">
        <v>2</v>
      </c>
      <c r="F5" s="28" t="s">
        <v>49</v>
      </c>
      <c r="G5" s="29" t="s">
        <v>145</v>
      </c>
      <c r="H5" s="16" t="s">
        <v>146</v>
      </c>
    </row>
    <row r="6" spans="1:8" ht="18" customHeight="1" x14ac:dyDescent="0.25">
      <c r="A6" s="13" t="s">
        <v>147</v>
      </c>
      <c r="B6" s="13" t="s">
        <v>148</v>
      </c>
      <c r="C6" s="13"/>
      <c r="D6" s="13"/>
      <c r="E6" s="13"/>
      <c r="F6" s="31"/>
      <c r="G6" s="31"/>
      <c r="H6" s="13"/>
    </row>
    <row r="7" spans="1:8" ht="30" customHeight="1" x14ac:dyDescent="0.25">
      <c r="A7" s="14" t="s">
        <v>147</v>
      </c>
      <c r="B7" s="14" t="s">
        <v>148</v>
      </c>
      <c r="C7" s="15" t="s">
        <v>149</v>
      </c>
      <c r="D7" s="16" t="s">
        <v>150</v>
      </c>
      <c r="E7" s="22">
        <v>1</v>
      </c>
      <c r="F7" s="28" t="s">
        <v>45</v>
      </c>
      <c r="G7" s="29" t="s">
        <v>151</v>
      </c>
      <c r="H7" s="16"/>
    </row>
    <row r="8" spans="1:8" ht="60" customHeight="1" x14ac:dyDescent="0.25">
      <c r="A8" s="19" t="s">
        <v>147</v>
      </c>
      <c r="B8" s="19" t="s">
        <v>148</v>
      </c>
      <c r="C8" s="20" t="s">
        <v>152</v>
      </c>
      <c r="D8" s="21" t="s">
        <v>153</v>
      </c>
      <c r="E8" s="22">
        <v>1</v>
      </c>
      <c r="F8" s="28" t="s">
        <v>45</v>
      </c>
      <c r="G8" s="30" t="s">
        <v>154</v>
      </c>
      <c r="H8" s="21"/>
    </row>
    <row r="9" spans="1:8" ht="30" customHeight="1" x14ac:dyDescent="0.25">
      <c r="A9" s="14" t="s">
        <v>147</v>
      </c>
      <c r="B9" s="14" t="s">
        <v>148</v>
      </c>
      <c r="C9" s="15" t="s">
        <v>155</v>
      </c>
      <c r="D9" s="16" t="s">
        <v>156</v>
      </c>
      <c r="E9" s="17">
        <v>2</v>
      </c>
      <c r="F9" s="28" t="s">
        <v>58</v>
      </c>
      <c r="G9" s="29"/>
      <c r="H9" s="16"/>
    </row>
    <row r="10" spans="1:8" ht="18" customHeight="1" x14ac:dyDescent="0.25">
      <c r="A10" s="13" t="s">
        <v>157</v>
      </c>
      <c r="B10" s="13" t="s">
        <v>158</v>
      </c>
      <c r="C10" s="13"/>
      <c r="D10" s="13"/>
      <c r="E10" s="13"/>
      <c r="F10" s="31"/>
      <c r="G10" s="31"/>
      <c r="H10" s="13"/>
    </row>
    <row r="11" spans="1:8" ht="75" customHeight="1" x14ac:dyDescent="0.25">
      <c r="A11" s="14" t="s">
        <v>157</v>
      </c>
      <c r="B11" s="14" t="s">
        <v>158</v>
      </c>
      <c r="C11" s="15" t="s">
        <v>159</v>
      </c>
      <c r="D11" s="16" t="s">
        <v>160</v>
      </c>
      <c r="E11" s="22">
        <v>1</v>
      </c>
      <c r="F11" s="28" t="s">
        <v>45</v>
      </c>
      <c r="G11" s="29" t="s">
        <v>161</v>
      </c>
      <c r="H11" s="16"/>
    </row>
    <row r="12" spans="1:8" ht="30" customHeight="1" x14ac:dyDescent="0.25">
      <c r="A12" s="19" t="s">
        <v>157</v>
      </c>
      <c r="B12" s="19" t="s">
        <v>158</v>
      </c>
      <c r="C12" s="20" t="s">
        <v>162</v>
      </c>
      <c r="D12" s="21" t="s">
        <v>163</v>
      </c>
      <c r="E12" s="17">
        <v>2</v>
      </c>
      <c r="F12" s="28" t="s">
        <v>58</v>
      </c>
      <c r="G12" s="30"/>
      <c r="H12" s="21"/>
    </row>
    <row r="13" spans="1:8" ht="30" customHeight="1" x14ac:dyDescent="0.25">
      <c r="A13" s="14" t="s">
        <v>157</v>
      </c>
      <c r="B13" s="14" t="s">
        <v>158</v>
      </c>
      <c r="C13" s="15" t="s">
        <v>164</v>
      </c>
      <c r="D13" s="16" t="s">
        <v>165</v>
      </c>
      <c r="E13" s="17">
        <v>2</v>
      </c>
      <c r="F13" s="28" t="s">
        <v>58</v>
      </c>
      <c r="G13" s="29"/>
      <c r="H13" s="16"/>
    </row>
    <row r="14" spans="1:8" ht="30" customHeight="1" x14ac:dyDescent="0.25">
      <c r="A14" s="19" t="s">
        <v>157</v>
      </c>
      <c r="B14" s="19" t="s">
        <v>158</v>
      </c>
      <c r="C14" s="20" t="s">
        <v>166</v>
      </c>
      <c r="D14" s="21" t="s">
        <v>167</v>
      </c>
      <c r="E14" s="17">
        <v>2</v>
      </c>
      <c r="F14" s="28" t="s">
        <v>58</v>
      </c>
      <c r="G14" s="30"/>
      <c r="H14" s="21"/>
    </row>
    <row r="15" spans="1:8" ht="75" customHeight="1" x14ac:dyDescent="0.25">
      <c r="A15" s="14" t="s">
        <v>157</v>
      </c>
      <c r="B15" s="14" t="s">
        <v>158</v>
      </c>
      <c r="C15" s="15" t="s">
        <v>168</v>
      </c>
      <c r="D15" s="16" t="s">
        <v>169</v>
      </c>
      <c r="E15" s="23">
        <v>3</v>
      </c>
      <c r="F15" s="28" t="s">
        <v>54</v>
      </c>
      <c r="G15" s="29" t="s">
        <v>170</v>
      </c>
      <c r="H15" s="16"/>
    </row>
    <row r="16" spans="1:8" ht="18" customHeight="1" x14ac:dyDescent="0.25">
      <c r="A16" s="13" t="s">
        <v>171</v>
      </c>
      <c r="B16" s="13" t="s">
        <v>172</v>
      </c>
      <c r="C16" s="13"/>
      <c r="D16" s="13"/>
      <c r="E16" s="13"/>
      <c r="F16" s="31"/>
      <c r="G16" s="31"/>
      <c r="H16" s="13"/>
    </row>
    <row r="17" spans="1:8" ht="30" customHeight="1" x14ac:dyDescent="0.25">
      <c r="A17" s="14" t="s">
        <v>171</v>
      </c>
      <c r="B17" s="14" t="s">
        <v>172</v>
      </c>
      <c r="C17" s="15" t="s">
        <v>173</v>
      </c>
      <c r="D17" s="16" t="s">
        <v>174</v>
      </c>
      <c r="E17" s="17">
        <v>2</v>
      </c>
      <c r="F17" s="28" t="s">
        <v>58</v>
      </c>
      <c r="G17" s="29"/>
      <c r="H17" s="16"/>
    </row>
    <row r="18" spans="1:8" ht="30" customHeight="1" x14ac:dyDescent="0.25">
      <c r="A18" s="19" t="s">
        <v>171</v>
      </c>
      <c r="B18" s="19" t="s">
        <v>172</v>
      </c>
      <c r="C18" s="20" t="s">
        <v>175</v>
      </c>
      <c r="D18" s="21" t="s">
        <v>176</v>
      </c>
      <c r="E18" s="23">
        <v>3</v>
      </c>
      <c r="F18" s="28" t="s">
        <v>54</v>
      </c>
      <c r="G18" s="30"/>
      <c r="H18" s="21"/>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2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9"/>
  <sheetViews>
    <sheetView zoomScale="85" zoomScaleNormal="85" workbookViewId="0">
      <pane ySplit="1" topLeftCell="A11" activePane="bottomLeft" state="frozen"/>
      <selection pane="bottomLeft" activeCell="G15" sqref="G15"/>
    </sheetView>
  </sheetViews>
  <sheetFormatPr defaultColWidth="8.5703125" defaultRowHeight="15" x14ac:dyDescent="0.25"/>
  <cols>
    <col min="1" max="1" width="12" customWidth="1"/>
    <col min="2" max="2" width="33" bestFit="1" customWidth="1"/>
    <col min="3" max="3" width="12" customWidth="1"/>
    <col min="4" max="4" width="60" customWidth="1"/>
    <col min="5" max="5" width="8" customWidth="1"/>
    <col min="6" max="6" width="16" customWidth="1"/>
    <col min="7" max="7" width="115.7109375" bestFit="1" customWidth="1"/>
    <col min="8" max="8" width="35" customWidth="1"/>
  </cols>
  <sheetData>
    <row r="1" spans="1:8" ht="39.75" customHeight="1" x14ac:dyDescent="0.25">
      <c r="A1" s="12" t="s">
        <v>177</v>
      </c>
      <c r="B1" s="12" t="s">
        <v>34</v>
      </c>
      <c r="C1" s="12" t="s">
        <v>35</v>
      </c>
      <c r="D1" s="12" t="s">
        <v>36</v>
      </c>
      <c r="E1" s="12" t="s">
        <v>37</v>
      </c>
      <c r="F1" s="12" t="s">
        <v>38</v>
      </c>
      <c r="G1" s="12" t="s">
        <v>39</v>
      </c>
      <c r="H1" s="12" t="s">
        <v>40</v>
      </c>
    </row>
    <row r="2" spans="1:8" x14ac:dyDescent="0.25">
      <c r="A2" s="13" t="s">
        <v>178</v>
      </c>
      <c r="B2" s="13" t="s">
        <v>179</v>
      </c>
      <c r="C2" s="13"/>
      <c r="D2" s="13"/>
      <c r="E2" s="13"/>
      <c r="F2" s="13"/>
      <c r="G2" s="13"/>
      <c r="H2" s="13"/>
    </row>
    <row r="3" spans="1:8" ht="85.15" customHeight="1" x14ac:dyDescent="0.25">
      <c r="A3" s="14" t="s">
        <v>178</v>
      </c>
      <c r="B3" s="14" t="s">
        <v>179</v>
      </c>
      <c r="C3" s="15" t="s">
        <v>180</v>
      </c>
      <c r="D3" s="16" t="s">
        <v>181</v>
      </c>
      <c r="E3" s="23">
        <v>3</v>
      </c>
      <c r="F3" s="18" t="s">
        <v>54</v>
      </c>
      <c r="G3" s="24" t="s">
        <v>182</v>
      </c>
      <c r="H3" s="16"/>
    </row>
    <row r="4" spans="1:8" x14ac:dyDescent="0.25">
      <c r="A4" s="13" t="s">
        <v>183</v>
      </c>
      <c r="B4" s="13" t="s">
        <v>184</v>
      </c>
      <c r="C4" s="13"/>
      <c r="D4" s="13"/>
      <c r="E4" s="13"/>
      <c r="F4" s="13"/>
      <c r="G4" s="13"/>
      <c r="H4" s="13"/>
    </row>
    <row r="5" spans="1:8" ht="127.9" customHeight="1" x14ac:dyDescent="0.25">
      <c r="A5" s="14" t="s">
        <v>183</v>
      </c>
      <c r="B5" s="14" t="s">
        <v>184</v>
      </c>
      <c r="C5" s="15" t="s">
        <v>185</v>
      </c>
      <c r="D5" s="16" t="s">
        <v>186</v>
      </c>
      <c r="E5" s="22">
        <v>1</v>
      </c>
      <c r="F5" s="18" t="s">
        <v>54</v>
      </c>
      <c r="G5" s="25"/>
      <c r="H5" s="16"/>
    </row>
    <row r="6" spans="1:8" ht="85.15" customHeight="1" x14ac:dyDescent="0.25">
      <c r="A6" s="19" t="s">
        <v>183</v>
      </c>
      <c r="B6" s="19" t="s">
        <v>184</v>
      </c>
      <c r="C6" s="20" t="s">
        <v>187</v>
      </c>
      <c r="D6" s="21" t="s">
        <v>188</v>
      </c>
      <c r="E6" s="22">
        <v>1</v>
      </c>
      <c r="F6" s="18" t="s">
        <v>54</v>
      </c>
      <c r="G6" t="s">
        <v>189</v>
      </c>
      <c r="H6" s="21"/>
    </row>
    <row r="7" spans="1:8" ht="85.15" customHeight="1" x14ac:dyDescent="0.25">
      <c r="A7" s="14" t="s">
        <v>183</v>
      </c>
      <c r="B7" s="14" t="s">
        <v>184</v>
      </c>
      <c r="C7" s="15" t="s">
        <v>190</v>
      </c>
      <c r="D7" s="16" t="s">
        <v>191</v>
      </c>
      <c r="E7" s="23">
        <v>3</v>
      </c>
      <c r="F7" s="18" t="s">
        <v>54</v>
      </c>
      <c r="G7" t="s">
        <v>192</v>
      </c>
      <c r="H7" s="16"/>
    </row>
    <row r="8" spans="1:8" x14ac:dyDescent="0.25">
      <c r="A8" s="13" t="s">
        <v>193</v>
      </c>
      <c r="B8" s="13" t="s">
        <v>194</v>
      </c>
      <c r="C8" s="13"/>
      <c r="D8" s="13"/>
      <c r="E8" s="13"/>
      <c r="F8" s="13"/>
      <c r="G8" s="13"/>
      <c r="H8" s="13"/>
    </row>
    <row r="9" spans="1:8" ht="72" customHeight="1" x14ac:dyDescent="0.25">
      <c r="A9" s="14" t="s">
        <v>193</v>
      </c>
      <c r="B9" s="14" t="s">
        <v>194</v>
      </c>
      <c r="C9" s="15" t="s">
        <v>195</v>
      </c>
      <c r="D9" s="16" t="s">
        <v>196</v>
      </c>
      <c r="E9" s="22">
        <v>1</v>
      </c>
      <c r="F9" s="18" t="s">
        <v>54</v>
      </c>
      <c r="G9" s="25" t="s">
        <v>197</v>
      </c>
      <c r="H9" s="16"/>
    </row>
    <row r="10" spans="1:8" ht="72" customHeight="1" x14ac:dyDescent="0.25">
      <c r="A10" s="19" t="s">
        <v>193</v>
      </c>
      <c r="B10" s="19" t="s">
        <v>194</v>
      </c>
      <c r="C10" s="20" t="s">
        <v>198</v>
      </c>
      <c r="D10" s="21" t="s">
        <v>199</v>
      </c>
      <c r="E10" s="17">
        <v>2</v>
      </c>
      <c r="F10" s="18" t="s">
        <v>54</v>
      </c>
      <c r="G10" t="s">
        <v>200</v>
      </c>
      <c r="H10" s="21"/>
    </row>
    <row r="11" spans="1:8" ht="72" customHeight="1" x14ac:dyDescent="0.25">
      <c r="A11" s="14" t="s">
        <v>193</v>
      </c>
      <c r="B11" s="14" t="s">
        <v>194</v>
      </c>
      <c r="C11" s="15" t="s">
        <v>201</v>
      </c>
      <c r="D11" s="16" t="s">
        <v>202</v>
      </c>
      <c r="E11" s="17">
        <v>2</v>
      </c>
      <c r="F11" s="18" t="s">
        <v>54</v>
      </c>
      <c r="G11" t="s">
        <v>200</v>
      </c>
      <c r="H11" s="16"/>
    </row>
    <row r="12" spans="1:8" ht="72" customHeight="1" x14ac:dyDescent="0.25">
      <c r="A12" s="19" t="s">
        <v>193</v>
      </c>
      <c r="B12" s="19" t="s">
        <v>194</v>
      </c>
      <c r="C12" s="20" t="s">
        <v>203</v>
      </c>
      <c r="D12" s="21" t="s">
        <v>204</v>
      </c>
      <c r="E12" s="17">
        <v>2</v>
      </c>
      <c r="F12" s="18" t="s">
        <v>54</v>
      </c>
      <c r="G12" s="26" t="s">
        <v>205</v>
      </c>
      <c r="H12" s="21"/>
    </row>
    <row r="13" spans="1:8" ht="72" customHeight="1" x14ac:dyDescent="0.25">
      <c r="A13" s="14" t="s">
        <v>193</v>
      </c>
      <c r="B13" s="14" t="s">
        <v>194</v>
      </c>
      <c r="C13" s="15" t="s">
        <v>206</v>
      </c>
      <c r="D13" s="16" t="s">
        <v>207</v>
      </c>
      <c r="E13" s="23">
        <v>3</v>
      </c>
      <c r="F13" s="18" t="s">
        <v>54</v>
      </c>
      <c r="G13" t="s">
        <v>208</v>
      </c>
      <c r="H13" s="16"/>
    </row>
    <row r="14" spans="1:8" x14ac:dyDescent="0.25">
      <c r="A14" s="13" t="s">
        <v>209</v>
      </c>
      <c r="B14" s="13" t="s">
        <v>210</v>
      </c>
      <c r="C14" s="13"/>
      <c r="D14" s="13"/>
      <c r="E14" s="13"/>
      <c r="F14" s="13"/>
      <c r="G14" s="13"/>
      <c r="H14" s="13"/>
    </row>
    <row r="15" spans="1:8" ht="72" customHeight="1" x14ac:dyDescent="0.25">
      <c r="A15" s="14" t="s">
        <v>209</v>
      </c>
      <c r="B15" s="14" t="s">
        <v>210</v>
      </c>
      <c r="C15" s="15" t="s">
        <v>211</v>
      </c>
      <c r="D15" s="16" t="s">
        <v>212</v>
      </c>
      <c r="E15" s="22">
        <v>1</v>
      </c>
      <c r="F15" s="18" t="s">
        <v>49</v>
      </c>
      <c r="G15" s="25" t="s">
        <v>213</v>
      </c>
      <c r="H15" s="16" t="s">
        <v>214</v>
      </c>
    </row>
    <row r="16" spans="1:8" ht="104.25" customHeight="1" x14ac:dyDescent="0.25">
      <c r="A16" s="19" t="s">
        <v>209</v>
      </c>
      <c r="B16" s="19" t="s">
        <v>210</v>
      </c>
      <c r="C16" s="20" t="s">
        <v>215</v>
      </c>
      <c r="D16" s="21" t="s">
        <v>216</v>
      </c>
      <c r="E16" s="22">
        <v>1</v>
      </c>
      <c r="F16" s="18" t="s">
        <v>49</v>
      </c>
      <c r="G16" s="26" t="s">
        <v>217</v>
      </c>
      <c r="H16" s="21" t="s">
        <v>218</v>
      </c>
    </row>
    <row r="17" spans="1:8" ht="138" customHeight="1" x14ac:dyDescent="0.25">
      <c r="A17" s="14" t="s">
        <v>209</v>
      </c>
      <c r="B17" s="14" t="s">
        <v>210</v>
      </c>
      <c r="C17" s="15" t="s">
        <v>219</v>
      </c>
      <c r="D17" s="16" t="s">
        <v>220</v>
      </c>
      <c r="E17" s="17">
        <v>2</v>
      </c>
      <c r="F17" s="18" t="s">
        <v>54</v>
      </c>
      <c r="G17" s="25" t="s">
        <v>221</v>
      </c>
      <c r="H17" s="16"/>
    </row>
    <row r="18" spans="1:8" ht="78" customHeight="1" x14ac:dyDescent="0.25">
      <c r="A18" s="19" t="s">
        <v>209</v>
      </c>
      <c r="B18" s="19" t="s">
        <v>210</v>
      </c>
      <c r="C18" s="20" t="s">
        <v>222</v>
      </c>
      <c r="D18" s="21" t="s">
        <v>223</v>
      </c>
      <c r="E18" s="17">
        <v>2</v>
      </c>
      <c r="F18" s="18" t="s">
        <v>49</v>
      </c>
      <c r="G18" s="26" t="s">
        <v>224</v>
      </c>
      <c r="H18" s="21" t="s">
        <v>225</v>
      </c>
    </row>
    <row r="19" spans="1:8" ht="105" customHeight="1" x14ac:dyDescent="0.25">
      <c r="A19" s="14" t="s">
        <v>209</v>
      </c>
      <c r="B19" s="14" t="s">
        <v>210</v>
      </c>
      <c r="C19" s="15" t="s">
        <v>226</v>
      </c>
      <c r="D19" s="16" t="s">
        <v>227</v>
      </c>
      <c r="E19" s="17">
        <v>2</v>
      </c>
      <c r="F19" s="18" t="s">
        <v>54</v>
      </c>
      <c r="G19" s="25" t="s">
        <v>228</v>
      </c>
      <c r="H19" s="16"/>
    </row>
    <row r="20" spans="1:8" ht="90" customHeight="1" x14ac:dyDescent="0.25">
      <c r="A20" s="19" t="s">
        <v>209</v>
      </c>
      <c r="B20" s="19" t="s">
        <v>210</v>
      </c>
      <c r="C20" s="20" t="s">
        <v>229</v>
      </c>
      <c r="D20" s="21" t="s">
        <v>230</v>
      </c>
      <c r="E20" s="17">
        <v>2</v>
      </c>
      <c r="F20" s="18" t="s">
        <v>54</v>
      </c>
      <c r="G20" s="26" t="s">
        <v>231</v>
      </c>
      <c r="H20" s="21"/>
    </row>
    <row r="21" spans="1:8" ht="72" customHeight="1" x14ac:dyDescent="0.25">
      <c r="A21" s="14" t="s">
        <v>209</v>
      </c>
      <c r="B21" s="14" t="s">
        <v>210</v>
      </c>
      <c r="C21" s="15" t="s">
        <v>232</v>
      </c>
      <c r="D21" s="16" t="s">
        <v>233</v>
      </c>
      <c r="E21" s="23">
        <v>3</v>
      </c>
      <c r="F21" s="18" t="s">
        <v>54</v>
      </c>
      <c r="G21" s="25" t="s">
        <v>234</v>
      </c>
      <c r="H21" s="16"/>
    </row>
    <row r="22" spans="1:8" ht="90" customHeight="1" x14ac:dyDescent="0.25">
      <c r="A22" s="19" t="s">
        <v>209</v>
      </c>
      <c r="B22" s="19" t="s">
        <v>210</v>
      </c>
      <c r="C22" s="20" t="s">
        <v>235</v>
      </c>
      <c r="D22" s="21" t="s">
        <v>236</v>
      </c>
      <c r="E22" s="23">
        <v>3</v>
      </c>
      <c r="F22" s="18" t="s">
        <v>54</v>
      </c>
      <c r="G22" s="26" t="s">
        <v>237</v>
      </c>
      <c r="H22" s="21"/>
    </row>
    <row r="23" spans="1:8" x14ac:dyDescent="0.25">
      <c r="A23" s="13" t="s">
        <v>238</v>
      </c>
      <c r="B23" s="13" t="s">
        <v>239</v>
      </c>
      <c r="C23" s="13"/>
      <c r="D23" s="13"/>
      <c r="E23" s="13"/>
      <c r="F23" s="13"/>
      <c r="G23" s="13"/>
      <c r="H23" s="13"/>
    </row>
    <row r="24" spans="1:8" ht="120" customHeight="1" x14ac:dyDescent="0.25">
      <c r="A24" s="14" t="s">
        <v>238</v>
      </c>
      <c r="B24" s="14" t="s">
        <v>239</v>
      </c>
      <c r="C24" s="15" t="s">
        <v>240</v>
      </c>
      <c r="D24" s="16" t="s">
        <v>241</v>
      </c>
      <c r="E24" s="22">
        <v>1</v>
      </c>
      <c r="F24" s="18" t="s">
        <v>45</v>
      </c>
      <c r="G24" s="25" t="s">
        <v>242</v>
      </c>
      <c r="H24" s="16" t="s">
        <v>243</v>
      </c>
    </row>
    <row r="25" spans="1:8" ht="105" customHeight="1" x14ac:dyDescent="0.25">
      <c r="A25" s="19" t="s">
        <v>238</v>
      </c>
      <c r="B25" s="19" t="s">
        <v>239</v>
      </c>
      <c r="C25" s="20" t="s">
        <v>244</v>
      </c>
      <c r="D25" s="21" t="s">
        <v>245</v>
      </c>
      <c r="E25" s="22">
        <v>1</v>
      </c>
      <c r="F25" s="18" t="s">
        <v>45</v>
      </c>
      <c r="G25" s="26" t="s">
        <v>246</v>
      </c>
      <c r="H25" s="21" t="s">
        <v>247</v>
      </c>
    </row>
    <row r="26" spans="1:8" ht="120" customHeight="1" x14ac:dyDescent="0.25">
      <c r="A26" s="14" t="s">
        <v>238</v>
      </c>
      <c r="B26" s="14" t="s">
        <v>239</v>
      </c>
      <c r="C26" s="15" t="s">
        <v>248</v>
      </c>
      <c r="D26" s="16" t="s">
        <v>249</v>
      </c>
      <c r="E26" s="22">
        <v>1</v>
      </c>
      <c r="F26" s="18" t="s">
        <v>45</v>
      </c>
      <c r="G26" s="25" t="s">
        <v>250</v>
      </c>
      <c r="H26" s="16" t="s">
        <v>251</v>
      </c>
    </row>
    <row r="27" spans="1:8" ht="75" customHeight="1" x14ac:dyDescent="0.25">
      <c r="A27" s="19" t="s">
        <v>238</v>
      </c>
      <c r="B27" s="19" t="s">
        <v>239</v>
      </c>
      <c r="C27" s="20" t="s">
        <v>252</v>
      </c>
      <c r="D27" s="21" t="s">
        <v>253</v>
      </c>
      <c r="E27" s="17">
        <v>2</v>
      </c>
      <c r="F27" s="18" t="s">
        <v>54</v>
      </c>
      <c r="G27" s="26" t="s">
        <v>254</v>
      </c>
      <c r="H27" s="21"/>
    </row>
    <row r="28" spans="1:8" ht="72" customHeight="1" x14ac:dyDescent="0.25">
      <c r="A28" s="14" t="s">
        <v>238</v>
      </c>
      <c r="B28" s="14" t="s">
        <v>239</v>
      </c>
      <c r="C28" s="15" t="s">
        <v>255</v>
      </c>
      <c r="D28" s="16" t="s">
        <v>256</v>
      </c>
      <c r="E28" s="17">
        <v>2</v>
      </c>
      <c r="F28" s="18" t="s">
        <v>54</v>
      </c>
      <c r="G28" s="25" t="s">
        <v>257</v>
      </c>
      <c r="H28" s="16"/>
    </row>
    <row r="29" spans="1:8" ht="72" customHeight="1" x14ac:dyDescent="0.25">
      <c r="A29" s="19" t="s">
        <v>238</v>
      </c>
      <c r="B29" s="19" t="s">
        <v>239</v>
      </c>
      <c r="C29" s="20" t="s">
        <v>258</v>
      </c>
      <c r="D29" s="21" t="s">
        <v>259</v>
      </c>
      <c r="E29" s="23">
        <v>3</v>
      </c>
      <c r="F29" s="18" t="s">
        <v>54</v>
      </c>
      <c r="G29" s="26" t="s">
        <v>260</v>
      </c>
      <c r="H29" s="21"/>
    </row>
    <row r="30" spans="1:8" ht="72" customHeight="1" x14ac:dyDescent="0.25">
      <c r="A30" s="14" t="s">
        <v>238</v>
      </c>
      <c r="B30" s="14" t="s">
        <v>239</v>
      </c>
      <c r="C30" s="15" t="s">
        <v>261</v>
      </c>
      <c r="D30" s="16" t="s">
        <v>262</v>
      </c>
      <c r="E30" s="23">
        <v>3</v>
      </c>
      <c r="F30" s="18" t="s">
        <v>54</v>
      </c>
      <c r="G30" s="25" t="s">
        <v>263</v>
      </c>
      <c r="H30" s="16"/>
    </row>
    <row r="31" spans="1:8" ht="120.4" customHeight="1" x14ac:dyDescent="0.25">
      <c r="A31" s="19" t="s">
        <v>238</v>
      </c>
      <c r="B31" s="19" t="s">
        <v>239</v>
      </c>
      <c r="C31" s="20" t="s">
        <v>264</v>
      </c>
      <c r="D31" s="21" t="s">
        <v>265</v>
      </c>
      <c r="E31" s="23">
        <v>3</v>
      </c>
      <c r="F31" s="18" t="s">
        <v>54</v>
      </c>
      <c r="G31" s="26"/>
      <c r="H31" s="21"/>
    </row>
    <row r="32" spans="1:8" x14ac:dyDescent="0.25">
      <c r="A32" s="13" t="s">
        <v>266</v>
      </c>
      <c r="B32" s="13" t="s">
        <v>267</v>
      </c>
      <c r="C32" s="13"/>
      <c r="D32" s="13"/>
      <c r="E32" s="13"/>
      <c r="F32" s="13"/>
      <c r="G32" s="13"/>
      <c r="H32" s="13"/>
    </row>
    <row r="33" spans="1:8" ht="106.5" customHeight="1" x14ac:dyDescent="0.25">
      <c r="A33" s="14" t="s">
        <v>266</v>
      </c>
      <c r="B33" s="14" t="s">
        <v>267</v>
      </c>
      <c r="C33" s="15" t="s">
        <v>268</v>
      </c>
      <c r="D33" s="16" t="s">
        <v>269</v>
      </c>
      <c r="E33" s="23">
        <v>3</v>
      </c>
      <c r="F33" s="18" t="s">
        <v>54</v>
      </c>
      <c r="G33" t="s">
        <v>270</v>
      </c>
      <c r="H33" s="16"/>
    </row>
    <row r="34" spans="1:8" x14ac:dyDescent="0.25">
      <c r="A34" s="13" t="s">
        <v>271</v>
      </c>
      <c r="B34" s="13" t="s">
        <v>272</v>
      </c>
      <c r="C34" s="13"/>
      <c r="D34" s="13"/>
      <c r="E34" s="13"/>
      <c r="F34" s="13"/>
      <c r="G34" s="13"/>
      <c r="H34" s="13"/>
    </row>
    <row r="35" spans="1:8" ht="72" customHeight="1" x14ac:dyDescent="0.25">
      <c r="A35" s="14" t="s">
        <v>271</v>
      </c>
      <c r="B35" s="14" t="s">
        <v>272</v>
      </c>
      <c r="C35" s="15" t="s">
        <v>273</v>
      </c>
      <c r="D35" s="16" t="s">
        <v>274</v>
      </c>
      <c r="E35" s="17">
        <v>2</v>
      </c>
      <c r="F35" s="18" t="s">
        <v>54</v>
      </c>
      <c r="G35" t="s">
        <v>275</v>
      </c>
      <c r="H35" s="16"/>
    </row>
    <row r="36" spans="1:8" ht="72" customHeight="1" x14ac:dyDescent="0.25">
      <c r="A36" s="19" t="s">
        <v>271</v>
      </c>
      <c r="B36" s="19" t="s">
        <v>272</v>
      </c>
      <c r="C36" s="20" t="s">
        <v>276</v>
      </c>
      <c r="D36" s="21" t="s">
        <v>277</v>
      </c>
      <c r="E36" s="17">
        <v>2</v>
      </c>
      <c r="F36" s="18" t="s">
        <v>54</v>
      </c>
      <c r="G36" s="26"/>
      <c r="H36" s="21"/>
    </row>
    <row r="37" spans="1:8" ht="72" customHeight="1" x14ac:dyDescent="0.25">
      <c r="A37" s="14" t="s">
        <v>271</v>
      </c>
      <c r="B37" s="14" t="s">
        <v>272</v>
      </c>
      <c r="C37" s="15" t="s">
        <v>278</v>
      </c>
      <c r="D37" s="16" t="s">
        <v>279</v>
      </c>
      <c r="E37" s="23">
        <v>3</v>
      </c>
      <c r="F37" s="18" t="s">
        <v>54</v>
      </c>
      <c r="G37" t="s">
        <v>280</v>
      </c>
      <c r="H37" s="16"/>
    </row>
    <row r="38" spans="1:8" ht="72" customHeight="1" x14ac:dyDescent="0.25">
      <c r="A38" s="19" t="s">
        <v>271</v>
      </c>
      <c r="B38" s="19" t="s">
        <v>272</v>
      </c>
      <c r="C38" s="20" t="s">
        <v>281</v>
      </c>
      <c r="D38" s="21" t="s">
        <v>282</v>
      </c>
      <c r="E38" s="23">
        <v>3</v>
      </c>
      <c r="F38" s="18" t="s">
        <v>54</v>
      </c>
      <c r="G38" s="26"/>
      <c r="H38" s="21"/>
    </row>
    <row r="39" spans="1:8" ht="72" customHeight="1" x14ac:dyDescent="0.25">
      <c r="A39" s="14" t="s">
        <v>271</v>
      </c>
      <c r="B39" s="14" t="s">
        <v>272</v>
      </c>
      <c r="C39" s="15" t="s">
        <v>283</v>
      </c>
      <c r="D39" s="16" t="s">
        <v>284</v>
      </c>
      <c r="E39" s="23">
        <v>3</v>
      </c>
      <c r="F39" s="18" t="s">
        <v>54</v>
      </c>
      <c r="G39" t="s">
        <v>285</v>
      </c>
      <c r="H39" s="16"/>
    </row>
  </sheetData>
  <conditionalFormatting sqref="F2:F39">
    <cfRule type="cellIs" priority="2" operator="equal">
      <formula>"Compliant"</formula>
    </cfRule>
    <cfRule type="cellIs" priority="3" operator="equal">
      <formula>"In Progress"</formula>
    </cfRule>
    <cfRule type="cellIs" priority="4" operator="equal">
      <formula>"Not Applicable"</formula>
    </cfRule>
  </conditionalFormatting>
  <dataValidations disablePrompts="1" count="1">
    <dataValidation type="list" allowBlank="1" sqref="F2:F1039" xr:uid="{00000000-0002-0000-03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1"/>
  <sheetViews>
    <sheetView zoomScale="75" zoomScaleNormal="75" workbookViewId="0">
      <pane ySplit="1" topLeftCell="A2" activePane="bottomLeft" state="frozen"/>
      <selection pane="bottomLeft" activeCell="F9" sqref="F9"/>
    </sheetView>
  </sheetViews>
  <sheetFormatPr defaultColWidth="8.5703125" defaultRowHeight="15" x14ac:dyDescent="0.25"/>
  <cols>
    <col min="1" max="1" width="12" customWidth="1"/>
    <col min="2" max="2" width="28" customWidth="1"/>
    <col min="3" max="3" width="12" customWidth="1"/>
    <col min="4" max="4" width="60" customWidth="1"/>
    <col min="5" max="5" width="8" customWidth="1"/>
    <col min="6" max="6" width="16" customWidth="1"/>
    <col min="7" max="7" width="87.42578125" bestFit="1" customWidth="1"/>
    <col min="8" max="8" width="35" customWidth="1"/>
  </cols>
  <sheetData>
    <row r="1" spans="1:8" ht="28.15" customHeight="1" x14ac:dyDescent="0.25">
      <c r="A1" s="12" t="s">
        <v>33</v>
      </c>
      <c r="B1" s="12" t="s">
        <v>34</v>
      </c>
      <c r="C1" s="12" t="s">
        <v>35</v>
      </c>
      <c r="D1" s="12" t="s">
        <v>36</v>
      </c>
      <c r="E1" s="12" t="s">
        <v>37</v>
      </c>
      <c r="F1" s="12" t="s">
        <v>38</v>
      </c>
      <c r="G1" s="12" t="s">
        <v>39</v>
      </c>
      <c r="H1" s="12" t="s">
        <v>40</v>
      </c>
    </row>
    <row r="2" spans="1:8" ht="18" customHeight="1" x14ac:dyDescent="0.25">
      <c r="A2" s="13" t="s">
        <v>286</v>
      </c>
      <c r="B2" s="13" t="s">
        <v>287</v>
      </c>
      <c r="C2" s="13"/>
      <c r="D2" s="13"/>
      <c r="E2" s="13"/>
      <c r="F2" s="13"/>
      <c r="G2" s="13"/>
      <c r="H2" s="13"/>
    </row>
    <row r="3" spans="1:8" ht="75" customHeight="1" x14ac:dyDescent="0.25">
      <c r="A3" s="14" t="s">
        <v>286</v>
      </c>
      <c r="B3" s="14" t="s">
        <v>287</v>
      </c>
      <c r="C3" s="15" t="s">
        <v>288</v>
      </c>
      <c r="D3" s="16" t="s">
        <v>289</v>
      </c>
      <c r="E3" s="22">
        <v>1</v>
      </c>
      <c r="F3" s="18" t="s">
        <v>45</v>
      </c>
      <c r="G3" s="16" t="s">
        <v>290</v>
      </c>
      <c r="H3" s="16" t="s">
        <v>291</v>
      </c>
    </row>
    <row r="4" spans="1:8" ht="105" customHeight="1" x14ac:dyDescent="0.25">
      <c r="A4" s="19" t="s">
        <v>286</v>
      </c>
      <c r="B4" s="19" t="s">
        <v>287</v>
      </c>
      <c r="C4" s="20" t="s">
        <v>292</v>
      </c>
      <c r="D4" s="21" t="s">
        <v>293</v>
      </c>
      <c r="E4" s="17">
        <v>2</v>
      </c>
      <c r="F4" s="18" t="s">
        <v>49</v>
      </c>
      <c r="G4" s="21" t="s">
        <v>294</v>
      </c>
      <c r="H4" s="21" t="s">
        <v>295</v>
      </c>
    </row>
    <row r="5" spans="1:8" ht="75" customHeight="1" x14ac:dyDescent="0.25">
      <c r="A5" s="14" t="s">
        <v>286</v>
      </c>
      <c r="B5" s="14" t="s">
        <v>287</v>
      </c>
      <c r="C5" s="15" t="s">
        <v>296</v>
      </c>
      <c r="D5" s="16" t="s">
        <v>297</v>
      </c>
      <c r="E5" s="17">
        <v>2</v>
      </c>
      <c r="F5" s="18" t="s">
        <v>49</v>
      </c>
      <c r="G5" s="16" t="s">
        <v>298</v>
      </c>
      <c r="H5" s="16" t="s">
        <v>299</v>
      </c>
    </row>
    <row r="6" spans="1:8" ht="30" customHeight="1" x14ac:dyDescent="0.25">
      <c r="A6" s="19" t="s">
        <v>286</v>
      </c>
      <c r="B6" s="19" t="s">
        <v>287</v>
      </c>
      <c r="C6" s="20" t="s">
        <v>300</v>
      </c>
      <c r="D6" s="21" t="s">
        <v>301</v>
      </c>
      <c r="E6" s="23">
        <v>3</v>
      </c>
      <c r="F6" s="18" t="s">
        <v>54</v>
      </c>
      <c r="G6" s="21"/>
      <c r="H6" s="21"/>
    </row>
    <row r="7" spans="1:8" ht="30" customHeight="1" x14ac:dyDescent="0.25">
      <c r="A7" s="14" t="s">
        <v>286</v>
      </c>
      <c r="B7" s="14" t="s">
        <v>287</v>
      </c>
      <c r="C7" s="15" t="s">
        <v>302</v>
      </c>
      <c r="D7" s="16" t="s">
        <v>303</v>
      </c>
      <c r="E7" s="23">
        <v>3</v>
      </c>
      <c r="F7" s="18" t="s">
        <v>54</v>
      </c>
      <c r="G7" s="16"/>
      <c r="H7" s="16"/>
    </row>
    <row r="8" spans="1:8" ht="18" customHeight="1" x14ac:dyDescent="0.25">
      <c r="A8" s="13" t="s">
        <v>304</v>
      </c>
      <c r="B8" s="13" t="s">
        <v>305</v>
      </c>
      <c r="C8" s="13"/>
      <c r="D8" s="13"/>
      <c r="E8" s="13"/>
      <c r="F8" s="13"/>
      <c r="G8" s="13"/>
      <c r="H8" s="13"/>
    </row>
    <row r="9" spans="1:8" ht="30" customHeight="1" x14ac:dyDescent="0.25">
      <c r="A9" s="14" t="s">
        <v>304</v>
      </c>
      <c r="B9" s="14" t="s">
        <v>305</v>
      </c>
      <c r="C9" s="15" t="s">
        <v>306</v>
      </c>
      <c r="D9" s="16" t="s">
        <v>307</v>
      </c>
      <c r="E9" s="17">
        <v>2</v>
      </c>
      <c r="F9" s="18" t="s">
        <v>45</v>
      </c>
      <c r="G9" s="16" t="s">
        <v>308</v>
      </c>
      <c r="H9" s="16" t="s">
        <v>309</v>
      </c>
    </row>
    <row r="10" spans="1:8" ht="30" customHeight="1" x14ac:dyDescent="0.25">
      <c r="A10" s="19" t="s">
        <v>304</v>
      </c>
      <c r="B10" s="19" t="s">
        <v>305</v>
      </c>
      <c r="C10" s="20" t="s">
        <v>310</v>
      </c>
      <c r="D10" s="21" t="s">
        <v>311</v>
      </c>
      <c r="E10" s="23">
        <v>3</v>
      </c>
      <c r="F10" s="18" t="s">
        <v>54</v>
      </c>
      <c r="G10" s="21"/>
      <c r="H10" s="21"/>
    </row>
    <row r="11" spans="1:8" ht="30" customHeight="1" x14ac:dyDescent="0.25">
      <c r="A11" s="14" t="s">
        <v>304</v>
      </c>
      <c r="B11" s="14" t="s">
        <v>305</v>
      </c>
      <c r="C11" s="15" t="s">
        <v>312</v>
      </c>
      <c r="D11" s="16" t="s">
        <v>313</v>
      </c>
      <c r="E11" s="23">
        <v>3</v>
      </c>
      <c r="F11" s="18" t="s">
        <v>54</v>
      </c>
      <c r="G11" s="16"/>
      <c r="H11" s="16"/>
    </row>
    <row r="12" spans="1:8" ht="30" customHeight="1" x14ac:dyDescent="0.25">
      <c r="A12" s="19" t="s">
        <v>304</v>
      </c>
      <c r="B12" s="19" t="s">
        <v>305</v>
      </c>
      <c r="C12" s="20" t="s">
        <v>314</v>
      </c>
      <c r="D12" s="21" t="s">
        <v>315</v>
      </c>
      <c r="E12" s="23">
        <v>3</v>
      </c>
      <c r="F12" s="18" t="s">
        <v>54</v>
      </c>
      <c r="G12" s="21"/>
      <c r="H12" s="21"/>
    </row>
    <row r="13" spans="1:8" ht="30" customHeight="1" x14ac:dyDescent="0.25">
      <c r="A13" s="14" t="s">
        <v>304</v>
      </c>
      <c r="B13" s="14" t="s">
        <v>305</v>
      </c>
      <c r="C13" s="15" t="s">
        <v>316</v>
      </c>
      <c r="D13" s="16" t="s">
        <v>317</v>
      </c>
      <c r="E13" s="23">
        <v>3</v>
      </c>
      <c r="F13" s="18" t="s">
        <v>54</v>
      </c>
      <c r="G13" s="16"/>
      <c r="H13" s="16"/>
    </row>
    <row r="14" spans="1:8" ht="18" customHeight="1" x14ac:dyDescent="0.25">
      <c r="A14" s="13" t="s">
        <v>318</v>
      </c>
      <c r="B14" s="13" t="s">
        <v>319</v>
      </c>
      <c r="C14" s="13"/>
      <c r="D14" s="13"/>
      <c r="E14" s="13"/>
      <c r="F14" s="13"/>
      <c r="G14" s="13"/>
      <c r="H14" s="13"/>
    </row>
    <row r="15" spans="1:8" ht="60" customHeight="1" x14ac:dyDescent="0.25">
      <c r="A15" s="14" t="s">
        <v>318</v>
      </c>
      <c r="B15" s="14" t="s">
        <v>319</v>
      </c>
      <c r="C15" s="15" t="s">
        <v>320</v>
      </c>
      <c r="D15" s="16" t="s">
        <v>321</v>
      </c>
      <c r="E15" s="17">
        <v>2</v>
      </c>
      <c r="F15" s="18" t="s">
        <v>54</v>
      </c>
      <c r="G15" s="16" t="s">
        <v>322</v>
      </c>
      <c r="H15" s="16"/>
    </row>
    <row r="16" spans="1:8" ht="30" customHeight="1" x14ac:dyDescent="0.25">
      <c r="A16" s="19" t="s">
        <v>318</v>
      </c>
      <c r="B16" s="19" t="s">
        <v>319</v>
      </c>
      <c r="C16" s="20" t="s">
        <v>323</v>
      </c>
      <c r="D16" s="21" t="s">
        <v>324</v>
      </c>
      <c r="E16" s="17">
        <v>2</v>
      </c>
      <c r="F16" s="18" t="s">
        <v>54</v>
      </c>
      <c r="G16" s="21" t="s">
        <v>325</v>
      </c>
      <c r="H16" s="21"/>
    </row>
    <row r="17" spans="1:8" ht="18" customHeight="1" x14ac:dyDescent="0.25">
      <c r="A17" s="13" t="s">
        <v>326</v>
      </c>
      <c r="B17" s="13" t="s">
        <v>327</v>
      </c>
      <c r="C17" s="13"/>
      <c r="D17" s="13"/>
      <c r="E17" s="13"/>
      <c r="F17" s="13"/>
      <c r="G17" s="13"/>
      <c r="H17" s="13"/>
    </row>
    <row r="18" spans="1:8" ht="30" customHeight="1" x14ac:dyDescent="0.25">
      <c r="A18" s="14" t="s">
        <v>326</v>
      </c>
      <c r="B18" s="14" t="s">
        <v>327</v>
      </c>
      <c r="C18" s="15" t="s">
        <v>328</v>
      </c>
      <c r="D18" s="16" t="s">
        <v>329</v>
      </c>
      <c r="E18" s="22">
        <v>1</v>
      </c>
      <c r="F18" s="18" t="s">
        <v>54</v>
      </c>
      <c r="G18" s="16" t="s">
        <v>330</v>
      </c>
      <c r="H18" s="16"/>
    </row>
    <row r="19" spans="1:8" ht="30" customHeight="1" x14ac:dyDescent="0.25">
      <c r="A19" s="19" t="s">
        <v>326</v>
      </c>
      <c r="B19" s="19" t="s">
        <v>327</v>
      </c>
      <c r="C19" s="20" t="s">
        <v>331</v>
      </c>
      <c r="D19" s="21" t="s">
        <v>332</v>
      </c>
      <c r="E19" s="17">
        <v>2</v>
      </c>
      <c r="F19" s="18" t="s">
        <v>54</v>
      </c>
      <c r="G19" t="s">
        <v>333</v>
      </c>
      <c r="H19" s="21"/>
    </row>
    <row r="20" spans="1:8" ht="30" customHeight="1" x14ac:dyDescent="0.25">
      <c r="A20" s="14" t="s">
        <v>326</v>
      </c>
      <c r="B20" s="14" t="s">
        <v>327</v>
      </c>
      <c r="C20" s="15" t="s">
        <v>334</v>
      </c>
      <c r="D20" s="16" t="s">
        <v>335</v>
      </c>
      <c r="E20" s="17">
        <v>2</v>
      </c>
      <c r="F20" s="18" t="s">
        <v>54</v>
      </c>
      <c r="G20" t="s">
        <v>336</v>
      </c>
      <c r="H20" s="16"/>
    </row>
    <row r="21" spans="1:8" ht="30" customHeight="1" x14ac:dyDescent="0.25">
      <c r="A21" s="19" t="s">
        <v>326</v>
      </c>
      <c r="B21" s="19" t="s">
        <v>327</v>
      </c>
      <c r="C21" s="20" t="s">
        <v>337</v>
      </c>
      <c r="D21" s="21" t="s">
        <v>338</v>
      </c>
      <c r="E21" s="17">
        <v>2</v>
      </c>
      <c r="F21" s="18" t="s">
        <v>54</v>
      </c>
      <c r="G21" t="s">
        <v>339</v>
      </c>
      <c r="H21" s="21"/>
    </row>
  </sheetData>
  <conditionalFormatting sqref="F2:F21">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1" xr:uid="{00000000-0002-0000-04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8"/>
  <sheetViews>
    <sheetView tabSelected="1" topLeftCell="B1" zoomScale="85" zoomScaleNormal="85" workbookViewId="0">
      <pane ySplit="1" topLeftCell="A5" activePane="bottomLeft" state="frozen"/>
      <selection pane="bottomLeft" activeCell="H18" sqref="H18"/>
    </sheetView>
  </sheetViews>
  <sheetFormatPr defaultColWidth="8.5703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15" customHeight="1" x14ac:dyDescent="0.25">
      <c r="A1" s="12" t="s">
        <v>33</v>
      </c>
      <c r="B1" s="12" t="s">
        <v>34</v>
      </c>
      <c r="C1" s="12" t="s">
        <v>35</v>
      </c>
      <c r="D1" s="12" t="s">
        <v>36</v>
      </c>
      <c r="E1" s="12" t="s">
        <v>37</v>
      </c>
      <c r="F1" s="12" t="s">
        <v>38</v>
      </c>
      <c r="G1" s="12" t="s">
        <v>39</v>
      </c>
      <c r="H1" s="12" t="s">
        <v>40</v>
      </c>
    </row>
    <row r="2" spans="1:8" ht="18" customHeight="1" x14ac:dyDescent="0.25">
      <c r="A2" s="13" t="s">
        <v>340</v>
      </c>
      <c r="B2" s="13" t="s">
        <v>341</v>
      </c>
      <c r="C2" s="13"/>
      <c r="D2" s="13"/>
      <c r="E2" s="13"/>
      <c r="F2" s="13"/>
      <c r="G2" s="13"/>
      <c r="H2" s="13"/>
    </row>
    <row r="3" spans="1:8" ht="150" customHeight="1" x14ac:dyDescent="0.25">
      <c r="A3" s="14" t="s">
        <v>340</v>
      </c>
      <c r="B3" s="14" t="s">
        <v>341</v>
      </c>
      <c r="C3" s="15" t="s">
        <v>342</v>
      </c>
      <c r="D3" s="16" t="s">
        <v>343</v>
      </c>
      <c r="E3" s="17">
        <v>2</v>
      </c>
      <c r="F3" s="18" t="s">
        <v>45</v>
      </c>
      <c r="G3" s="16" t="s">
        <v>344</v>
      </c>
      <c r="H3" s="16" t="s">
        <v>1307</v>
      </c>
    </row>
    <row r="4" spans="1:8" ht="18" customHeight="1" x14ac:dyDescent="0.25">
      <c r="A4" s="13" t="s">
        <v>345</v>
      </c>
      <c r="B4" s="13" t="s">
        <v>346</v>
      </c>
      <c r="C4" s="13"/>
      <c r="D4" s="13"/>
      <c r="E4" s="13"/>
      <c r="F4" s="13"/>
      <c r="G4" s="13"/>
      <c r="H4" s="13"/>
    </row>
    <row r="5" spans="1:8" ht="30" customHeight="1" x14ac:dyDescent="0.25">
      <c r="A5" s="14" t="s">
        <v>345</v>
      </c>
      <c r="B5" s="14" t="s">
        <v>346</v>
      </c>
      <c r="C5" s="15" t="s">
        <v>347</v>
      </c>
      <c r="D5" s="16" t="s">
        <v>348</v>
      </c>
      <c r="E5" s="22">
        <v>1</v>
      </c>
      <c r="F5" s="18" t="s">
        <v>45</v>
      </c>
      <c r="G5" s="16" t="s">
        <v>349</v>
      </c>
      <c r="H5" s="16" t="s">
        <v>1308</v>
      </c>
    </row>
    <row r="6" spans="1:8" ht="150" customHeight="1" x14ac:dyDescent="0.25">
      <c r="A6" s="19" t="s">
        <v>345</v>
      </c>
      <c r="B6" s="19" t="s">
        <v>346</v>
      </c>
      <c r="C6" s="20" t="s">
        <v>350</v>
      </c>
      <c r="D6" s="21" t="s">
        <v>351</v>
      </c>
      <c r="E6" s="22">
        <v>1</v>
      </c>
      <c r="F6" s="18" t="s">
        <v>49</v>
      </c>
      <c r="G6" s="21" t="s">
        <v>1309</v>
      </c>
      <c r="H6" s="21" t="s">
        <v>1310</v>
      </c>
    </row>
    <row r="7" spans="1:8" ht="45" customHeight="1" x14ac:dyDescent="0.25">
      <c r="A7" s="14" t="s">
        <v>345</v>
      </c>
      <c r="B7" s="14" t="s">
        <v>346</v>
      </c>
      <c r="C7" s="15" t="s">
        <v>352</v>
      </c>
      <c r="D7" s="16" t="s">
        <v>353</v>
      </c>
      <c r="E7" s="17">
        <v>2</v>
      </c>
      <c r="F7" s="18" t="s">
        <v>54</v>
      </c>
      <c r="G7" s="16" t="s">
        <v>354</v>
      </c>
      <c r="H7" s="16"/>
    </row>
    <row r="8" spans="1:8" ht="30" customHeight="1" x14ac:dyDescent="0.25">
      <c r="A8" s="19" t="s">
        <v>345</v>
      </c>
      <c r="B8" s="19" t="s">
        <v>346</v>
      </c>
      <c r="C8" s="20" t="s">
        <v>355</v>
      </c>
      <c r="D8" s="21" t="s">
        <v>356</v>
      </c>
      <c r="E8" s="23">
        <v>3</v>
      </c>
      <c r="F8" s="18" t="s">
        <v>54</v>
      </c>
      <c r="G8" s="21"/>
      <c r="H8" s="21"/>
    </row>
    <row r="9" spans="1:8" ht="60" customHeight="1" x14ac:dyDescent="0.25">
      <c r="A9" s="14" t="s">
        <v>345</v>
      </c>
      <c r="B9" s="14" t="s">
        <v>346</v>
      </c>
      <c r="C9" s="15" t="s">
        <v>357</v>
      </c>
      <c r="D9" s="16" t="s">
        <v>358</v>
      </c>
      <c r="E9" s="23">
        <v>3</v>
      </c>
      <c r="F9" s="18" t="s">
        <v>54</v>
      </c>
      <c r="G9" s="16" t="s">
        <v>359</v>
      </c>
      <c r="H9" s="16"/>
    </row>
    <row r="10" spans="1:8" ht="30" customHeight="1" x14ac:dyDescent="0.25">
      <c r="A10" s="19" t="s">
        <v>345</v>
      </c>
      <c r="B10" s="19" t="s">
        <v>346</v>
      </c>
      <c r="C10" s="20" t="s">
        <v>360</v>
      </c>
      <c r="D10" s="21" t="s">
        <v>361</v>
      </c>
      <c r="E10" s="23">
        <v>3</v>
      </c>
      <c r="F10" s="18" t="s">
        <v>54</v>
      </c>
      <c r="G10" s="21"/>
      <c r="H10" s="21"/>
    </row>
    <row r="11" spans="1:8" ht="18" customHeight="1" x14ac:dyDescent="0.25">
      <c r="A11" s="13" t="s">
        <v>362</v>
      </c>
      <c r="B11" s="13" t="s">
        <v>363</v>
      </c>
      <c r="C11" s="13"/>
      <c r="D11" s="13"/>
      <c r="E11" s="13"/>
      <c r="F11" s="13"/>
      <c r="G11" s="13"/>
      <c r="H11" s="13"/>
    </row>
    <row r="12" spans="1:8" ht="30" customHeight="1" x14ac:dyDescent="0.25">
      <c r="A12" s="14" t="s">
        <v>362</v>
      </c>
      <c r="B12" s="14" t="s">
        <v>363</v>
      </c>
      <c r="C12" s="15" t="s">
        <v>364</v>
      </c>
      <c r="D12" s="16" t="s">
        <v>365</v>
      </c>
      <c r="E12" s="22">
        <v>1</v>
      </c>
      <c r="F12" s="18" t="s">
        <v>45</v>
      </c>
      <c r="G12" s="16" t="s">
        <v>1311</v>
      </c>
      <c r="H12" s="16" t="s">
        <v>1312</v>
      </c>
    </row>
    <row r="13" spans="1:8" ht="30" customHeight="1" x14ac:dyDescent="0.25">
      <c r="A13" s="19" t="s">
        <v>362</v>
      </c>
      <c r="B13" s="19" t="s">
        <v>363</v>
      </c>
      <c r="C13" s="20" t="s">
        <v>366</v>
      </c>
      <c r="D13" s="21" t="s">
        <v>367</v>
      </c>
      <c r="E13" s="22">
        <v>1</v>
      </c>
      <c r="F13" s="18" t="s">
        <v>45</v>
      </c>
      <c r="G13" s="21" t="s">
        <v>1313</v>
      </c>
      <c r="H13" s="21" t="s">
        <v>1314</v>
      </c>
    </row>
    <row r="14" spans="1:8" ht="60" customHeight="1" x14ac:dyDescent="0.25">
      <c r="A14" s="14" t="s">
        <v>362</v>
      </c>
      <c r="B14" s="14" t="s">
        <v>363</v>
      </c>
      <c r="C14" s="15" t="s">
        <v>368</v>
      </c>
      <c r="D14" s="16" t="s">
        <v>369</v>
      </c>
      <c r="E14" s="23">
        <v>3</v>
      </c>
      <c r="F14" s="18" t="s">
        <v>54</v>
      </c>
      <c r="G14" s="16" t="s">
        <v>370</v>
      </c>
      <c r="H14" s="16"/>
    </row>
    <row r="15" spans="1:8" ht="18" customHeight="1" x14ac:dyDescent="0.25">
      <c r="A15" s="13" t="s">
        <v>371</v>
      </c>
      <c r="B15" s="13" t="s">
        <v>372</v>
      </c>
      <c r="C15" s="13"/>
      <c r="D15" s="13"/>
      <c r="E15" s="13"/>
      <c r="F15" s="13"/>
      <c r="G15" s="13"/>
      <c r="H15" s="13"/>
    </row>
    <row r="16" spans="1:8" ht="30" customHeight="1" x14ac:dyDescent="0.25">
      <c r="A16" s="14" t="s">
        <v>371</v>
      </c>
      <c r="B16" s="14" t="s">
        <v>372</v>
      </c>
      <c r="C16" s="15" t="s">
        <v>373</v>
      </c>
      <c r="D16" s="16" t="s">
        <v>374</v>
      </c>
      <c r="E16" s="17">
        <v>2</v>
      </c>
      <c r="F16" s="18" t="s">
        <v>45</v>
      </c>
      <c r="G16" s="16" t="s">
        <v>1315</v>
      </c>
      <c r="H16" s="16" t="s">
        <v>1316</v>
      </c>
    </row>
    <row r="17" spans="1:8" ht="30" customHeight="1" x14ac:dyDescent="0.25">
      <c r="A17" s="19" t="s">
        <v>371</v>
      </c>
      <c r="B17" s="19" t="s">
        <v>372</v>
      </c>
      <c r="C17" s="20" t="s">
        <v>375</v>
      </c>
      <c r="D17" s="21" t="s">
        <v>376</v>
      </c>
      <c r="E17" s="17">
        <v>2</v>
      </c>
      <c r="F17" s="18" t="s">
        <v>45</v>
      </c>
      <c r="G17" s="21" t="s">
        <v>1317</v>
      </c>
      <c r="H17" s="21" t="s">
        <v>1318</v>
      </c>
    </row>
    <row r="18" spans="1:8" ht="30" customHeight="1" x14ac:dyDescent="0.25">
      <c r="A18" s="14" t="s">
        <v>371</v>
      </c>
      <c r="B18" s="14" t="s">
        <v>372</v>
      </c>
      <c r="C18" s="15" t="s">
        <v>377</v>
      </c>
      <c r="D18" s="16" t="s">
        <v>378</v>
      </c>
      <c r="E18" s="17">
        <v>2</v>
      </c>
      <c r="F18" s="18" t="s">
        <v>45</v>
      </c>
      <c r="G18" s="16" t="s">
        <v>1319</v>
      </c>
      <c r="H18" s="16" t="s">
        <v>1320</v>
      </c>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5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6"/>
  <sheetViews>
    <sheetView zoomScale="70" zoomScaleNormal="70" workbookViewId="0">
      <pane ySplit="1" topLeftCell="A2" activePane="bottomLeft" state="frozen"/>
      <selection pane="bottomLeft" activeCell="L4" sqref="L4"/>
    </sheetView>
  </sheetViews>
  <sheetFormatPr defaultColWidth="8.5703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x14ac:dyDescent="0.25">
      <c r="A1" s="12" t="s">
        <v>33</v>
      </c>
      <c r="B1" s="12" t="s">
        <v>34</v>
      </c>
      <c r="C1" s="12" t="s">
        <v>35</v>
      </c>
      <c r="D1" s="12" t="s">
        <v>36</v>
      </c>
      <c r="E1" s="12" t="s">
        <v>37</v>
      </c>
      <c r="F1" s="12" t="s">
        <v>38</v>
      </c>
      <c r="G1" s="12" t="s">
        <v>39</v>
      </c>
      <c r="H1" s="12" t="s">
        <v>40</v>
      </c>
    </row>
    <row r="2" spans="1:8" ht="18" customHeight="1" x14ac:dyDescent="0.25">
      <c r="A2" s="13" t="s">
        <v>379</v>
      </c>
      <c r="B2" s="13" t="s">
        <v>380</v>
      </c>
      <c r="C2" s="13"/>
      <c r="D2" s="13"/>
      <c r="E2" s="13"/>
      <c r="F2" s="13"/>
      <c r="G2" s="13"/>
      <c r="H2" s="13"/>
    </row>
    <row r="3" spans="1:8" ht="90" customHeight="1" x14ac:dyDescent="0.25">
      <c r="A3" s="14" t="s">
        <v>379</v>
      </c>
      <c r="B3" s="14" t="s">
        <v>380</v>
      </c>
      <c r="C3" s="15" t="s">
        <v>381</v>
      </c>
      <c r="D3" s="16" t="s">
        <v>382</v>
      </c>
      <c r="E3" s="22">
        <v>1</v>
      </c>
      <c r="F3" s="18" t="s">
        <v>45</v>
      </c>
      <c r="G3" s="16" t="s">
        <v>383</v>
      </c>
      <c r="H3" s="16" t="s">
        <v>384</v>
      </c>
    </row>
    <row r="4" spans="1:8" ht="75" customHeight="1" x14ac:dyDescent="0.25">
      <c r="A4" s="19" t="s">
        <v>379</v>
      </c>
      <c r="B4" s="19" t="s">
        <v>380</v>
      </c>
      <c r="C4" s="20" t="s">
        <v>385</v>
      </c>
      <c r="D4" s="21" t="s">
        <v>386</v>
      </c>
      <c r="E4" s="17">
        <v>2</v>
      </c>
      <c r="F4" s="18" t="s">
        <v>45</v>
      </c>
      <c r="G4" s="21" t="s">
        <v>387</v>
      </c>
      <c r="H4" s="21" t="s">
        <v>388</v>
      </c>
    </row>
    <row r="5" spans="1:8" ht="120" customHeight="1" x14ac:dyDescent="0.25">
      <c r="A5" s="14" t="s">
        <v>379</v>
      </c>
      <c r="B5" s="14" t="s">
        <v>380</v>
      </c>
      <c r="C5" s="15" t="s">
        <v>389</v>
      </c>
      <c r="D5" s="16" t="s">
        <v>390</v>
      </c>
      <c r="E5" s="17">
        <v>2</v>
      </c>
      <c r="F5" s="18" t="s">
        <v>45</v>
      </c>
      <c r="G5" s="16" t="s">
        <v>391</v>
      </c>
      <c r="H5" s="16" t="s">
        <v>392</v>
      </c>
    </row>
    <row r="6" spans="1:8" ht="18" customHeight="1" x14ac:dyDescent="0.25">
      <c r="A6" s="13" t="s">
        <v>393</v>
      </c>
      <c r="B6" s="13" t="s">
        <v>394</v>
      </c>
      <c r="C6" s="13"/>
      <c r="D6" s="13"/>
      <c r="E6" s="13"/>
      <c r="F6" s="13"/>
      <c r="G6" s="13"/>
      <c r="H6" s="13"/>
    </row>
    <row r="7" spans="1:8" ht="60" customHeight="1" x14ac:dyDescent="0.25">
      <c r="A7" s="14" t="s">
        <v>393</v>
      </c>
      <c r="B7" s="14" t="s">
        <v>394</v>
      </c>
      <c r="C7" s="15" t="s">
        <v>395</v>
      </c>
      <c r="D7" s="16" t="s">
        <v>396</v>
      </c>
      <c r="E7" s="22">
        <v>1</v>
      </c>
      <c r="F7" s="18" t="s">
        <v>45</v>
      </c>
      <c r="G7" s="16" t="s">
        <v>397</v>
      </c>
      <c r="H7" s="16" t="s">
        <v>398</v>
      </c>
    </row>
    <row r="8" spans="1:8" ht="60" customHeight="1" x14ac:dyDescent="0.25">
      <c r="A8" s="19" t="s">
        <v>393</v>
      </c>
      <c r="B8" s="19" t="s">
        <v>394</v>
      </c>
      <c r="C8" s="20" t="s">
        <v>399</v>
      </c>
      <c r="D8" s="21" t="s">
        <v>400</v>
      </c>
      <c r="E8" s="22">
        <v>1</v>
      </c>
      <c r="F8" s="18" t="s">
        <v>45</v>
      </c>
      <c r="G8" s="21" t="s">
        <v>401</v>
      </c>
      <c r="H8" s="21" t="s">
        <v>402</v>
      </c>
    </row>
    <row r="9" spans="1:8" ht="60" customHeight="1" x14ac:dyDescent="0.25">
      <c r="A9" s="14" t="s">
        <v>393</v>
      </c>
      <c r="B9" s="14" t="s">
        <v>394</v>
      </c>
      <c r="C9" s="15" t="s">
        <v>403</v>
      </c>
      <c r="D9" s="16" t="s">
        <v>404</v>
      </c>
      <c r="E9" s="22">
        <v>1</v>
      </c>
      <c r="F9" s="18" t="s">
        <v>45</v>
      </c>
      <c r="G9" s="16" t="s">
        <v>405</v>
      </c>
      <c r="H9" s="16" t="s">
        <v>406</v>
      </c>
    </row>
    <row r="10" spans="1:8" ht="105" customHeight="1" x14ac:dyDescent="0.25">
      <c r="A10" s="19" t="s">
        <v>393</v>
      </c>
      <c r="B10" s="19" t="s">
        <v>394</v>
      </c>
      <c r="C10" s="20" t="s">
        <v>407</v>
      </c>
      <c r="D10" s="21" t="s">
        <v>408</v>
      </c>
      <c r="E10" s="22">
        <v>1</v>
      </c>
      <c r="F10" s="18" t="s">
        <v>45</v>
      </c>
      <c r="G10" s="21" t="s">
        <v>409</v>
      </c>
      <c r="H10" s="21" t="s">
        <v>410</v>
      </c>
    </row>
    <row r="11" spans="1:8" ht="90" customHeight="1" x14ac:dyDescent="0.25">
      <c r="A11" s="14" t="s">
        <v>393</v>
      </c>
      <c r="B11" s="14" t="s">
        <v>394</v>
      </c>
      <c r="C11" s="15" t="s">
        <v>411</v>
      </c>
      <c r="D11" s="16" t="s">
        <v>412</v>
      </c>
      <c r="E11" s="22">
        <v>1</v>
      </c>
      <c r="F11" s="18" t="s">
        <v>45</v>
      </c>
      <c r="G11" s="16" t="s">
        <v>413</v>
      </c>
      <c r="H11" s="16" t="s">
        <v>414</v>
      </c>
    </row>
    <row r="12" spans="1:8" ht="60" customHeight="1" x14ac:dyDescent="0.25">
      <c r="A12" s="19" t="s">
        <v>393</v>
      </c>
      <c r="B12" s="19" t="s">
        <v>394</v>
      </c>
      <c r="C12" s="20" t="s">
        <v>415</v>
      </c>
      <c r="D12" s="21" t="s">
        <v>416</v>
      </c>
      <c r="E12" s="22">
        <v>1</v>
      </c>
      <c r="F12" s="18" t="s">
        <v>54</v>
      </c>
      <c r="G12" s="21" t="s">
        <v>417</v>
      </c>
      <c r="H12" s="21"/>
    </row>
    <row r="13" spans="1:8" ht="60" customHeight="1" x14ac:dyDescent="0.25">
      <c r="A13" s="14" t="s">
        <v>393</v>
      </c>
      <c r="B13" s="14" t="s">
        <v>394</v>
      </c>
      <c r="C13" s="15" t="s">
        <v>418</v>
      </c>
      <c r="D13" s="16" t="s">
        <v>419</v>
      </c>
      <c r="E13" s="22">
        <v>1</v>
      </c>
      <c r="F13" s="18" t="s">
        <v>54</v>
      </c>
      <c r="G13" s="16" t="s">
        <v>420</v>
      </c>
      <c r="H13" s="16"/>
    </row>
    <row r="14" spans="1:8" ht="75" customHeight="1" x14ac:dyDescent="0.25">
      <c r="A14" s="19" t="s">
        <v>393</v>
      </c>
      <c r="B14" s="19" t="s">
        <v>394</v>
      </c>
      <c r="C14" s="20" t="s">
        <v>421</v>
      </c>
      <c r="D14" s="21" t="s">
        <v>422</v>
      </c>
      <c r="E14" s="22">
        <v>1</v>
      </c>
      <c r="F14" s="18" t="s">
        <v>45</v>
      </c>
      <c r="G14" s="21" t="s">
        <v>423</v>
      </c>
      <c r="H14" s="21" t="s">
        <v>424</v>
      </c>
    </row>
    <row r="15" spans="1:8" ht="60" customHeight="1" x14ac:dyDescent="0.25">
      <c r="A15" s="14" t="s">
        <v>393</v>
      </c>
      <c r="B15" s="14" t="s">
        <v>394</v>
      </c>
      <c r="C15" s="15" t="s">
        <v>425</v>
      </c>
      <c r="D15" s="16" t="s">
        <v>426</v>
      </c>
      <c r="E15" s="17">
        <v>2</v>
      </c>
      <c r="F15" s="18" t="s">
        <v>45</v>
      </c>
      <c r="G15" s="16" t="s">
        <v>427</v>
      </c>
      <c r="H15" s="16" t="s">
        <v>428</v>
      </c>
    </row>
    <row r="16" spans="1:8" ht="60" customHeight="1" x14ac:dyDescent="0.25">
      <c r="A16" s="19" t="s">
        <v>393</v>
      </c>
      <c r="B16" s="19" t="s">
        <v>394</v>
      </c>
      <c r="C16" s="20" t="s">
        <v>429</v>
      </c>
      <c r="D16" s="21" t="s">
        <v>430</v>
      </c>
      <c r="E16" s="17">
        <v>2</v>
      </c>
      <c r="F16" s="18" t="s">
        <v>45</v>
      </c>
      <c r="G16" s="21" t="s">
        <v>431</v>
      </c>
      <c r="H16" s="21" t="s">
        <v>432</v>
      </c>
    </row>
    <row r="17" spans="1:8" ht="90" customHeight="1" x14ac:dyDescent="0.25">
      <c r="A17" s="14" t="s">
        <v>393</v>
      </c>
      <c r="B17" s="14" t="s">
        <v>394</v>
      </c>
      <c r="C17" s="15" t="s">
        <v>433</v>
      </c>
      <c r="D17" s="16" t="s">
        <v>434</v>
      </c>
      <c r="E17" s="17">
        <v>2</v>
      </c>
      <c r="F17" s="18" t="s">
        <v>45</v>
      </c>
      <c r="G17" s="16" t="s">
        <v>435</v>
      </c>
      <c r="H17" s="16" t="s">
        <v>436</v>
      </c>
    </row>
    <row r="18" spans="1:8" ht="105" customHeight="1" x14ac:dyDescent="0.25">
      <c r="A18" s="19" t="s">
        <v>393</v>
      </c>
      <c r="B18" s="19" t="s">
        <v>394</v>
      </c>
      <c r="C18" s="20" t="s">
        <v>437</v>
      </c>
      <c r="D18" s="21" t="s">
        <v>438</v>
      </c>
      <c r="E18" s="17">
        <v>2</v>
      </c>
      <c r="F18" s="18" t="s">
        <v>45</v>
      </c>
      <c r="G18" s="21" t="s">
        <v>439</v>
      </c>
      <c r="H18" s="21" t="s">
        <v>440</v>
      </c>
    </row>
    <row r="19" spans="1:8" ht="18" customHeight="1" x14ac:dyDescent="0.25">
      <c r="A19" s="13" t="s">
        <v>441</v>
      </c>
      <c r="B19" s="13" t="s">
        <v>442</v>
      </c>
      <c r="C19" s="13"/>
      <c r="D19" s="13"/>
      <c r="E19" s="13"/>
      <c r="F19" s="13"/>
      <c r="G19" s="13"/>
      <c r="H19" s="13"/>
    </row>
    <row r="20" spans="1:8" ht="75" customHeight="1" x14ac:dyDescent="0.25">
      <c r="A20" s="14" t="s">
        <v>441</v>
      </c>
      <c r="B20" s="14" t="s">
        <v>442</v>
      </c>
      <c r="C20" s="15" t="s">
        <v>443</v>
      </c>
      <c r="D20" s="16" t="s">
        <v>444</v>
      </c>
      <c r="E20" s="22">
        <v>1</v>
      </c>
      <c r="F20" s="18" t="s">
        <v>45</v>
      </c>
      <c r="G20" s="16" t="s">
        <v>445</v>
      </c>
      <c r="H20" s="16" t="s">
        <v>446</v>
      </c>
    </row>
    <row r="21" spans="1:8" ht="105" customHeight="1" x14ac:dyDescent="0.25">
      <c r="A21" s="19" t="s">
        <v>441</v>
      </c>
      <c r="B21" s="19" t="s">
        <v>442</v>
      </c>
      <c r="C21" s="20" t="s">
        <v>447</v>
      </c>
      <c r="D21" s="21" t="s">
        <v>448</v>
      </c>
      <c r="E21" s="22">
        <v>1</v>
      </c>
      <c r="F21" s="18" t="s">
        <v>45</v>
      </c>
      <c r="G21" s="21" t="s">
        <v>449</v>
      </c>
      <c r="H21" s="21" t="s">
        <v>450</v>
      </c>
    </row>
    <row r="22" spans="1:8" ht="165" customHeight="1" x14ac:dyDescent="0.25">
      <c r="A22" s="14" t="s">
        <v>441</v>
      </c>
      <c r="B22" s="14" t="s">
        <v>442</v>
      </c>
      <c r="C22" s="15" t="s">
        <v>451</v>
      </c>
      <c r="D22" s="16" t="s">
        <v>452</v>
      </c>
      <c r="E22" s="17">
        <v>2</v>
      </c>
      <c r="F22" s="18" t="s">
        <v>45</v>
      </c>
      <c r="G22" s="16" t="s">
        <v>453</v>
      </c>
      <c r="H22" s="16" t="s">
        <v>454</v>
      </c>
    </row>
    <row r="23" spans="1:8" ht="75" customHeight="1" x14ac:dyDescent="0.25">
      <c r="A23" s="19" t="s">
        <v>441</v>
      </c>
      <c r="B23" s="19" t="s">
        <v>442</v>
      </c>
      <c r="C23" s="20" t="s">
        <v>455</v>
      </c>
      <c r="D23" s="21" t="s">
        <v>456</v>
      </c>
      <c r="E23" s="17">
        <v>2</v>
      </c>
      <c r="F23" s="18" t="s">
        <v>45</v>
      </c>
      <c r="G23" s="21" t="s">
        <v>457</v>
      </c>
      <c r="H23" s="21" t="s">
        <v>458</v>
      </c>
    </row>
    <row r="24" spans="1:8" ht="30" customHeight="1" x14ac:dyDescent="0.25">
      <c r="A24" s="14" t="s">
        <v>441</v>
      </c>
      <c r="B24" s="14" t="s">
        <v>442</v>
      </c>
      <c r="C24" s="15" t="s">
        <v>459</v>
      </c>
      <c r="D24" s="16" t="s">
        <v>460</v>
      </c>
      <c r="E24" s="23">
        <v>3</v>
      </c>
      <c r="F24" s="18" t="s">
        <v>54</v>
      </c>
      <c r="G24" s="16"/>
      <c r="H24" s="16"/>
    </row>
    <row r="25" spans="1:8" ht="30" customHeight="1" x14ac:dyDescent="0.25">
      <c r="A25" s="19" t="s">
        <v>441</v>
      </c>
      <c r="B25" s="19" t="s">
        <v>442</v>
      </c>
      <c r="C25" s="20" t="s">
        <v>461</v>
      </c>
      <c r="D25" s="21" t="s">
        <v>462</v>
      </c>
      <c r="E25" s="23">
        <v>3</v>
      </c>
      <c r="F25" s="18" t="s">
        <v>54</v>
      </c>
      <c r="G25" s="21"/>
      <c r="H25" s="21"/>
    </row>
    <row r="26" spans="1:8" ht="30" customHeight="1" x14ac:dyDescent="0.25">
      <c r="A26" s="14" t="s">
        <v>441</v>
      </c>
      <c r="B26" s="14" t="s">
        <v>442</v>
      </c>
      <c r="C26" s="15" t="s">
        <v>463</v>
      </c>
      <c r="D26" s="16" t="s">
        <v>464</v>
      </c>
      <c r="E26" s="23">
        <v>3</v>
      </c>
      <c r="F26" s="18" t="s">
        <v>54</v>
      </c>
      <c r="G26" s="16"/>
      <c r="H26" s="16"/>
    </row>
    <row r="27" spans="1:8" ht="30" customHeight="1" x14ac:dyDescent="0.25">
      <c r="A27" s="19" t="s">
        <v>441</v>
      </c>
      <c r="B27" s="19" t="s">
        <v>442</v>
      </c>
      <c r="C27" s="20" t="s">
        <v>465</v>
      </c>
      <c r="D27" s="21" t="s">
        <v>466</v>
      </c>
      <c r="E27" s="23">
        <v>3</v>
      </c>
      <c r="F27" s="18" t="s">
        <v>54</v>
      </c>
      <c r="G27" s="21"/>
      <c r="H27" s="21"/>
    </row>
    <row r="28" spans="1:8" ht="18" customHeight="1" x14ac:dyDescent="0.25">
      <c r="A28" s="13" t="s">
        <v>467</v>
      </c>
      <c r="B28" s="13" t="s">
        <v>468</v>
      </c>
      <c r="C28" s="13"/>
      <c r="D28" s="13"/>
      <c r="E28" s="13"/>
      <c r="F28" s="13"/>
      <c r="G28" s="13"/>
      <c r="H28" s="13"/>
    </row>
    <row r="29" spans="1:8" ht="90" customHeight="1" x14ac:dyDescent="0.25">
      <c r="A29" s="14" t="s">
        <v>467</v>
      </c>
      <c r="B29" s="14" t="s">
        <v>468</v>
      </c>
      <c r="C29" s="15" t="s">
        <v>469</v>
      </c>
      <c r="D29" s="16" t="s">
        <v>470</v>
      </c>
      <c r="E29" s="22">
        <v>1</v>
      </c>
      <c r="F29" s="18" t="s">
        <v>45</v>
      </c>
      <c r="G29" s="16" t="s">
        <v>471</v>
      </c>
      <c r="H29" s="16" t="s">
        <v>472</v>
      </c>
    </row>
    <row r="30" spans="1:8" ht="90" customHeight="1" x14ac:dyDescent="0.25">
      <c r="A30" s="19" t="s">
        <v>467</v>
      </c>
      <c r="B30" s="19" t="s">
        <v>468</v>
      </c>
      <c r="C30" s="20" t="s">
        <v>473</v>
      </c>
      <c r="D30" s="21" t="s">
        <v>474</v>
      </c>
      <c r="E30" s="22">
        <v>1</v>
      </c>
      <c r="F30" s="18" t="s">
        <v>45</v>
      </c>
      <c r="G30" s="21" t="s">
        <v>475</v>
      </c>
      <c r="H30" s="21" t="s">
        <v>476</v>
      </c>
    </row>
    <row r="31" spans="1:8" ht="90" customHeight="1" x14ac:dyDescent="0.25">
      <c r="A31" s="14" t="s">
        <v>467</v>
      </c>
      <c r="B31" s="14" t="s">
        <v>468</v>
      </c>
      <c r="C31" s="15" t="s">
        <v>477</v>
      </c>
      <c r="D31" s="16" t="s">
        <v>478</v>
      </c>
      <c r="E31" s="17">
        <v>2</v>
      </c>
      <c r="F31" s="18" t="s">
        <v>45</v>
      </c>
      <c r="G31" s="16" t="s">
        <v>479</v>
      </c>
      <c r="H31" s="16" t="s">
        <v>480</v>
      </c>
    </row>
    <row r="32" spans="1:8" ht="60" customHeight="1" x14ac:dyDescent="0.25">
      <c r="A32" s="19" t="s">
        <v>467</v>
      </c>
      <c r="B32" s="19" t="s">
        <v>468</v>
      </c>
      <c r="C32" s="20" t="s">
        <v>481</v>
      </c>
      <c r="D32" s="21" t="s">
        <v>482</v>
      </c>
      <c r="E32" s="17">
        <v>2</v>
      </c>
      <c r="F32" s="18" t="s">
        <v>45</v>
      </c>
      <c r="G32" s="21" t="s">
        <v>483</v>
      </c>
      <c r="H32" s="21" t="s">
        <v>484</v>
      </c>
    </row>
    <row r="33" spans="1:8" ht="30" customHeight="1" x14ac:dyDescent="0.25">
      <c r="A33" s="14" t="s">
        <v>467</v>
      </c>
      <c r="B33" s="14" t="s">
        <v>468</v>
      </c>
      <c r="C33" s="15" t="s">
        <v>485</v>
      </c>
      <c r="D33" s="16" t="s">
        <v>486</v>
      </c>
      <c r="E33" s="23">
        <v>3</v>
      </c>
      <c r="F33" s="18" t="s">
        <v>54</v>
      </c>
      <c r="G33" s="16"/>
      <c r="H33" s="16"/>
    </row>
    <row r="34" spans="1:8" ht="30" customHeight="1" x14ac:dyDescent="0.25">
      <c r="A34" s="19" t="s">
        <v>467</v>
      </c>
      <c r="B34" s="19" t="s">
        <v>468</v>
      </c>
      <c r="C34" s="20" t="s">
        <v>487</v>
      </c>
      <c r="D34" s="21" t="s">
        <v>488</v>
      </c>
      <c r="E34" s="23">
        <v>3</v>
      </c>
      <c r="F34" s="18" t="s">
        <v>54</v>
      </c>
      <c r="G34" s="21"/>
      <c r="H34" s="21"/>
    </row>
    <row r="35" spans="1:8" ht="18" customHeight="1" x14ac:dyDescent="0.25">
      <c r="A35" s="13" t="s">
        <v>489</v>
      </c>
      <c r="B35" s="13" t="s">
        <v>490</v>
      </c>
      <c r="C35" s="13"/>
      <c r="D35" s="13"/>
      <c r="E35" s="13"/>
      <c r="F35" s="13"/>
      <c r="G35" s="13"/>
      <c r="H35" s="13"/>
    </row>
    <row r="36" spans="1:8" ht="75" customHeight="1" x14ac:dyDescent="0.25">
      <c r="A36" s="14" t="s">
        <v>489</v>
      </c>
      <c r="B36" s="14" t="s">
        <v>490</v>
      </c>
      <c r="C36" s="15" t="s">
        <v>491</v>
      </c>
      <c r="D36" s="16" t="s">
        <v>492</v>
      </c>
      <c r="E36" s="17">
        <v>2</v>
      </c>
      <c r="F36" s="18" t="s">
        <v>45</v>
      </c>
      <c r="G36" s="16" t="s">
        <v>493</v>
      </c>
      <c r="H36" s="16" t="s">
        <v>494</v>
      </c>
    </row>
    <row r="37" spans="1:8" ht="90" customHeight="1" x14ac:dyDescent="0.25">
      <c r="A37" s="19" t="s">
        <v>489</v>
      </c>
      <c r="B37" s="19" t="s">
        <v>490</v>
      </c>
      <c r="C37" s="20" t="s">
        <v>495</v>
      </c>
      <c r="D37" s="21" t="s">
        <v>496</v>
      </c>
      <c r="E37" s="17">
        <v>2</v>
      </c>
      <c r="F37" s="18" t="s">
        <v>45</v>
      </c>
      <c r="G37" s="21" t="s">
        <v>497</v>
      </c>
      <c r="H37" s="21" t="s">
        <v>498</v>
      </c>
    </row>
    <row r="38" spans="1:8" ht="105" customHeight="1" x14ac:dyDescent="0.25">
      <c r="A38" s="14" t="s">
        <v>489</v>
      </c>
      <c r="B38" s="14" t="s">
        <v>490</v>
      </c>
      <c r="C38" s="15" t="s">
        <v>499</v>
      </c>
      <c r="D38" s="16" t="s">
        <v>500</v>
      </c>
      <c r="E38" s="17">
        <v>2</v>
      </c>
      <c r="F38" s="18" t="s">
        <v>45</v>
      </c>
      <c r="G38" s="16" t="s">
        <v>501</v>
      </c>
      <c r="H38" s="16" t="s">
        <v>502</v>
      </c>
    </row>
    <row r="39" spans="1:8" ht="105" customHeight="1" x14ac:dyDescent="0.25">
      <c r="A39" s="19" t="s">
        <v>489</v>
      </c>
      <c r="B39" s="19" t="s">
        <v>490</v>
      </c>
      <c r="C39" s="20" t="s">
        <v>503</v>
      </c>
      <c r="D39" s="21" t="s">
        <v>504</v>
      </c>
      <c r="E39" s="17">
        <v>2</v>
      </c>
      <c r="F39" s="18" t="s">
        <v>45</v>
      </c>
      <c r="G39" s="21" t="s">
        <v>505</v>
      </c>
      <c r="H39" s="21" t="s">
        <v>506</v>
      </c>
    </row>
    <row r="40" spans="1:8" ht="75" customHeight="1" x14ac:dyDescent="0.25">
      <c r="A40" s="14" t="s">
        <v>489</v>
      </c>
      <c r="B40" s="14" t="s">
        <v>490</v>
      </c>
      <c r="C40" s="15" t="s">
        <v>507</v>
      </c>
      <c r="D40" s="16" t="s">
        <v>508</v>
      </c>
      <c r="E40" s="17">
        <v>2</v>
      </c>
      <c r="F40" s="18" t="s">
        <v>45</v>
      </c>
      <c r="G40" s="16" t="s">
        <v>509</v>
      </c>
      <c r="H40" s="16" t="s">
        <v>510</v>
      </c>
    </row>
    <row r="41" spans="1:8" ht="30" customHeight="1" x14ac:dyDescent="0.25">
      <c r="A41" s="19" t="s">
        <v>489</v>
      </c>
      <c r="B41" s="19" t="s">
        <v>490</v>
      </c>
      <c r="C41" s="20" t="s">
        <v>511</v>
      </c>
      <c r="D41" s="21" t="s">
        <v>512</v>
      </c>
      <c r="E41" s="23">
        <v>3</v>
      </c>
      <c r="F41" s="18" t="s">
        <v>54</v>
      </c>
      <c r="G41" s="21"/>
      <c r="H41" s="21"/>
    </row>
    <row r="42" spans="1:8" ht="30" customHeight="1" x14ac:dyDescent="0.25">
      <c r="A42" s="14" t="s">
        <v>489</v>
      </c>
      <c r="B42" s="14" t="s">
        <v>490</v>
      </c>
      <c r="C42" s="15" t="s">
        <v>513</v>
      </c>
      <c r="D42" s="16" t="s">
        <v>514</v>
      </c>
      <c r="E42" s="23">
        <v>3</v>
      </c>
      <c r="F42" s="18" t="s">
        <v>54</v>
      </c>
      <c r="G42" s="16"/>
      <c r="H42" s="16"/>
    </row>
    <row r="43" spans="1:8" ht="30" customHeight="1" x14ac:dyDescent="0.25">
      <c r="A43" s="19" t="s">
        <v>489</v>
      </c>
      <c r="B43" s="19" t="s">
        <v>490</v>
      </c>
      <c r="C43" s="20" t="s">
        <v>515</v>
      </c>
      <c r="D43" s="21" t="s">
        <v>516</v>
      </c>
      <c r="E43" s="23">
        <v>3</v>
      </c>
      <c r="F43" s="18" t="s">
        <v>54</v>
      </c>
      <c r="G43" s="21"/>
      <c r="H43" s="21"/>
    </row>
    <row r="44" spans="1:8" ht="18" customHeight="1" x14ac:dyDescent="0.25">
      <c r="A44" s="13" t="s">
        <v>517</v>
      </c>
      <c r="B44" s="13" t="s">
        <v>518</v>
      </c>
      <c r="C44" s="13"/>
      <c r="D44" s="13"/>
      <c r="E44" s="13"/>
      <c r="F44" s="13"/>
      <c r="G44" s="13"/>
      <c r="H44" s="13"/>
    </row>
    <row r="45" spans="1:8" ht="30" customHeight="1" x14ac:dyDescent="0.25">
      <c r="A45" s="14" t="s">
        <v>517</v>
      </c>
      <c r="B45" s="14" t="s">
        <v>518</v>
      </c>
      <c r="C45" s="15" t="s">
        <v>519</v>
      </c>
      <c r="D45" s="16" t="s">
        <v>520</v>
      </c>
      <c r="E45" s="17">
        <v>2</v>
      </c>
      <c r="F45" s="18" t="s">
        <v>54</v>
      </c>
      <c r="G45" s="16" t="s">
        <v>521</v>
      </c>
      <c r="H45" s="16"/>
    </row>
    <row r="46" spans="1:8" ht="30" customHeight="1" x14ac:dyDescent="0.25">
      <c r="A46" s="19" t="s">
        <v>517</v>
      </c>
      <c r="B46" s="19" t="s">
        <v>518</v>
      </c>
      <c r="C46" s="20" t="s">
        <v>522</v>
      </c>
      <c r="D46" s="21" t="s">
        <v>523</v>
      </c>
      <c r="E46" s="17">
        <v>2</v>
      </c>
      <c r="F46" s="18" t="s">
        <v>45</v>
      </c>
      <c r="G46" s="21" t="s">
        <v>524</v>
      </c>
      <c r="H46" s="21" t="s">
        <v>525</v>
      </c>
    </row>
    <row r="47" spans="1:8" ht="72" customHeight="1" x14ac:dyDescent="0.25">
      <c r="A47" s="14" t="s">
        <v>517</v>
      </c>
      <c r="B47" s="14" t="s">
        <v>518</v>
      </c>
      <c r="C47" s="15" t="s">
        <v>526</v>
      </c>
      <c r="D47" s="16" t="s">
        <v>527</v>
      </c>
      <c r="E47" s="17">
        <v>2</v>
      </c>
      <c r="F47" s="18" t="s">
        <v>45</v>
      </c>
      <c r="G47" s="16" t="s">
        <v>528</v>
      </c>
      <c r="H47" s="16" t="s">
        <v>529</v>
      </c>
    </row>
    <row r="48" spans="1:8" ht="30" customHeight="1" x14ac:dyDescent="0.25">
      <c r="A48" s="19" t="s">
        <v>517</v>
      </c>
      <c r="B48" s="19" t="s">
        <v>518</v>
      </c>
      <c r="C48" s="20" t="s">
        <v>530</v>
      </c>
      <c r="D48" s="21" t="s">
        <v>531</v>
      </c>
      <c r="E48" s="23">
        <v>3</v>
      </c>
      <c r="F48" s="18" t="s">
        <v>54</v>
      </c>
      <c r="G48" s="21"/>
      <c r="H48" s="21"/>
    </row>
    <row r="49" spans="1:8" ht="18" customHeight="1" x14ac:dyDescent="0.25">
      <c r="A49" s="13" t="s">
        <v>532</v>
      </c>
      <c r="B49" s="13" t="s">
        <v>533</v>
      </c>
      <c r="C49" s="13"/>
      <c r="D49" s="13"/>
      <c r="E49" s="13"/>
      <c r="F49" s="13"/>
      <c r="G49" s="13"/>
      <c r="H49" s="13"/>
    </row>
    <row r="50" spans="1:8" ht="30" customHeight="1" x14ac:dyDescent="0.25">
      <c r="A50" s="14" t="s">
        <v>532</v>
      </c>
      <c r="B50" s="14" t="s">
        <v>533</v>
      </c>
      <c r="C50" s="15" t="s">
        <v>534</v>
      </c>
      <c r="D50" s="16" t="s">
        <v>535</v>
      </c>
      <c r="E50" s="23">
        <v>3</v>
      </c>
      <c r="F50" s="18" t="s">
        <v>54</v>
      </c>
      <c r="G50" s="16"/>
      <c r="H50" s="16"/>
    </row>
    <row r="51" spans="1:8" ht="30" customHeight="1" x14ac:dyDescent="0.25">
      <c r="A51" s="19" t="s">
        <v>532</v>
      </c>
      <c r="B51" s="19" t="s">
        <v>533</v>
      </c>
      <c r="C51" s="20" t="s">
        <v>536</v>
      </c>
      <c r="D51" s="21" t="s">
        <v>537</v>
      </c>
      <c r="E51" s="23">
        <v>3</v>
      </c>
      <c r="F51" s="18" t="s">
        <v>54</v>
      </c>
      <c r="G51" s="21"/>
      <c r="H51" s="21"/>
    </row>
    <row r="52" spans="1:8" ht="18" customHeight="1" x14ac:dyDescent="0.25">
      <c r="A52" s="13" t="s">
        <v>538</v>
      </c>
      <c r="B52" s="13" t="s">
        <v>539</v>
      </c>
      <c r="C52" s="13"/>
      <c r="D52" s="13"/>
      <c r="E52" s="13"/>
      <c r="F52" s="13"/>
      <c r="G52" s="13"/>
      <c r="H52" s="13"/>
    </row>
    <row r="53" spans="1:8" ht="90" customHeight="1" x14ac:dyDescent="0.25">
      <c r="A53" s="14" t="s">
        <v>538</v>
      </c>
      <c r="B53" s="14" t="s">
        <v>539</v>
      </c>
      <c r="C53" s="15" t="s">
        <v>540</v>
      </c>
      <c r="D53" s="16" t="s">
        <v>541</v>
      </c>
      <c r="E53" s="17">
        <v>2</v>
      </c>
      <c r="F53" s="18" t="s">
        <v>54</v>
      </c>
      <c r="G53" s="16" t="s">
        <v>542</v>
      </c>
      <c r="H53" s="16"/>
    </row>
    <row r="54" spans="1:8" ht="90" customHeight="1" x14ac:dyDescent="0.25">
      <c r="A54" s="19" t="s">
        <v>538</v>
      </c>
      <c r="B54" s="19" t="s">
        <v>539</v>
      </c>
      <c r="C54" s="20" t="s">
        <v>543</v>
      </c>
      <c r="D54" s="21" t="s">
        <v>544</v>
      </c>
      <c r="E54" s="17">
        <v>2</v>
      </c>
      <c r="F54" s="18" t="s">
        <v>45</v>
      </c>
      <c r="G54" s="21" t="s">
        <v>545</v>
      </c>
      <c r="H54" s="21" t="s">
        <v>546</v>
      </c>
    </row>
    <row r="55" spans="1:8" ht="75" customHeight="1" x14ac:dyDescent="0.25">
      <c r="A55" s="14" t="s">
        <v>538</v>
      </c>
      <c r="B55" s="14" t="s">
        <v>539</v>
      </c>
      <c r="C55" s="15" t="s">
        <v>547</v>
      </c>
      <c r="D55" s="16" t="s">
        <v>548</v>
      </c>
      <c r="E55" s="17">
        <v>2</v>
      </c>
      <c r="F55" s="18" t="s">
        <v>45</v>
      </c>
      <c r="G55" s="16" t="s">
        <v>549</v>
      </c>
      <c r="H55" s="16" t="s">
        <v>550</v>
      </c>
    </row>
    <row r="56" spans="1:8" ht="150" customHeight="1" x14ac:dyDescent="0.25">
      <c r="A56" s="19" t="s">
        <v>538</v>
      </c>
      <c r="B56" s="19" t="s">
        <v>539</v>
      </c>
      <c r="C56" s="20" t="s">
        <v>551</v>
      </c>
      <c r="D56" s="21" t="s">
        <v>552</v>
      </c>
      <c r="E56" s="17">
        <v>2</v>
      </c>
      <c r="F56" s="18" t="s">
        <v>54</v>
      </c>
      <c r="G56" s="21" t="s">
        <v>553</v>
      </c>
      <c r="H56" s="21"/>
    </row>
  </sheetData>
  <conditionalFormatting sqref="F2:F5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56" xr:uid="{00000000-0002-0000-06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6"/>
  <sheetViews>
    <sheetView zoomScale="75" zoomScaleNormal="75" workbookViewId="0">
      <pane ySplit="1" topLeftCell="A13" activePane="bottomLeft" state="frozen"/>
      <selection pane="bottomLeft" activeCell="F18" sqref="F18"/>
    </sheetView>
  </sheetViews>
  <sheetFormatPr defaultColWidth="8.5703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15" customHeight="1" x14ac:dyDescent="0.25">
      <c r="A1" s="12" t="s">
        <v>33</v>
      </c>
      <c r="B1" s="12" t="s">
        <v>34</v>
      </c>
      <c r="C1" s="12" t="s">
        <v>35</v>
      </c>
      <c r="D1" s="12" t="s">
        <v>36</v>
      </c>
      <c r="E1" s="12" t="s">
        <v>37</v>
      </c>
      <c r="F1" s="12" t="s">
        <v>38</v>
      </c>
      <c r="G1" s="12" t="s">
        <v>39</v>
      </c>
      <c r="H1" s="12" t="s">
        <v>40</v>
      </c>
    </row>
    <row r="2" spans="1:8" ht="18" customHeight="1" x14ac:dyDescent="0.25">
      <c r="A2" s="13" t="s">
        <v>554</v>
      </c>
      <c r="B2" s="13" t="s">
        <v>555</v>
      </c>
      <c r="C2" s="13"/>
      <c r="D2" s="13"/>
      <c r="E2" s="13"/>
      <c r="F2" s="13"/>
      <c r="G2" s="13"/>
      <c r="H2" s="13"/>
    </row>
    <row r="3" spans="1:8" ht="30" customHeight="1" x14ac:dyDescent="0.25">
      <c r="A3" s="14" t="s">
        <v>554</v>
      </c>
      <c r="B3" s="14" t="s">
        <v>555</v>
      </c>
      <c r="C3" s="15" t="s">
        <v>556</v>
      </c>
      <c r="D3" s="16" t="s">
        <v>557</v>
      </c>
      <c r="E3" s="17">
        <v>2</v>
      </c>
      <c r="F3" s="18" t="s">
        <v>49</v>
      </c>
      <c r="G3" s="16" t="s">
        <v>558</v>
      </c>
      <c r="H3" s="16" t="s">
        <v>559</v>
      </c>
    </row>
    <row r="4" spans="1:8" ht="30" customHeight="1" x14ac:dyDescent="0.25">
      <c r="A4" s="19" t="s">
        <v>554</v>
      </c>
      <c r="B4" s="19" t="s">
        <v>555</v>
      </c>
      <c r="C4" s="20" t="s">
        <v>560</v>
      </c>
      <c r="D4" s="21" t="s">
        <v>561</v>
      </c>
      <c r="E4" s="17">
        <v>2</v>
      </c>
      <c r="F4" s="18" t="s">
        <v>49</v>
      </c>
      <c r="G4" s="21" t="s">
        <v>562</v>
      </c>
      <c r="H4" s="21" t="s">
        <v>563</v>
      </c>
    </row>
    <row r="5" spans="1:8" ht="30" customHeight="1" x14ac:dyDescent="0.25">
      <c r="A5" s="14" t="s">
        <v>554</v>
      </c>
      <c r="B5" s="14" t="s">
        <v>555</v>
      </c>
      <c r="C5" s="15" t="s">
        <v>564</v>
      </c>
      <c r="D5" s="16" t="s">
        <v>565</v>
      </c>
      <c r="E5" s="17">
        <v>2</v>
      </c>
      <c r="F5" s="18" t="s">
        <v>49</v>
      </c>
      <c r="G5" s="16" t="s">
        <v>566</v>
      </c>
      <c r="H5" s="16" t="s">
        <v>567</v>
      </c>
    </row>
    <row r="6" spans="1:8" ht="18" customHeight="1" x14ac:dyDescent="0.25">
      <c r="A6" s="13" t="s">
        <v>568</v>
      </c>
      <c r="B6" s="13" t="s">
        <v>569</v>
      </c>
      <c r="C6" s="13"/>
      <c r="D6" s="13"/>
      <c r="E6" s="13"/>
      <c r="F6" s="13"/>
      <c r="G6" s="13"/>
      <c r="H6" s="13"/>
    </row>
    <row r="7" spans="1:8" ht="90" customHeight="1" x14ac:dyDescent="0.25">
      <c r="A7" s="14" t="s">
        <v>568</v>
      </c>
      <c r="B7" s="14" t="s">
        <v>569</v>
      </c>
      <c r="C7" s="15" t="s">
        <v>570</v>
      </c>
      <c r="D7" s="16" t="s">
        <v>571</v>
      </c>
      <c r="E7" s="22">
        <v>1</v>
      </c>
      <c r="F7" s="18" t="s">
        <v>45</v>
      </c>
      <c r="G7" s="16" t="s">
        <v>572</v>
      </c>
      <c r="H7" s="16"/>
    </row>
    <row r="8" spans="1:8" ht="120" customHeight="1" x14ac:dyDescent="0.25">
      <c r="A8" s="19" t="s">
        <v>568</v>
      </c>
      <c r="B8" s="19" t="s">
        <v>569</v>
      </c>
      <c r="C8" s="20" t="s">
        <v>573</v>
      </c>
      <c r="D8" s="21" t="s">
        <v>574</v>
      </c>
      <c r="E8" s="22">
        <v>1</v>
      </c>
      <c r="F8" s="18" t="s">
        <v>45</v>
      </c>
      <c r="G8" s="21" t="s">
        <v>575</v>
      </c>
      <c r="H8" s="21"/>
    </row>
    <row r="9" spans="1:8" ht="30" customHeight="1" x14ac:dyDescent="0.25">
      <c r="A9" s="14" t="s">
        <v>568</v>
      </c>
      <c r="B9" s="14" t="s">
        <v>569</v>
      </c>
      <c r="C9" s="15" t="s">
        <v>576</v>
      </c>
      <c r="D9" s="16" t="s">
        <v>577</v>
      </c>
      <c r="E9" s="22">
        <v>1</v>
      </c>
      <c r="F9" s="18" t="s">
        <v>54</v>
      </c>
      <c r="G9" s="16"/>
      <c r="H9" s="16"/>
    </row>
    <row r="10" spans="1:8" ht="105" customHeight="1" x14ac:dyDescent="0.25">
      <c r="A10" s="19" t="s">
        <v>568</v>
      </c>
      <c r="B10" s="19" t="s">
        <v>569</v>
      </c>
      <c r="C10" s="20" t="s">
        <v>578</v>
      </c>
      <c r="D10" s="21" t="s">
        <v>579</v>
      </c>
      <c r="E10" s="22">
        <v>1</v>
      </c>
      <c r="F10" s="18" t="s">
        <v>45</v>
      </c>
      <c r="G10" s="21" t="s">
        <v>580</v>
      </c>
      <c r="H10" s="21"/>
    </row>
    <row r="11" spans="1:8" ht="18" customHeight="1" x14ac:dyDescent="0.25">
      <c r="A11" s="13" t="s">
        <v>581</v>
      </c>
      <c r="B11" s="13" t="s">
        <v>582</v>
      </c>
      <c r="C11" s="13"/>
      <c r="D11" s="13"/>
      <c r="E11" s="13"/>
      <c r="F11" s="13"/>
      <c r="G11" s="13"/>
      <c r="H11" s="13"/>
    </row>
    <row r="12" spans="1:8" ht="30" customHeight="1" x14ac:dyDescent="0.25">
      <c r="A12" s="14" t="s">
        <v>581</v>
      </c>
      <c r="B12" s="14" t="s">
        <v>582</v>
      </c>
      <c r="C12" s="15" t="s">
        <v>583</v>
      </c>
      <c r="D12" s="16" t="s">
        <v>584</v>
      </c>
      <c r="E12" s="17">
        <v>2</v>
      </c>
      <c r="F12" s="18" t="s">
        <v>58</v>
      </c>
      <c r="G12" s="16"/>
      <c r="H12" s="16"/>
    </row>
    <row r="13" spans="1:8" ht="30" customHeight="1" x14ac:dyDescent="0.25">
      <c r="A13" s="19" t="s">
        <v>581</v>
      </c>
      <c r="B13" s="19" t="s">
        <v>582</v>
      </c>
      <c r="C13" s="20" t="s">
        <v>585</v>
      </c>
      <c r="D13" s="21" t="s">
        <v>586</v>
      </c>
      <c r="E13" s="17">
        <v>2</v>
      </c>
      <c r="F13" s="18" t="s">
        <v>58</v>
      </c>
      <c r="G13" s="21"/>
      <c r="H13" s="21"/>
    </row>
    <row r="14" spans="1:8" ht="18" customHeight="1" x14ac:dyDescent="0.25">
      <c r="A14" s="13" t="s">
        <v>587</v>
      </c>
      <c r="B14" s="13" t="s">
        <v>588</v>
      </c>
      <c r="C14" s="13"/>
      <c r="D14" s="13"/>
      <c r="E14" s="13"/>
      <c r="F14" s="13"/>
      <c r="G14" s="13"/>
      <c r="H14" s="13"/>
    </row>
    <row r="15" spans="1:8" ht="120" customHeight="1" x14ac:dyDescent="0.25">
      <c r="A15" s="14" t="s">
        <v>587</v>
      </c>
      <c r="B15" s="14" t="s">
        <v>588</v>
      </c>
      <c r="C15" s="15" t="s">
        <v>589</v>
      </c>
      <c r="D15" s="16" t="s">
        <v>590</v>
      </c>
      <c r="E15" s="22">
        <v>1</v>
      </c>
      <c r="F15" s="18" t="s">
        <v>45</v>
      </c>
      <c r="G15" s="16" t="s">
        <v>591</v>
      </c>
      <c r="H15" s="16"/>
    </row>
    <row r="16" spans="1:8" ht="30" customHeight="1" x14ac:dyDescent="0.25">
      <c r="A16" s="19" t="s">
        <v>587</v>
      </c>
      <c r="B16" s="19" t="s">
        <v>588</v>
      </c>
      <c r="C16" s="20" t="s">
        <v>592</v>
      </c>
      <c r="D16" s="21" t="s">
        <v>593</v>
      </c>
      <c r="E16" s="22">
        <v>1</v>
      </c>
      <c r="F16" s="18" t="s">
        <v>58</v>
      </c>
      <c r="G16" s="21"/>
      <c r="H16" s="21"/>
    </row>
    <row r="17" spans="1:8" ht="30" customHeight="1" x14ac:dyDescent="0.25">
      <c r="A17" s="14" t="s">
        <v>587</v>
      </c>
      <c r="B17" s="14" t="s">
        <v>588</v>
      </c>
      <c r="C17" s="15" t="s">
        <v>594</v>
      </c>
      <c r="D17" s="16" t="s">
        <v>595</v>
      </c>
      <c r="E17" s="17">
        <v>2</v>
      </c>
      <c r="F17" s="18" t="s">
        <v>58</v>
      </c>
      <c r="G17" s="16"/>
      <c r="H17" s="16"/>
    </row>
    <row r="18" spans="1:8" ht="30" customHeight="1" x14ac:dyDescent="0.25">
      <c r="A18" s="19" t="s">
        <v>587</v>
      </c>
      <c r="B18" s="19" t="s">
        <v>588</v>
      </c>
      <c r="C18" s="20" t="s">
        <v>596</v>
      </c>
      <c r="D18" s="21" t="s">
        <v>597</v>
      </c>
      <c r="E18" s="17">
        <v>2</v>
      </c>
      <c r="F18" s="18" t="s">
        <v>54</v>
      </c>
      <c r="G18" s="21"/>
      <c r="H18" s="21"/>
    </row>
    <row r="19" spans="1:8" ht="30" customHeight="1" x14ac:dyDescent="0.25">
      <c r="A19" s="14" t="s">
        <v>587</v>
      </c>
      <c r="B19" s="14" t="s">
        <v>588</v>
      </c>
      <c r="C19" s="15" t="s">
        <v>598</v>
      </c>
      <c r="D19" s="16" t="s">
        <v>599</v>
      </c>
      <c r="E19" s="17">
        <v>2</v>
      </c>
      <c r="F19" s="18" t="s">
        <v>58</v>
      </c>
      <c r="G19" s="16"/>
      <c r="H19" s="16"/>
    </row>
    <row r="20" spans="1:8" ht="18" customHeight="1" x14ac:dyDescent="0.25">
      <c r="A20" s="13" t="s">
        <v>600</v>
      </c>
      <c r="B20" s="13" t="s">
        <v>601</v>
      </c>
      <c r="C20" s="13"/>
      <c r="D20" s="13"/>
      <c r="E20" s="13"/>
      <c r="F20" s="13"/>
      <c r="G20" s="13"/>
      <c r="H20" s="13"/>
    </row>
    <row r="21" spans="1:8" ht="30" customHeight="1" x14ac:dyDescent="0.25">
      <c r="A21" s="14" t="s">
        <v>600</v>
      </c>
      <c r="B21" s="14" t="s">
        <v>601</v>
      </c>
      <c r="C21" s="15" t="s">
        <v>602</v>
      </c>
      <c r="D21" s="16" t="s">
        <v>603</v>
      </c>
      <c r="E21" s="17">
        <v>2</v>
      </c>
      <c r="F21" s="18" t="s">
        <v>58</v>
      </c>
      <c r="G21" s="16"/>
      <c r="H21" s="16"/>
    </row>
    <row r="22" spans="1:8" ht="30" customHeight="1" x14ac:dyDescent="0.25">
      <c r="A22" s="19" t="s">
        <v>600</v>
      </c>
      <c r="B22" s="19" t="s">
        <v>601</v>
      </c>
      <c r="C22" s="20" t="s">
        <v>604</v>
      </c>
      <c r="D22" s="21" t="s">
        <v>605</v>
      </c>
      <c r="E22" s="17">
        <v>2</v>
      </c>
      <c r="F22" s="18" t="s">
        <v>58</v>
      </c>
      <c r="G22" s="21"/>
      <c r="H22" s="21"/>
    </row>
    <row r="23" spans="1:8" ht="30" customHeight="1" x14ac:dyDescent="0.25">
      <c r="A23" s="14" t="s">
        <v>600</v>
      </c>
      <c r="B23" s="14" t="s">
        <v>601</v>
      </c>
      <c r="C23" s="15" t="s">
        <v>606</v>
      </c>
      <c r="D23" s="16" t="s">
        <v>607</v>
      </c>
      <c r="E23" s="23">
        <v>3</v>
      </c>
      <c r="F23" s="18" t="s">
        <v>54</v>
      </c>
      <c r="G23" s="16"/>
      <c r="H23" s="16"/>
    </row>
    <row r="24" spans="1:8" ht="18" customHeight="1" x14ac:dyDescent="0.25">
      <c r="A24" s="13" t="s">
        <v>608</v>
      </c>
      <c r="B24" s="13" t="s">
        <v>609</v>
      </c>
      <c r="C24" s="13"/>
      <c r="D24" s="13"/>
      <c r="E24" s="13"/>
      <c r="F24" s="13"/>
      <c r="G24" s="13"/>
      <c r="H24" s="13"/>
    </row>
    <row r="25" spans="1:8" ht="30" customHeight="1" x14ac:dyDescent="0.25">
      <c r="A25" s="14" t="s">
        <v>608</v>
      </c>
      <c r="B25" s="14" t="s">
        <v>609</v>
      </c>
      <c r="C25" s="15" t="s">
        <v>610</v>
      </c>
      <c r="D25" s="16" t="s">
        <v>611</v>
      </c>
      <c r="E25" s="17">
        <v>2</v>
      </c>
      <c r="F25" s="18" t="s">
        <v>58</v>
      </c>
      <c r="G25" s="16"/>
      <c r="H25" s="16"/>
    </row>
    <row r="26" spans="1:8" ht="105" customHeight="1" x14ac:dyDescent="0.25">
      <c r="A26" s="19" t="s">
        <v>608</v>
      </c>
      <c r="B26" s="19" t="s">
        <v>609</v>
      </c>
      <c r="C26" s="20" t="s">
        <v>612</v>
      </c>
      <c r="D26" s="21" t="s">
        <v>613</v>
      </c>
      <c r="E26" s="17">
        <v>2</v>
      </c>
      <c r="F26" s="18" t="s">
        <v>45</v>
      </c>
      <c r="G26" s="21" t="s">
        <v>614</v>
      </c>
      <c r="H26" s="21"/>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7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8"/>
  <sheetViews>
    <sheetView zoomScale="75" zoomScaleNormal="75" workbookViewId="0">
      <pane ySplit="1" topLeftCell="A2" activePane="bottomLeft" state="frozen"/>
      <selection pane="bottomLeft" activeCell="G13" sqref="G13"/>
    </sheetView>
  </sheetViews>
  <sheetFormatPr defaultColWidth="8.5703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15" customHeight="1" x14ac:dyDescent="0.25">
      <c r="A1" s="12" t="s">
        <v>33</v>
      </c>
      <c r="B1" s="12" t="s">
        <v>34</v>
      </c>
      <c r="C1" s="12" t="s">
        <v>35</v>
      </c>
      <c r="D1" s="12" t="s">
        <v>36</v>
      </c>
      <c r="E1" s="12" t="s">
        <v>37</v>
      </c>
      <c r="F1" s="12" t="s">
        <v>38</v>
      </c>
      <c r="G1" s="12" t="s">
        <v>39</v>
      </c>
      <c r="H1" s="12" t="s">
        <v>40</v>
      </c>
    </row>
    <row r="2" spans="1:8" ht="18" customHeight="1" x14ac:dyDescent="0.25">
      <c r="A2" s="13" t="s">
        <v>615</v>
      </c>
      <c r="B2" s="13" t="s">
        <v>616</v>
      </c>
      <c r="C2" s="13"/>
      <c r="D2" s="13"/>
      <c r="E2" s="13"/>
      <c r="F2" s="13"/>
      <c r="G2" s="13"/>
      <c r="H2" s="13"/>
    </row>
    <row r="3" spans="1:8" ht="30" customHeight="1" x14ac:dyDescent="0.25">
      <c r="A3" s="14" t="s">
        <v>615</v>
      </c>
      <c r="B3" s="14" t="s">
        <v>616</v>
      </c>
      <c r="C3" s="15" t="s">
        <v>617</v>
      </c>
      <c r="D3" s="16" t="s">
        <v>618</v>
      </c>
      <c r="E3" s="22">
        <v>1</v>
      </c>
      <c r="F3" s="18" t="s">
        <v>49</v>
      </c>
      <c r="G3" s="16" t="s">
        <v>619</v>
      </c>
      <c r="H3" s="16" t="s">
        <v>620</v>
      </c>
    </row>
    <row r="4" spans="1:8" ht="30" customHeight="1" x14ac:dyDescent="0.25">
      <c r="A4" s="19" t="s">
        <v>615</v>
      </c>
      <c r="B4" s="19" t="s">
        <v>616</v>
      </c>
      <c r="C4" s="20" t="s">
        <v>621</v>
      </c>
      <c r="D4" s="21" t="s">
        <v>622</v>
      </c>
      <c r="E4" s="17">
        <v>2</v>
      </c>
      <c r="F4" s="18" t="s">
        <v>49</v>
      </c>
      <c r="G4" s="21" t="s">
        <v>623</v>
      </c>
      <c r="H4" s="21" t="s">
        <v>624</v>
      </c>
    </row>
    <row r="5" spans="1:8" ht="30" customHeight="1" x14ac:dyDescent="0.25">
      <c r="A5" s="14" t="s">
        <v>615</v>
      </c>
      <c r="B5" s="14" t="s">
        <v>616</v>
      </c>
      <c r="C5" s="15" t="s">
        <v>625</v>
      </c>
      <c r="D5" s="16" t="s">
        <v>626</v>
      </c>
      <c r="E5" s="23">
        <v>3</v>
      </c>
      <c r="F5" s="18" t="s">
        <v>54</v>
      </c>
      <c r="G5" s="16" t="s">
        <v>627</v>
      </c>
      <c r="H5" s="16"/>
    </row>
    <row r="6" spans="1:8" ht="90" customHeight="1" x14ac:dyDescent="0.25">
      <c r="A6" s="19" t="s">
        <v>615</v>
      </c>
      <c r="B6" s="19" t="s">
        <v>616</v>
      </c>
      <c r="C6" s="20" t="s">
        <v>628</v>
      </c>
      <c r="D6" s="21" t="s">
        <v>629</v>
      </c>
      <c r="E6" s="23">
        <v>3</v>
      </c>
      <c r="F6" s="18" t="s">
        <v>54</v>
      </c>
      <c r="G6" s="21" t="s">
        <v>630</v>
      </c>
      <c r="H6" s="21"/>
    </row>
    <row r="7" spans="1:8" ht="18" customHeight="1" x14ac:dyDescent="0.25">
      <c r="A7" s="13" t="s">
        <v>631</v>
      </c>
      <c r="B7" s="13" t="s">
        <v>632</v>
      </c>
      <c r="C7" s="13"/>
      <c r="D7" s="13"/>
      <c r="E7" s="13"/>
      <c r="F7" s="13"/>
      <c r="G7" s="13"/>
      <c r="H7" s="13"/>
    </row>
    <row r="8" spans="1:8" ht="30" customHeight="1" x14ac:dyDescent="0.25">
      <c r="A8" s="14" t="s">
        <v>631</v>
      </c>
      <c r="B8" s="14" t="s">
        <v>632</v>
      </c>
      <c r="C8" s="15" t="s">
        <v>633</v>
      </c>
      <c r="D8" s="16" t="s">
        <v>634</v>
      </c>
      <c r="E8" s="22">
        <v>1</v>
      </c>
      <c r="F8" s="18" t="s">
        <v>45</v>
      </c>
      <c r="G8" s="16" t="s">
        <v>635</v>
      </c>
      <c r="H8" s="16" t="s">
        <v>636</v>
      </c>
    </row>
    <row r="9" spans="1:8" ht="30" customHeight="1" x14ac:dyDescent="0.25">
      <c r="A9" s="19" t="s">
        <v>631</v>
      </c>
      <c r="B9" s="19" t="s">
        <v>632</v>
      </c>
      <c r="C9" s="20" t="s">
        <v>637</v>
      </c>
      <c r="D9" s="21" t="s">
        <v>638</v>
      </c>
      <c r="E9" s="22">
        <v>1</v>
      </c>
      <c r="F9" s="18" t="s">
        <v>45</v>
      </c>
      <c r="G9" s="21" t="s">
        <v>639</v>
      </c>
      <c r="H9" s="21" t="s">
        <v>640</v>
      </c>
    </row>
    <row r="10" spans="1:8" ht="30" customHeight="1" x14ac:dyDescent="0.25">
      <c r="A10" s="14" t="s">
        <v>631</v>
      </c>
      <c r="B10" s="14" t="s">
        <v>632</v>
      </c>
      <c r="C10" s="15" t="s">
        <v>641</v>
      </c>
      <c r="D10" s="16" t="s">
        <v>642</v>
      </c>
      <c r="E10" s="17">
        <v>2</v>
      </c>
      <c r="F10" s="18" t="s">
        <v>45</v>
      </c>
      <c r="G10" s="16" t="s">
        <v>643</v>
      </c>
      <c r="H10" s="16" t="s">
        <v>644</v>
      </c>
    </row>
    <row r="11" spans="1:8" ht="105" customHeight="1" x14ac:dyDescent="0.25">
      <c r="A11" s="19" t="s">
        <v>631</v>
      </c>
      <c r="B11" s="19" t="s">
        <v>632</v>
      </c>
      <c r="C11" s="20" t="s">
        <v>645</v>
      </c>
      <c r="D11" s="21" t="s">
        <v>646</v>
      </c>
      <c r="E11" s="23">
        <v>3</v>
      </c>
      <c r="F11" s="18" t="s">
        <v>54</v>
      </c>
      <c r="G11" s="21" t="s">
        <v>647</v>
      </c>
      <c r="H11" s="21"/>
    </row>
    <row r="12" spans="1:8" ht="18" customHeight="1" x14ac:dyDescent="0.25">
      <c r="A12" s="13" t="s">
        <v>648</v>
      </c>
      <c r="B12" s="13" t="s">
        <v>649</v>
      </c>
      <c r="C12" s="13"/>
      <c r="D12" s="13"/>
      <c r="E12" s="13"/>
      <c r="F12" s="13"/>
      <c r="G12" s="13"/>
      <c r="H12" s="13"/>
    </row>
    <row r="13" spans="1:8" ht="60" customHeight="1" x14ac:dyDescent="0.25">
      <c r="A13" s="14" t="s">
        <v>648</v>
      </c>
      <c r="B13" s="14" t="s">
        <v>649</v>
      </c>
      <c r="C13" s="15" t="s">
        <v>650</v>
      </c>
      <c r="D13" s="16" t="s">
        <v>651</v>
      </c>
      <c r="E13" s="22">
        <v>1</v>
      </c>
      <c r="F13" s="18" t="s">
        <v>45</v>
      </c>
      <c r="G13" s="16" t="s">
        <v>652</v>
      </c>
      <c r="H13" s="16"/>
    </row>
    <row r="14" spans="1:8" ht="30" customHeight="1" x14ac:dyDescent="0.25">
      <c r="A14" s="19" t="s">
        <v>648</v>
      </c>
      <c r="B14" s="19" t="s">
        <v>649</v>
      </c>
      <c r="C14" s="20" t="s">
        <v>653</v>
      </c>
      <c r="D14" s="21" t="s">
        <v>654</v>
      </c>
      <c r="E14" s="23">
        <v>3</v>
      </c>
      <c r="F14" s="18" t="s">
        <v>54</v>
      </c>
      <c r="G14" s="21"/>
      <c r="H14" s="21"/>
    </row>
    <row r="15" spans="1:8" ht="30" customHeight="1" x14ac:dyDescent="0.25">
      <c r="A15" s="14" t="s">
        <v>648</v>
      </c>
      <c r="B15" s="14" t="s">
        <v>649</v>
      </c>
      <c r="C15" s="15" t="s">
        <v>655</v>
      </c>
      <c r="D15" s="16" t="s">
        <v>656</v>
      </c>
      <c r="E15" s="23">
        <v>3</v>
      </c>
      <c r="F15" s="18" t="s">
        <v>54</v>
      </c>
      <c r="G15" s="16" t="s">
        <v>657</v>
      </c>
      <c r="H15" s="16"/>
    </row>
    <row r="16" spans="1:8" ht="18" customHeight="1" x14ac:dyDescent="0.25">
      <c r="A16" s="13" t="s">
        <v>658</v>
      </c>
      <c r="B16" s="13" t="s">
        <v>659</v>
      </c>
      <c r="C16" s="13"/>
      <c r="D16" s="13"/>
      <c r="E16" s="13"/>
      <c r="F16" s="13"/>
      <c r="G16" s="13"/>
      <c r="H16" s="13"/>
    </row>
    <row r="17" spans="1:8" ht="30" customHeight="1" x14ac:dyDescent="0.25">
      <c r="A17" s="14" t="s">
        <v>658</v>
      </c>
      <c r="B17" s="14" t="s">
        <v>659</v>
      </c>
      <c r="C17" s="15" t="s">
        <v>660</v>
      </c>
      <c r="D17" s="16" t="s">
        <v>661</v>
      </c>
      <c r="E17" s="17">
        <v>2</v>
      </c>
      <c r="F17" s="18" t="s">
        <v>54</v>
      </c>
      <c r="G17" s="16" t="s">
        <v>662</v>
      </c>
      <c r="H17" s="16"/>
    </row>
    <row r="18" spans="1:8" ht="30" customHeight="1" x14ac:dyDescent="0.25">
      <c r="A18" s="19" t="s">
        <v>658</v>
      </c>
      <c r="B18" s="19" t="s">
        <v>659</v>
      </c>
      <c r="C18" s="20" t="s">
        <v>663</v>
      </c>
      <c r="D18" s="21" t="s">
        <v>664</v>
      </c>
      <c r="E18" s="23">
        <v>3</v>
      </c>
      <c r="F18" s="18" t="s">
        <v>54</v>
      </c>
      <c r="G18" s="21"/>
      <c r="H18" s="21"/>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8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0"/>
  <sheetViews>
    <sheetView zoomScale="79" zoomScaleNormal="75" workbookViewId="0">
      <pane ySplit="1" topLeftCell="A2" activePane="bottomLeft" state="frozen"/>
      <selection pane="bottomLeft" activeCell="F7" sqref="F7"/>
    </sheetView>
  </sheetViews>
  <sheetFormatPr defaultColWidth="8.5703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15" customHeight="1" x14ac:dyDescent="0.25">
      <c r="A1" s="12" t="s">
        <v>33</v>
      </c>
      <c r="B1" s="12" t="s">
        <v>34</v>
      </c>
      <c r="C1" s="12" t="s">
        <v>35</v>
      </c>
      <c r="D1" s="12" t="s">
        <v>36</v>
      </c>
      <c r="E1" s="12" t="s">
        <v>37</v>
      </c>
      <c r="F1" s="12" t="s">
        <v>38</v>
      </c>
      <c r="G1" s="12" t="s">
        <v>39</v>
      </c>
      <c r="H1" s="12" t="s">
        <v>40</v>
      </c>
    </row>
    <row r="2" spans="1:8" ht="18" customHeight="1" x14ac:dyDescent="0.25">
      <c r="A2" s="13" t="s">
        <v>665</v>
      </c>
      <c r="B2" s="13" t="s">
        <v>666</v>
      </c>
      <c r="C2" s="13"/>
      <c r="D2" s="13"/>
      <c r="E2" s="13"/>
      <c r="F2" s="13"/>
      <c r="G2" s="13"/>
      <c r="H2" s="13"/>
    </row>
    <row r="3" spans="1:8" ht="90" customHeight="1" x14ac:dyDescent="0.25">
      <c r="A3" s="14" t="s">
        <v>665</v>
      </c>
      <c r="B3" s="14" t="s">
        <v>666</v>
      </c>
      <c r="C3" s="15" t="s">
        <v>667</v>
      </c>
      <c r="D3" s="16" t="s">
        <v>668</v>
      </c>
      <c r="E3" s="22">
        <v>1</v>
      </c>
      <c r="F3" s="18" t="s">
        <v>45</v>
      </c>
      <c r="G3" s="16" t="s">
        <v>669</v>
      </c>
      <c r="H3" s="16" t="s">
        <v>670</v>
      </c>
    </row>
    <row r="4" spans="1:8" ht="105" customHeight="1" x14ac:dyDescent="0.25">
      <c r="A4" s="19" t="s">
        <v>665</v>
      </c>
      <c r="B4" s="19" t="s">
        <v>666</v>
      </c>
      <c r="C4" s="20" t="s">
        <v>671</v>
      </c>
      <c r="D4" s="21" t="s">
        <v>672</v>
      </c>
      <c r="E4" s="22">
        <v>1</v>
      </c>
      <c r="F4" s="18" t="s">
        <v>45</v>
      </c>
      <c r="G4" s="21" t="s">
        <v>673</v>
      </c>
      <c r="H4" s="21" t="s">
        <v>674</v>
      </c>
    </row>
    <row r="5" spans="1:8" ht="105" customHeight="1" x14ac:dyDescent="0.25">
      <c r="A5" s="14" t="s">
        <v>665</v>
      </c>
      <c r="B5" s="14" t="s">
        <v>666</v>
      </c>
      <c r="C5" s="15" t="s">
        <v>675</v>
      </c>
      <c r="D5" s="16" t="s">
        <v>676</v>
      </c>
      <c r="E5" s="22">
        <v>1</v>
      </c>
      <c r="F5" s="18" t="s">
        <v>45</v>
      </c>
      <c r="G5" s="16" t="s">
        <v>677</v>
      </c>
      <c r="H5" s="16" t="s">
        <v>678</v>
      </c>
    </row>
    <row r="6" spans="1:8" ht="18" customHeight="1" x14ac:dyDescent="0.25">
      <c r="A6" s="13" t="s">
        <v>679</v>
      </c>
      <c r="B6" s="13" t="s">
        <v>680</v>
      </c>
      <c r="C6" s="13"/>
      <c r="D6" s="13"/>
      <c r="E6" s="13"/>
      <c r="F6" s="13"/>
      <c r="G6" s="13"/>
      <c r="H6" s="13"/>
    </row>
    <row r="7" spans="1:8" ht="75" customHeight="1" x14ac:dyDescent="0.25">
      <c r="A7" s="14" t="s">
        <v>679</v>
      </c>
      <c r="B7" s="14" t="s">
        <v>680</v>
      </c>
      <c r="C7" s="15" t="s">
        <v>681</v>
      </c>
      <c r="D7" s="16" t="s">
        <v>682</v>
      </c>
      <c r="E7" s="22">
        <v>1</v>
      </c>
      <c r="F7" s="18" t="s">
        <v>45</v>
      </c>
      <c r="G7" s="16" t="s">
        <v>683</v>
      </c>
      <c r="H7" s="16" t="s">
        <v>684</v>
      </c>
    </row>
    <row r="8" spans="1:8" ht="75" customHeight="1" x14ac:dyDescent="0.25">
      <c r="A8" s="19" t="s">
        <v>679</v>
      </c>
      <c r="B8" s="19" t="s">
        <v>680</v>
      </c>
      <c r="C8" s="20" t="s">
        <v>685</v>
      </c>
      <c r="D8" s="21" t="s">
        <v>686</v>
      </c>
      <c r="E8" s="17">
        <v>2</v>
      </c>
      <c r="F8" s="18" t="s">
        <v>49</v>
      </c>
      <c r="G8" s="21" t="s">
        <v>687</v>
      </c>
      <c r="H8" s="21" t="s">
        <v>688</v>
      </c>
    </row>
    <row r="9" spans="1:8" ht="75" customHeight="1" x14ac:dyDescent="0.25">
      <c r="A9" s="14" t="s">
        <v>679</v>
      </c>
      <c r="B9" s="14" t="s">
        <v>680</v>
      </c>
      <c r="C9" s="15" t="s">
        <v>689</v>
      </c>
      <c r="D9" s="16" t="s">
        <v>690</v>
      </c>
      <c r="E9" s="17">
        <v>2</v>
      </c>
      <c r="F9" s="18" t="s">
        <v>49</v>
      </c>
      <c r="G9" s="16" t="s">
        <v>691</v>
      </c>
      <c r="H9" s="16" t="s">
        <v>692</v>
      </c>
    </row>
    <row r="10" spans="1:8" ht="120" customHeight="1" x14ac:dyDescent="0.25">
      <c r="A10" s="19" t="s">
        <v>679</v>
      </c>
      <c r="B10" s="19" t="s">
        <v>680</v>
      </c>
      <c r="C10" s="20" t="s">
        <v>693</v>
      </c>
      <c r="D10" s="21" t="s">
        <v>694</v>
      </c>
      <c r="E10" s="17">
        <v>2</v>
      </c>
      <c r="F10" s="18" t="s">
        <v>49</v>
      </c>
      <c r="G10" s="21" t="s">
        <v>695</v>
      </c>
      <c r="H10" s="21" t="s">
        <v>696</v>
      </c>
    </row>
  </sheetData>
  <conditionalFormatting sqref="F2:F10">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0" xr:uid="{00000000-0002-0000-09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44"/>
  <sheetViews>
    <sheetView zoomScaleNormal="100" workbookViewId="0">
      <pane ySplit="1" topLeftCell="A31" activePane="bottomLeft" state="frozen"/>
      <selection pane="bottomLeft" activeCell="F12" sqref="F12"/>
    </sheetView>
  </sheetViews>
  <sheetFormatPr defaultColWidth="8.5703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15" customHeight="1" x14ac:dyDescent="0.25">
      <c r="A1" s="12" t="s">
        <v>33</v>
      </c>
      <c r="B1" s="12" t="s">
        <v>34</v>
      </c>
      <c r="C1" s="12" t="s">
        <v>35</v>
      </c>
      <c r="D1" s="12" t="s">
        <v>36</v>
      </c>
      <c r="E1" s="12" t="s">
        <v>37</v>
      </c>
      <c r="F1" s="12" t="s">
        <v>38</v>
      </c>
      <c r="G1" s="12" t="s">
        <v>39</v>
      </c>
      <c r="H1" s="12" t="s">
        <v>40</v>
      </c>
    </row>
    <row r="2" spans="1:8" ht="18" customHeight="1" x14ac:dyDescent="0.25">
      <c r="A2" s="13" t="s">
        <v>697</v>
      </c>
      <c r="B2" s="13" t="s">
        <v>698</v>
      </c>
      <c r="C2" s="13"/>
      <c r="D2" s="13"/>
      <c r="E2" s="13"/>
      <c r="F2" s="13"/>
      <c r="G2" s="13"/>
      <c r="H2" s="13"/>
    </row>
    <row r="3" spans="1:8" ht="75" customHeight="1" x14ac:dyDescent="0.25">
      <c r="A3" s="14" t="s">
        <v>697</v>
      </c>
      <c r="B3" s="14" t="s">
        <v>698</v>
      </c>
      <c r="C3" s="15" t="s">
        <v>699</v>
      </c>
      <c r="D3" s="16" t="s">
        <v>700</v>
      </c>
      <c r="E3" s="17">
        <v>2</v>
      </c>
      <c r="F3" s="18" t="s">
        <v>45</v>
      </c>
      <c r="G3" s="16" t="s">
        <v>701</v>
      </c>
      <c r="H3" s="16" t="s">
        <v>702</v>
      </c>
    </row>
    <row r="4" spans="1:8" ht="135" customHeight="1" x14ac:dyDescent="0.25">
      <c r="A4" s="19" t="s">
        <v>697</v>
      </c>
      <c r="B4" s="19" t="s">
        <v>698</v>
      </c>
      <c r="C4" s="20" t="s">
        <v>703</v>
      </c>
      <c r="D4" s="21" t="s">
        <v>704</v>
      </c>
      <c r="E4" s="17">
        <v>2</v>
      </c>
      <c r="F4" s="18" t="s">
        <v>45</v>
      </c>
      <c r="G4" s="21" t="s">
        <v>705</v>
      </c>
      <c r="H4" s="21" t="s">
        <v>706</v>
      </c>
    </row>
    <row r="5" spans="1:8" ht="18" customHeight="1" x14ac:dyDescent="0.25">
      <c r="A5" s="13" t="s">
        <v>707</v>
      </c>
      <c r="B5" s="13" t="s">
        <v>708</v>
      </c>
      <c r="C5" s="13"/>
      <c r="D5" s="13"/>
      <c r="E5" s="13"/>
      <c r="F5" s="13"/>
      <c r="G5" s="13"/>
      <c r="H5" s="13"/>
    </row>
    <row r="6" spans="1:8" ht="105" customHeight="1" x14ac:dyDescent="0.25">
      <c r="A6" s="14" t="s">
        <v>707</v>
      </c>
      <c r="B6" s="14" t="s">
        <v>708</v>
      </c>
      <c r="C6" s="15" t="s">
        <v>709</v>
      </c>
      <c r="D6" s="16" t="s">
        <v>710</v>
      </c>
      <c r="E6" s="17">
        <v>2</v>
      </c>
      <c r="F6" s="18" t="s">
        <v>54</v>
      </c>
      <c r="G6" s="16" t="s">
        <v>711</v>
      </c>
      <c r="H6" s="16"/>
    </row>
    <row r="7" spans="1:8" ht="75" customHeight="1" x14ac:dyDescent="0.25">
      <c r="A7" s="19" t="s">
        <v>707</v>
      </c>
      <c r="B7" s="19" t="s">
        <v>708</v>
      </c>
      <c r="C7" s="20" t="s">
        <v>712</v>
      </c>
      <c r="D7" s="21" t="s">
        <v>713</v>
      </c>
      <c r="E7" s="17">
        <v>2</v>
      </c>
      <c r="F7" s="18" t="s">
        <v>54</v>
      </c>
      <c r="G7" s="21" t="s">
        <v>714</v>
      </c>
      <c r="H7" s="21"/>
    </row>
    <row r="8" spans="1:8" ht="45" customHeight="1" x14ac:dyDescent="0.25">
      <c r="A8" s="14" t="s">
        <v>707</v>
      </c>
      <c r="B8" s="14" t="s">
        <v>708</v>
      </c>
      <c r="C8" s="15" t="s">
        <v>715</v>
      </c>
      <c r="D8" s="16" t="s">
        <v>716</v>
      </c>
      <c r="E8" s="23">
        <v>3</v>
      </c>
      <c r="F8" s="18" t="s">
        <v>54</v>
      </c>
      <c r="G8" s="16"/>
      <c r="H8" s="16"/>
    </row>
    <row r="9" spans="1:8" ht="18" customHeight="1" x14ac:dyDescent="0.25">
      <c r="A9" s="13" t="s">
        <v>717</v>
      </c>
      <c r="B9" s="13" t="s">
        <v>718</v>
      </c>
      <c r="C9" s="13"/>
      <c r="D9" s="13"/>
      <c r="E9" s="13"/>
      <c r="F9" s="13"/>
      <c r="G9" s="13"/>
      <c r="H9" s="13"/>
    </row>
    <row r="10" spans="1:8" ht="90" customHeight="1" x14ac:dyDescent="0.25">
      <c r="A10" s="14" t="s">
        <v>717</v>
      </c>
      <c r="B10" s="14" t="s">
        <v>718</v>
      </c>
      <c r="C10" s="15" t="s">
        <v>719</v>
      </c>
      <c r="D10" s="16" t="s">
        <v>720</v>
      </c>
      <c r="E10" s="17">
        <v>2</v>
      </c>
      <c r="F10" s="18" t="s">
        <v>45</v>
      </c>
      <c r="G10" s="16" t="s">
        <v>721</v>
      </c>
      <c r="H10" s="16" t="s">
        <v>722</v>
      </c>
    </row>
    <row r="11" spans="1:8" ht="106.5" customHeight="1" x14ac:dyDescent="0.25">
      <c r="A11" s="19" t="s">
        <v>717</v>
      </c>
      <c r="B11" s="19" t="s">
        <v>718</v>
      </c>
      <c r="C11" s="20" t="s">
        <v>723</v>
      </c>
      <c r="D11" s="21" t="s">
        <v>724</v>
      </c>
      <c r="E11" s="17">
        <v>2</v>
      </c>
      <c r="F11" s="18" t="s">
        <v>45</v>
      </c>
      <c r="G11" s="21" t="s">
        <v>725</v>
      </c>
      <c r="H11" s="21" t="s">
        <v>726</v>
      </c>
    </row>
    <row r="12" spans="1:8" ht="87" customHeight="1" x14ac:dyDescent="0.25">
      <c r="A12" s="14" t="s">
        <v>717</v>
      </c>
      <c r="B12" s="14" t="s">
        <v>718</v>
      </c>
      <c r="C12" s="15" t="s">
        <v>727</v>
      </c>
      <c r="D12" s="16" t="s">
        <v>728</v>
      </c>
      <c r="E12" s="17">
        <v>2</v>
      </c>
      <c r="F12" s="18" t="s">
        <v>45</v>
      </c>
      <c r="G12" s="16" t="s">
        <v>729</v>
      </c>
      <c r="H12" s="16" t="s">
        <v>730</v>
      </c>
    </row>
    <row r="13" spans="1:8" ht="73.150000000000006" customHeight="1" x14ac:dyDescent="0.25">
      <c r="A13" s="19" t="s">
        <v>717</v>
      </c>
      <c r="B13" s="19" t="s">
        <v>718</v>
      </c>
      <c r="C13" s="20" t="s">
        <v>731</v>
      </c>
      <c r="D13" s="21" t="s">
        <v>732</v>
      </c>
      <c r="E13" s="17">
        <v>2</v>
      </c>
      <c r="F13" s="18" t="s">
        <v>54</v>
      </c>
      <c r="G13" s="21" t="s">
        <v>733</v>
      </c>
      <c r="H13" s="21"/>
    </row>
    <row r="14" spans="1:8" ht="100.5" customHeight="1" x14ac:dyDescent="0.25">
      <c r="A14" s="14" t="s">
        <v>717</v>
      </c>
      <c r="B14" s="14" t="s">
        <v>718</v>
      </c>
      <c r="C14" s="15" t="s">
        <v>734</v>
      </c>
      <c r="D14" s="16" t="s">
        <v>735</v>
      </c>
      <c r="E14" s="23">
        <v>3</v>
      </c>
      <c r="F14" s="18" t="s">
        <v>54</v>
      </c>
      <c r="G14" s="16" t="s">
        <v>736</v>
      </c>
      <c r="H14" s="16"/>
    </row>
    <row r="15" spans="1:8" ht="18" customHeight="1" x14ac:dyDescent="0.25">
      <c r="A15" s="13" t="s">
        <v>737</v>
      </c>
      <c r="B15" s="13" t="s">
        <v>738</v>
      </c>
      <c r="C15" s="13"/>
      <c r="D15" s="13"/>
      <c r="E15" s="13"/>
      <c r="F15" s="13"/>
      <c r="G15" s="13"/>
      <c r="H15" s="13"/>
    </row>
    <row r="16" spans="1:8" ht="60" customHeight="1" x14ac:dyDescent="0.25">
      <c r="A16" s="14" t="s">
        <v>737</v>
      </c>
      <c r="B16" s="14" t="s">
        <v>738</v>
      </c>
      <c r="C16" s="15" t="s">
        <v>739</v>
      </c>
      <c r="D16" s="16" t="s">
        <v>740</v>
      </c>
      <c r="E16" s="22">
        <v>1</v>
      </c>
      <c r="F16" s="18" t="s">
        <v>45</v>
      </c>
      <c r="G16" s="16" t="s">
        <v>741</v>
      </c>
      <c r="H16" s="16" t="s">
        <v>742</v>
      </c>
    </row>
    <row r="17" spans="1:8" ht="90" customHeight="1" x14ac:dyDescent="0.25">
      <c r="A17" s="19" t="s">
        <v>737</v>
      </c>
      <c r="B17" s="19" t="s">
        <v>738</v>
      </c>
      <c r="C17" s="20" t="s">
        <v>743</v>
      </c>
      <c r="D17" s="21" t="s">
        <v>744</v>
      </c>
      <c r="E17" s="22">
        <v>1</v>
      </c>
      <c r="F17" s="18" t="s">
        <v>45</v>
      </c>
      <c r="G17" s="21" t="s">
        <v>745</v>
      </c>
      <c r="H17" s="21" t="s">
        <v>746</v>
      </c>
    </row>
    <row r="18" spans="1:8" ht="45" customHeight="1" x14ac:dyDescent="0.25">
      <c r="A18" s="14" t="s">
        <v>737</v>
      </c>
      <c r="B18" s="14" t="s">
        <v>738</v>
      </c>
      <c r="C18" s="15" t="s">
        <v>747</v>
      </c>
      <c r="D18" s="16" t="s">
        <v>748</v>
      </c>
      <c r="E18" s="22">
        <v>1</v>
      </c>
      <c r="F18" s="18" t="s">
        <v>45</v>
      </c>
      <c r="G18" s="16" t="s">
        <v>749</v>
      </c>
      <c r="H18" s="16" t="s">
        <v>750</v>
      </c>
    </row>
    <row r="19" spans="1:8" ht="105.75" customHeight="1" x14ac:dyDescent="0.25">
      <c r="A19" s="19" t="s">
        <v>737</v>
      </c>
      <c r="B19" s="19" t="s">
        <v>738</v>
      </c>
      <c r="C19" s="20" t="s">
        <v>751</v>
      </c>
      <c r="D19" s="21" t="s">
        <v>752</v>
      </c>
      <c r="E19" s="22">
        <v>1</v>
      </c>
      <c r="F19" s="18" t="s">
        <v>49</v>
      </c>
      <c r="G19" s="21" t="s">
        <v>753</v>
      </c>
      <c r="H19" s="21" t="s">
        <v>754</v>
      </c>
    </row>
    <row r="20" spans="1:8" ht="135" customHeight="1" x14ac:dyDescent="0.25">
      <c r="A20" s="14" t="s">
        <v>737</v>
      </c>
      <c r="B20" s="14" t="s">
        <v>738</v>
      </c>
      <c r="C20" s="15" t="s">
        <v>755</v>
      </c>
      <c r="D20" s="16" t="s">
        <v>756</v>
      </c>
      <c r="E20" s="22">
        <v>1</v>
      </c>
      <c r="F20" s="18" t="s">
        <v>45</v>
      </c>
      <c r="G20" s="16" t="s">
        <v>757</v>
      </c>
      <c r="H20" s="16" t="s">
        <v>758</v>
      </c>
    </row>
    <row r="21" spans="1:8" ht="105" customHeight="1" x14ac:dyDescent="0.25">
      <c r="A21" s="19" t="s">
        <v>737</v>
      </c>
      <c r="B21" s="19" t="s">
        <v>738</v>
      </c>
      <c r="C21" s="20" t="s">
        <v>759</v>
      </c>
      <c r="D21" s="21" t="s">
        <v>760</v>
      </c>
      <c r="E21" s="17">
        <v>2</v>
      </c>
      <c r="F21" s="18" t="s">
        <v>45</v>
      </c>
      <c r="G21" s="21" t="s">
        <v>761</v>
      </c>
      <c r="H21" s="21" t="s">
        <v>762</v>
      </c>
    </row>
    <row r="22" spans="1:8" ht="90" customHeight="1" x14ac:dyDescent="0.25">
      <c r="A22" s="14" t="s">
        <v>737</v>
      </c>
      <c r="B22" s="14" t="s">
        <v>738</v>
      </c>
      <c r="C22" s="15" t="s">
        <v>763</v>
      </c>
      <c r="D22" s="16" t="s">
        <v>764</v>
      </c>
      <c r="E22" s="17">
        <v>2</v>
      </c>
      <c r="F22" s="18" t="s">
        <v>54</v>
      </c>
      <c r="G22" s="16" t="s">
        <v>765</v>
      </c>
      <c r="H22" s="16"/>
    </row>
    <row r="23" spans="1:8" ht="73.900000000000006" customHeight="1" x14ac:dyDescent="0.25">
      <c r="A23" s="19" t="s">
        <v>737</v>
      </c>
      <c r="B23" s="19" t="s">
        <v>738</v>
      </c>
      <c r="C23" s="20" t="s">
        <v>766</v>
      </c>
      <c r="D23" s="21" t="s">
        <v>767</v>
      </c>
      <c r="E23" s="17">
        <v>2</v>
      </c>
      <c r="F23" s="18" t="s">
        <v>45</v>
      </c>
      <c r="G23" s="21" t="s">
        <v>768</v>
      </c>
      <c r="H23" s="21" t="s">
        <v>769</v>
      </c>
    </row>
    <row r="24" spans="1:8" ht="107.25" customHeight="1" x14ac:dyDescent="0.25">
      <c r="A24" s="14" t="s">
        <v>737</v>
      </c>
      <c r="B24" s="14" t="s">
        <v>738</v>
      </c>
      <c r="C24" s="15" t="s">
        <v>770</v>
      </c>
      <c r="D24" s="16" t="s">
        <v>771</v>
      </c>
      <c r="E24" s="17">
        <v>2</v>
      </c>
      <c r="F24" s="18" t="s">
        <v>45</v>
      </c>
      <c r="G24" s="16" t="s">
        <v>772</v>
      </c>
      <c r="H24" s="16" t="s">
        <v>773</v>
      </c>
    </row>
    <row r="25" spans="1:8" ht="90" customHeight="1" x14ac:dyDescent="0.25">
      <c r="A25" s="19" t="s">
        <v>737</v>
      </c>
      <c r="B25" s="19" t="s">
        <v>738</v>
      </c>
      <c r="C25" s="20" t="s">
        <v>774</v>
      </c>
      <c r="D25" s="21" t="s">
        <v>775</v>
      </c>
      <c r="E25" s="17">
        <v>2</v>
      </c>
      <c r="F25" s="18" t="s">
        <v>45</v>
      </c>
      <c r="G25" s="21" t="s">
        <v>776</v>
      </c>
      <c r="H25" s="21" t="s">
        <v>777</v>
      </c>
    </row>
    <row r="26" spans="1:8" ht="100.5" customHeight="1" x14ac:dyDescent="0.25">
      <c r="A26" s="14" t="s">
        <v>737</v>
      </c>
      <c r="B26" s="14" t="s">
        <v>738</v>
      </c>
      <c r="C26" s="15" t="s">
        <v>778</v>
      </c>
      <c r="D26" s="16" t="s">
        <v>779</v>
      </c>
      <c r="E26" s="17">
        <v>2</v>
      </c>
      <c r="F26" s="18" t="s">
        <v>45</v>
      </c>
      <c r="G26" s="16" t="s">
        <v>780</v>
      </c>
      <c r="H26" s="16" t="s">
        <v>781</v>
      </c>
    </row>
    <row r="27" spans="1:8" ht="75" customHeight="1" x14ac:dyDescent="0.25">
      <c r="A27" s="19" t="s">
        <v>737</v>
      </c>
      <c r="B27" s="19" t="s">
        <v>738</v>
      </c>
      <c r="C27" s="20" t="s">
        <v>782</v>
      </c>
      <c r="D27" s="21" t="s">
        <v>783</v>
      </c>
      <c r="E27" s="23">
        <v>3</v>
      </c>
      <c r="F27" s="18" t="s">
        <v>54</v>
      </c>
      <c r="G27" s="21" t="s">
        <v>784</v>
      </c>
      <c r="H27" s="21"/>
    </row>
    <row r="28" spans="1:8" ht="30" customHeight="1" x14ac:dyDescent="0.25">
      <c r="A28" s="14" t="s">
        <v>737</v>
      </c>
      <c r="B28" s="14" t="s">
        <v>738</v>
      </c>
      <c r="C28" s="15" t="s">
        <v>785</v>
      </c>
      <c r="D28" s="16" t="s">
        <v>786</v>
      </c>
      <c r="E28" s="23">
        <v>3</v>
      </c>
      <c r="F28" s="18" t="s">
        <v>54</v>
      </c>
      <c r="G28" s="16" t="s">
        <v>787</v>
      </c>
      <c r="H28" s="16"/>
    </row>
    <row r="29" spans="1:8" ht="60" customHeight="1" x14ac:dyDescent="0.25">
      <c r="A29" s="19" t="s">
        <v>737</v>
      </c>
      <c r="B29" s="19" t="s">
        <v>738</v>
      </c>
      <c r="C29" s="20" t="s">
        <v>788</v>
      </c>
      <c r="D29" s="21" t="s">
        <v>789</v>
      </c>
      <c r="E29" s="23">
        <v>3</v>
      </c>
      <c r="F29" s="18" t="s">
        <v>54</v>
      </c>
      <c r="G29" s="21" t="s">
        <v>790</v>
      </c>
      <c r="H29" s="21"/>
    </row>
    <row r="30" spans="1:8" ht="90" customHeight="1" x14ac:dyDescent="0.25">
      <c r="A30" s="14" t="s">
        <v>737</v>
      </c>
      <c r="B30" s="14" t="s">
        <v>738</v>
      </c>
      <c r="C30" s="15" t="s">
        <v>791</v>
      </c>
      <c r="D30" s="16" t="s">
        <v>792</v>
      </c>
      <c r="E30" s="23">
        <v>3</v>
      </c>
      <c r="F30" s="18" t="s">
        <v>54</v>
      </c>
      <c r="G30" s="16" t="s">
        <v>793</v>
      </c>
      <c r="H30" s="16"/>
    </row>
    <row r="31" spans="1:8" ht="75" customHeight="1" x14ac:dyDescent="0.25">
      <c r="A31" s="19" t="s">
        <v>737</v>
      </c>
      <c r="B31" s="19" t="s">
        <v>738</v>
      </c>
      <c r="C31" s="20" t="s">
        <v>794</v>
      </c>
      <c r="D31" s="21" t="s">
        <v>795</v>
      </c>
      <c r="E31" s="23">
        <v>3</v>
      </c>
      <c r="F31" s="18" t="s">
        <v>54</v>
      </c>
      <c r="G31" s="21" t="s">
        <v>796</v>
      </c>
      <c r="H31" s="21"/>
    </row>
    <row r="32" spans="1:8" ht="18" customHeight="1" x14ac:dyDescent="0.25">
      <c r="A32" s="13" t="s">
        <v>797</v>
      </c>
      <c r="B32" s="13" t="s">
        <v>798</v>
      </c>
      <c r="C32" s="13"/>
      <c r="D32" s="13"/>
      <c r="E32" s="13"/>
      <c r="F32" s="13"/>
      <c r="G32" s="13"/>
      <c r="H32" s="13"/>
    </row>
    <row r="33" spans="1:8" ht="90" customHeight="1" x14ac:dyDescent="0.25">
      <c r="A33" s="14" t="s">
        <v>797</v>
      </c>
      <c r="B33" s="14" t="s">
        <v>798</v>
      </c>
      <c r="C33" s="15" t="s">
        <v>799</v>
      </c>
      <c r="D33" s="16" t="s">
        <v>800</v>
      </c>
      <c r="E33" s="17">
        <v>2</v>
      </c>
      <c r="F33" s="18" t="s">
        <v>54</v>
      </c>
      <c r="G33" s="16" t="s">
        <v>801</v>
      </c>
      <c r="H33" s="16"/>
    </row>
    <row r="34" spans="1:8" ht="86.25" customHeight="1" x14ac:dyDescent="0.25">
      <c r="A34" s="19" t="s">
        <v>797</v>
      </c>
      <c r="B34" s="19" t="s">
        <v>798</v>
      </c>
      <c r="C34" s="20" t="s">
        <v>802</v>
      </c>
      <c r="D34" s="21" t="s">
        <v>803</v>
      </c>
      <c r="E34" s="17">
        <v>2</v>
      </c>
      <c r="F34" s="18" t="s">
        <v>45</v>
      </c>
      <c r="G34" s="21" t="s">
        <v>804</v>
      </c>
      <c r="H34" s="21" t="s">
        <v>805</v>
      </c>
    </row>
    <row r="35" spans="1:8" ht="120" customHeight="1" x14ac:dyDescent="0.25">
      <c r="A35" s="14" t="s">
        <v>797</v>
      </c>
      <c r="B35" s="14" t="s">
        <v>798</v>
      </c>
      <c r="C35" s="15" t="s">
        <v>806</v>
      </c>
      <c r="D35" s="16" t="s">
        <v>807</v>
      </c>
      <c r="E35" s="17">
        <v>2</v>
      </c>
      <c r="F35" s="18" t="s">
        <v>45</v>
      </c>
      <c r="G35" s="16" t="s">
        <v>808</v>
      </c>
      <c r="H35" s="16" t="s">
        <v>809</v>
      </c>
    </row>
    <row r="36" spans="1:8" ht="96" customHeight="1" x14ac:dyDescent="0.25">
      <c r="A36" s="19" t="s">
        <v>797</v>
      </c>
      <c r="B36" s="19" t="s">
        <v>798</v>
      </c>
      <c r="C36" s="20" t="s">
        <v>810</v>
      </c>
      <c r="D36" s="21" t="s">
        <v>811</v>
      </c>
      <c r="E36" s="17">
        <v>2</v>
      </c>
      <c r="F36" s="18" t="s">
        <v>45</v>
      </c>
      <c r="G36" s="21" t="s">
        <v>812</v>
      </c>
      <c r="H36" s="21" t="s">
        <v>813</v>
      </c>
    </row>
    <row r="37" spans="1:8" ht="105" customHeight="1" x14ac:dyDescent="0.25">
      <c r="A37" s="14" t="s">
        <v>797</v>
      </c>
      <c r="B37" s="14" t="s">
        <v>798</v>
      </c>
      <c r="C37" s="15" t="s">
        <v>814</v>
      </c>
      <c r="D37" s="16" t="s">
        <v>815</v>
      </c>
      <c r="E37" s="17">
        <v>2</v>
      </c>
      <c r="F37" s="18" t="s">
        <v>54</v>
      </c>
      <c r="G37" s="16" t="s">
        <v>816</v>
      </c>
      <c r="H37" s="16"/>
    </row>
    <row r="38" spans="1:8" ht="18" customHeight="1" x14ac:dyDescent="0.25">
      <c r="A38" s="13" t="s">
        <v>817</v>
      </c>
      <c r="B38" s="13" t="s">
        <v>818</v>
      </c>
      <c r="C38" s="13"/>
      <c r="D38" s="13"/>
      <c r="E38" s="13"/>
      <c r="F38" s="13"/>
      <c r="G38" s="13"/>
      <c r="H38" s="13"/>
    </row>
    <row r="39" spans="1:8" ht="75" customHeight="1" x14ac:dyDescent="0.25">
      <c r="A39" s="14" t="s">
        <v>817</v>
      </c>
      <c r="B39" s="14" t="s">
        <v>818</v>
      </c>
      <c r="C39" s="15" t="s">
        <v>819</v>
      </c>
      <c r="D39" s="16" t="s">
        <v>820</v>
      </c>
      <c r="E39" s="17">
        <v>2</v>
      </c>
      <c r="F39" s="18" t="s">
        <v>45</v>
      </c>
      <c r="G39" s="16" t="s">
        <v>821</v>
      </c>
      <c r="H39" s="16" t="s">
        <v>822</v>
      </c>
    </row>
    <row r="40" spans="1:8" ht="106.5" customHeight="1" x14ac:dyDescent="0.25">
      <c r="A40" s="19" t="s">
        <v>817</v>
      </c>
      <c r="B40" s="19" t="s">
        <v>818</v>
      </c>
      <c r="C40" s="20" t="s">
        <v>823</v>
      </c>
      <c r="D40" s="21" t="s">
        <v>824</v>
      </c>
      <c r="E40" s="17">
        <v>2</v>
      </c>
      <c r="F40" s="18" t="s">
        <v>45</v>
      </c>
      <c r="G40" s="21" t="s">
        <v>825</v>
      </c>
      <c r="H40" s="21" t="s">
        <v>826</v>
      </c>
    </row>
    <row r="41" spans="1:8" ht="18" customHeight="1" x14ac:dyDescent="0.25">
      <c r="A41" s="13" t="s">
        <v>827</v>
      </c>
      <c r="B41" s="13" t="s">
        <v>828</v>
      </c>
      <c r="C41" s="13"/>
      <c r="D41" s="13"/>
      <c r="E41" s="13"/>
      <c r="F41" s="13"/>
      <c r="G41" s="13"/>
      <c r="H41" s="13"/>
    </row>
    <row r="42" spans="1:8" ht="138" customHeight="1" x14ac:dyDescent="0.25">
      <c r="A42" s="14" t="s">
        <v>827</v>
      </c>
      <c r="B42" s="14" t="s">
        <v>828</v>
      </c>
      <c r="C42" s="15" t="s">
        <v>829</v>
      </c>
      <c r="D42" s="16" t="s">
        <v>830</v>
      </c>
      <c r="E42" s="17">
        <v>2</v>
      </c>
      <c r="F42" s="18" t="s">
        <v>45</v>
      </c>
      <c r="G42" s="16" t="s">
        <v>831</v>
      </c>
      <c r="H42" s="16" t="s">
        <v>832</v>
      </c>
    </row>
    <row r="43" spans="1:8" ht="105" customHeight="1" x14ac:dyDescent="0.25">
      <c r="A43" s="19" t="s">
        <v>827</v>
      </c>
      <c r="B43" s="19" t="s">
        <v>828</v>
      </c>
      <c r="C43" s="20" t="s">
        <v>833</v>
      </c>
      <c r="D43" s="21" t="s">
        <v>834</v>
      </c>
      <c r="E43" s="17">
        <v>2</v>
      </c>
      <c r="F43" s="18" t="s">
        <v>45</v>
      </c>
      <c r="G43" s="21" t="s">
        <v>835</v>
      </c>
      <c r="H43" s="21" t="s">
        <v>836</v>
      </c>
    </row>
    <row r="44" spans="1:8" ht="111" customHeight="1" x14ac:dyDescent="0.25">
      <c r="A44" s="14" t="s">
        <v>827</v>
      </c>
      <c r="B44" s="14" t="s">
        <v>828</v>
      </c>
      <c r="C44" s="15" t="s">
        <v>837</v>
      </c>
      <c r="D44" s="16" t="s">
        <v>838</v>
      </c>
      <c r="E44" s="17">
        <v>2</v>
      </c>
      <c r="F44" s="18" t="s">
        <v>45</v>
      </c>
      <c r="G44" s="16" t="s">
        <v>839</v>
      </c>
      <c r="H44" s="16" t="s">
        <v>840</v>
      </c>
    </row>
  </sheetData>
  <conditionalFormatting sqref="F2:F44">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44" xr:uid="{00000000-0002-0000-0A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32"/>
  <sheetViews>
    <sheetView zoomScale="75" zoomScaleNormal="75" workbookViewId="0">
      <pane ySplit="1" topLeftCell="A25" activePane="bottomLeft" state="frozen"/>
      <selection pane="bottomLeft" activeCell="F28" sqref="F28"/>
    </sheetView>
  </sheetViews>
  <sheetFormatPr defaultColWidth="8.5703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x14ac:dyDescent="0.25">
      <c r="A1" s="12" t="s">
        <v>33</v>
      </c>
      <c r="B1" s="12" t="s">
        <v>34</v>
      </c>
      <c r="C1" s="12" t="s">
        <v>35</v>
      </c>
      <c r="D1" s="12" t="s">
        <v>36</v>
      </c>
      <c r="E1" s="12" t="s">
        <v>37</v>
      </c>
      <c r="F1" s="12" t="s">
        <v>38</v>
      </c>
      <c r="G1" s="12" t="s">
        <v>39</v>
      </c>
      <c r="H1" s="12" t="s">
        <v>40</v>
      </c>
    </row>
    <row r="2" spans="1:8" x14ac:dyDescent="0.25">
      <c r="A2" s="13" t="s">
        <v>841</v>
      </c>
      <c r="B2" s="13" t="s">
        <v>842</v>
      </c>
      <c r="C2" s="13"/>
      <c r="D2" s="13"/>
      <c r="E2" s="13"/>
      <c r="F2" s="13"/>
      <c r="G2" s="13"/>
      <c r="H2" s="13"/>
    </row>
    <row r="3" spans="1:8" ht="210" customHeight="1" x14ac:dyDescent="0.25">
      <c r="A3" s="14" t="s">
        <v>841</v>
      </c>
      <c r="B3" s="14" t="s">
        <v>842</v>
      </c>
      <c r="C3" s="15" t="s">
        <v>843</v>
      </c>
      <c r="D3" s="16" t="s">
        <v>844</v>
      </c>
      <c r="E3" s="17">
        <v>2</v>
      </c>
      <c r="F3" s="18" t="s">
        <v>49</v>
      </c>
      <c r="G3" s="16" t="s">
        <v>845</v>
      </c>
      <c r="H3" s="16" t="s">
        <v>846</v>
      </c>
    </row>
    <row r="4" spans="1:8" ht="180" customHeight="1" x14ac:dyDescent="0.25">
      <c r="A4" s="19" t="s">
        <v>841</v>
      </c>
      <c r="B4" s="19" t="s">
        <v>842</v>
      </c>
      <c r="C4" s="20" t="s">
        <v>847</v>
      </c>
      <c r="D4" s="21" t="s">
        <v>848</v>
      </c>
      <c r="E4" s="17">
        <v>2</v>
      </c>
      <c r="F4" s="18" t="s">
        <v>45</v>
      </c>
      <c r="G4" s="16" t="s">
        <v>849</v>
      </c>
      <c r="H4" s="21" t="s">
        <v>850</v>
      </c>
    </row>
    <row r="5" spans="1:8" ht="45" customHeight="1" x14ac:dyDescent="0.25">
      <c r="A5" s="14" t="s">
        <v>841</v>
      </c>
      <c r="B5" s="14" t="s">
        <v>842</v>
      </c>
      <c r="C5" s="15" t="s">
        <v>851</v>
      </c>
      <c r="D5" s="16" t="s">
        <v>852</v>
      </c>
      <c r="E5" s="23">
        <v>3</v>
      </c>
      <c r="F5" s="18" t="s">
        <v>54</v>
      </c>
      <c r="G5" s="21"/>
      <c r="H5" s="16"/>
    </row>
    <row r="6" spans="1:8" ht="60" customHeight="1" x14ac:dyDescent="0.25">
      <c r="A6" s="19" t="s">
        <v>841</v>
      </c>
      <c r="B6" s="19" t="s">
        <v>842</v>
      </c>
      <c r="C6" s="20" t="s">
        <v>853</v>
      </c>
      <c r="D6" s="21" t="s">
        <v>854</v>
      </c>
      <c r="E6" s="23">
        <v>3</v>
      </c>
      <c r="F6" s="18" t="s">
        <v>54</v>
      </c>
      <c r="G6" s="16"/>
      <c r="H6" s="21"/>
    </row>
    <row r="7" spans="1:8" x14ac:dyDescent="0.25">
      <c r="A7" s="13" t="s">
        <v>855</v>
      </c>
      <c r="B7" s="13" t="s">
        <v>856</v>
      </c>
      <c r="C7" s="13"/>
      <c r="D7" s="13"/>
      <c r="E7" s="13"/>
      <c r="F7" s="13"/>
      <c r="G7" s="13"/>
      <c r="H7" s="13"/>
    </row>
    <row r="8" spans="1:8" ht="165" customHeight="1" x14ac:dyDescent="0.25">
      <c r="A8" s="14" t="s">
        <v>855</v>
      </c>
      <c r="B8" s="14" t="s">
        <v>856</v>
      </c>
      <c r="C8" s="15" t="s">
        <v>857</v>
      </c>
      <c r="D8" s="16" t="s">
        <v>858</v>
      </c>
      <c r="E8" s="17">
        <v>2</v>
      </c>
      <c r="F8" s="18" t="s">
        <v>45</v>
      </c>
      <c r="G8" s="16" t="s">
        <v>859</v>
      </c>
      <c r="H8" s="16" t="s">
        <v>860</v>
      </c>
    </row>
    <row r="9" spans="1:8" ht="225" customHeight="1" x14ac:dyDescent="0.25">
      <c r="A9" s="19" t="s">
        <v>855</v>
      </c>
      <c r="B9" s="19" t="s">
        <v>856</v>
      </c>
      <c r="C9" s="20" t="s">
        <v>861</v>
      </c>
      <c r="D9" s="21" t="s">
        <v>862</v>
      </c>
      <c r="E9" s="17">
        <v>2</v>
      </c>
      <c r="F9" s="18" t="s">
        <v>45</v>
      </c>
      <c r="G9" s="21" t="s">
        <v>863</v>
      </c>
      <c r="H9" s="21" t="s">
        <v>864</v>
      </c>
    </row>
    <row r="10" spans="1:8" ht="150" customHeight="1" x14ac:dyDescent="0.25">
      <c r="A10" s="14" t="s">
        <v>855</v>
      </c>
      <c r="B10" s="14" t="s">
        <v>856</v>
      </c>
      <c r="C10" s="15" t="s">
        <v>865</v>
      </c>
      <c r="D10" s="16" t="s">
        <v>866</v>
      </c>
      <c r="E10" s="17">
        <v>2</v>
      </c>
      <c r="F10" s="18" t="s">
        <v>45</v>
      </c>
      <c r="G10" s="16" t="s">
        <v>867</v>
      </c>
      <c r="H10" s="16" t="s">
        <v>868</v>
      </c>
    </row>
    <row r="11" spans="1:8" ht="240" customHeight="1" x14ac:dyDescent="0.25">
      <c r="A11" s="19" t="s">
        <v>855</v>
      </c>
      <c r="B11" s="19" t="s">
        <v>856</v>
      </c>
      <c r="C11" s="20" t="s">
        <v>869</v>
      </c>
      <c r="D11" s="21" t="s">
        <v>870</v>
      </c>
      <c r="E11" s="23">
        <v>3</v>
      </c>
      <c r="F11" s="18" t="s">
        <v>45</v>
      </c>
      <c r="G11" s="21" t="s">
        <v>871</v>
      </c>
      <c r="H11" s="21" t="s">
        <v>872</v>
      </c>
    </row>
    <row r="12" spans="1:8" ht="195" customHeight="1" x14ac:dyDescent="0.25">
      <c r="A12" s="14" t="s">
        <v>855</v>
      </c>
      <c r="B12" s="14" t="s">
        <v>856</v>
      </c>
      <c r="C12" s="15" t="s">
        <v>873</v>
      </c>
      <c r="D12" s="16" t="s">
        <v>874</v>
      </c>
      <c r="E12" s="23">
        <v>3</v>
      </c>
      <c r="F12" s="18" t="s">
        <v>54</v>
      </c>
      <c r="G12" s="16" t="s">
        <v>875</v>
      </c>
      <c r="H12" s="16"/>
    </row>
    <row r="13" spans="1:8" x14ac:dyDescent="0.25">
      <c r="A13" s="13" t="s">
        <v>876</v>
      </c>
      <c r="B13" s="13" t="s">
        <v>877</v>
      </c>
      <c r="C13" s="13"/>
      <c r="D13" s="13"/>
      <c r="E13" s="13"/>
      <c r="F13" s="13"/>
      <c r="G13" s="13"/>
      <c r="H13" s="13"/>
    </row>
    <row r="14" spans="1:8" ht="150" customHeight="1" x14ac:dyDescent="0.25">
      <c r="A14" s="14" t="s">
        <v>876</v>
      </c>
      <c r="B14" s="14" t="s">
        <v>877</v>
      </c>
      <c r="C14" s="15" t="s">
        <v>878</v>
      </c>
      <c r="D14" s="16" t="s">
        <v>879</v>
      </c>
      <c r="E14" s="22">
        <v>1</v>
      </c>
      <c r="F14" s="18" t="s">
        <v>45</v>
      </c>
      <c r="G14" s="16" t="s">
        <v>880</v>
      </c>
      <c r="H14" s="16" t="s">
        <v>881</v>
      </c>
    </row>
    <row r="15" spans="1:8" ht="150" customHeight="1" x14ac:dyDescent="0.25">
      <c r="A15" s="19" t="s">
        <v>876</v>
      </c>
      <c r="B15" s="19" t="s">
        <v>877</v>
      </c>
      <c r="C15" s="20" t="s">
        <v>882</v>
      </c>
      <c r="D15" s="21" t="s">
        <v>883</v>
      </c>
      <c r="E15" s="22">
        <v>1</v>
      </c>
      <c r="F15" s="18" t="s">
        <v>45</v>
      </c>
      <c r="G15" s="21" t="s">
        <v>884</v>
      </c>
      <c r="H15" s="21" t="s">
        <v>885</v>
      </c>
    </row>
    <row r="16" spans="1:8" ht="150" customHeight="1" x14ac:dyDescent="0.25">
      <c r="A16" s="14" t="s">
        <v>876</v>
      </c>
      <c r="B16" s="14" t="s">
        <v>877</v>
      </c>
      <c r="C16" s="15" t="s">
        <v>886</v>
      </c>
      <c r="D16" s="16" t="s">
        <v>887</v>
      </c>
      <c r="E16" s="17">
        <v>2</v>
      </c>
      <c r="F16" s="18" t="s">
        <v>45</v>
      </c>
      <c r="G16" s="16" t="s">
        <v>888</v>
      </c>
      <c r="H16" s="16" t="s">
        <v>889</v>
      </c>
    </row>
    <row r="17" spans="1:8" ht="60" customHeight="1" x14ac:dyDescent="0.25">
      <c r="A17" s="19" t="s">
        <v>876</v>
      </c>
      <c r="B17" s="19" t="s">
        <v>877</v>
      </c>
      <c r="C17" s="20" t="s">
        <v>890</v>
      </c>
      <c r="D17" s="21" t="s">
        <v>891</v>
      </c>
      <c r="E17" s="23">
        <v>3</v>
      </c>
      <c r="F17" s="18" t="s">
        <v>54</v>
      </c>
      <c r="G17" s="21"/>
      <c r="H17" s="21"/>
    </row>
    <row r="18" spans="1:8" ht="195" customHeight="1" x14ac:dyDescent="0.25">
      <c r="A18" s="14" t="s">
        <v>876</v>
      </c>
      <c r="B18" s="14" t="s">
        <v>877</v>
      </c>
      <c r="C18" s="15" t="s">
        <v>892</v>
      </c>
      <c r="D18" s="16" t="s">
        <v>893</v>
      </c>
      <c r="E18" s="23">
        <v>3</v>
      </c>
      <c r="F18" s="18" t="s">
        <v>54</v>
      </c>
      <c r="G18" s="21" t="s">
        <v>894</v>
      </c>
      <c r="H18" s="16"/>
    </row>
    <row r="19" spans="1:8" x14ac:dyDescent="0.25">
      <c r="A19" s="13" t="s">
        <v>895</v>
      </c>
      <c r="B19" s="13" t="s">
        <v>896</v>
      </c>
      <c r="C19" s="13"/>
      <c r="D19" s="13"/>
      <c r="E19" s="13"/>
      <c r="F19" s="13"/>
      <c r="G19" s="13"/>
      <c r="H19" s="13"/>
    </row>
    <row r="20" spans="1:8" ht="135" customHeight="1" x14ac:dyDescent="0.25">
      <c r="A20" s="14" t="s">
        <v>895</v>
      </c>
      <c r="B20" s="14" t="s">
        <v>896</v>
      </c>
      <c r="C20" s="15" t="s">
        <v>897</v>
      </c>
      <c r="D20" s="16" t="s">
        <v>898</v>
      </c>
      <c r="E20" s="22">
        <v>1</v>
      </c>
      <c r="F20" s="18" t="s">
        <v>45</v>
      </c>
      <c r="G20" s="27" t="s">
        <v>899</v>
      </c>
      <c r="H20" s="16" t="s">
        <v>900</v>
      </c>
    </row>
    <row r="21" spans="1:8" ht="195" customHeight="1" x14ac:dyDescent="0.25">
      <c r="A21" s="19" t="s">
        <v>895</v>
      </c>
      <c r="B21" s="19" t="s">
        <v>896</v>
      </c>
      <c r="C21" s="20" t="s">
        <v>901</v>
      </c>
      <c r="D21" s="21" t="s">
        <v>902</v>
      </c>
      <c r="E21" s="17">
        <v>2</v>
      </c>
      <c r="F21" s="18" t="s">
        <v>45</v>
      </c>
      <c r="G21" s="27" t="s">
        <v>903</v>
      </c>
      <c r="H21" s="21" t="s">
        <v>904</v>
      </c>
    </row>
    <row r="22" spans="1:8" ht="180" customHeight="1" x14ac:dyDescent="0.25">
      <c r="A22" s="14" t="s">
        <v>895</v>
      </c>
      <c r="B22" s="14" t="s">
        <v>896</v>
      </c>
      <c r="C22" s="15" t="s">
        <v>905</v>
      </c>
      <c r="D22" s="16" t="s">
        <v>906</v>
      </c>
      <c r="E22" s="17">
        <v>2</v>
      </c>
      <c r="F22" s="18" t="s">
        <v>45</v>
      </c>
      <c r="G22" s="27" t="s">
        <v>907</v>
      </c>
      <c r="H22" s="16" t="s">
        <v>908</v>
      </c>
    </row>
    <row r="23" spans="1:8" ht="180" customHeight="1" x14ac:dyDescent="0.25">
      <c r="A23" s="19" t="s">
        <v>895</v>
      </c>
      <c r="B23" s="19" t="s">
        <v>896</v>
      </c>
      <c r="C23" s="20" t="s">
        <v>909</v>
      </c>
      <c r="D23" s="21" t="s">
        <v>910</v>
      </c>
      <c r="E23" s="17">
        <v>2</v>
      </c>
      <c r="F23" s="18" t="s">
        <v>45</v>
      </c>
      <c r="G23" s="21" t="s">
        <v>911</v>
      </c>
      <c r="H23" s="21" t="s">
        <v>912</v>
      </c>
    </row>
    <row r="24" spans="1:8" x14ac:dyDescent="0.25">
      <c r="A24" s="13" t="s">
        <v>913</v>
      </c>
      <c r="B24" s="13" t="s">
        <v>914</v>
      </c>
      <c r="C24" s="13"/>
      <c r="D24" s="13"/>
      <c r="E24" s="13"/>
      <c r="F24" s="13"/>
      <c r="G24" s="13"/>
      <c r="H24" s="13"/>
    </row>
    <row r="25" spans="1:8" ht="210" customHeight="1" x14ac:dyDescent="0.25">
      <c r="A25" s="14" t="s">
        <v>913</v>
      </c>
      <c r="B25" s="14" t="s">
        <v>914</v>
      </c>
      <c r="C25" s="15" t="s">
        <v>915</v>
      </c>
      <c r="D25" s="16" t="s">
        <v>916</v>
      </c>
      <c r="E25" s="17">
        <v>2</v>
      </c>
      <c r="F25" s="18" t="s">
        <v>49</v>
      </c>
      <c r="G25" s="16" t="s">
        <v>917</v>
      </c>
      <c r="H25" s="16" t="s">
        <v>918</v>
      </c>
    </row>
    <row r="26" spans="1:8" ht="210" customHeight="1" x14ac:dyDescent="0.25">
      <c r="A26" s="19" t="s">
        <v>913</v>
      </c>
      <c r="B26" s="19" t="s">
        <v>914</v>
      </c>
      <c r="C26" s="20" t="s">
        <v>919</v>
      </c>
      <c r="D26" s="21" t="s">
        <v>920</v>
      </c>
      <c r="E26" s="23">
        <v>3</v>
      </c>
      <c r="F26" s="18" t="s">
        <v>45</v>
      </c>
      <c r="G26" s="21" t="s">
        <v>921</v>
      </c>
      <c r="H26" s="21" t="s">
        <v>922</v>
      </c>
    </row>
    <row r="27" spans="1:8" x14ac:dyDescent="0.25">
      <c r="A27" s="13" t="s">
        <v>923</v>
      </c>
      <c r="B27" s="13" t="s">
        <v>924</v>
      </c>
      <c r="C27" s="13"/>
      <c r="D27" s="13"/>
      <c r="E27" s="13"/>
      <c r="F27" s="13"/>
      <c r="G27" s="13"/>
      <c r="H27" s="13"/>
    </row>
    <row r="28" spans="1:8" ht="210" customHeight="1" x14ac:dyDescent="0.25">
      <c r="A28" s="14" t="s">
        <v>923</v>
      </c>
      <c r="B28" s="14" t="s">
        <v>924</v>
      </c>
      <c r="C28" s="15" t="s">
        <v>925</v>
      </c>
      <c r="D28" s="16" t="s">
        <v>926</v>
      </c>
      <c r="E28" s="17">
        <v>2</v>
      </c>
      <c r="F28" s="18" t="s">
        <v>45</v>
      </c>
      <c r="G28" s="16" t="s">
        <v>927</v>
      </c>
      <c r="H28" s="16" t="s">
        <v>928</v>
      </c>
    </row>
    <row r="29" spans="1:8" ht="150" customHeight="1" x14ac:dyDescent="0.25">
      <c r="A29" s="19" t="s">
        <v>923</v>
      </c>
      <c r="B29" s="19" t="s">
        <v>924</v>
      </c>
      <c r="C29" s="20" t="s">
        <v>929</v>
      </c>
      <c r="D29" s="21" t="s">
        <v>930</v>
      </c>
      <c r="E29" s="23">
        <v>3</v>
      </c>
      <c r="F29" s="18" t="s">
        <v>54</v>
      </c>
      <c r="G29" s="21" t="s">
        <v>931</v>
      </c>
      <c r="H29" s="21"/>
    </row>
    <row r="30" spans="1:8" x14ac:dyDescent="0.25">
      <c r="A30" s="13" t="s">
        <v>932</v>
      </c>
      <c r="B30" s="13" t="s">
        <v>933</v>
      </c>
      <c r="C30" s="13"/>
      <c r="D30" s="13"/>
      <c r="E30" s="13"/>
      <c r="F30" s="13"/>
      <c r="G30" s="13"/>
      <c r="H30" s="13"/>
    </row>
    <row r="31" spans="1:8" ht="210" customHeight="1" x14ac:dyDescent="0.25">
      <c r="A31" s="14" t="s">
        <v>932</v>
      </c>
      <c r="B31" s="14" t="s">
        <v>933</v>
      </c>
      <c r="C31" s="15" t="s">
        <v>934</v>
      </c>
      <c r="D31" s="16" t="s">
        <v>935</v>
      </c>
      <c r="E31" s="23">
        <v>3</v>
      </c>
      <c r="F31" s="18" t="s">
        <v>54</v>
      </c>
      <c r="G31" s="16" t="s">
        <v>936</v>
      </c>
      <c r="H31" s="16"/>
    </row>
    <row r="32" spans="1:8" ht="45" customHeight="1" x14ac:dyDescent="0.25">
      <c r="A32" s="19" t="s">
        <v>932</v>
      </c>
      <c r="B32" s="19" t="s">
        <v>933</v>
      </c>
      <c r="C32" s="20" t="s">
        <v>937</v>
      </c>
      <c r="D32" s="21" t="s">
        <v>938</v>
      </c>
      <c r="E32" s="23">
        <v>3</v>
      </c>
      <c r="F32" s="18" t="s">
        <v>54</v>
      </c>
      <c r="G32" s="21"/>
      <c r="H32" s="21"/>
    </row>
  </sheetData>
  <conditionalFormatting sqref="F2:F32">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2" xr:uid="{00000000-0002-0000-0B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6"/>
  <sheetViews>
    <sheetView zoomScale="85" zoomScaleNormal="85" workbookViewId="0">
      <pane ySplit="1" topLeftCell="A2" activePane="bottomLeft" state="frozen"/>
      <selection pane="bottomLeft" activeCell="F9" sqref="F9"/>
    </sheetView>
  </sheetViews>
  <sheetFormatPr defaultColWidth="8.5703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15" customHeight="1" x14ac:dyDescent="0.25">
      <c r="A1" s="12" t="s">
        <v>33</v>
      </c>
      <c r="B1" s="12" t="s">
        <v>34</v>
      </c>
      <c r="C1" s="12" t="s">
        <v>35</v>
      </c>
      <c r="D1" s="12" t="s">
        <v>36</v>
      </c>
      <c r="E1" s="12" t="s">
        <v>37</v>
      </c>
      <c r="F1" s="12" t="s">
        <v>38</v>
      </c>
      <c r="G1" s="12" t="s">
        <v>39</v>
      </c>
      <c r="H1" s="12" t="s">
        <v>40</v>
      </c>
    </row>
    <row r="2" spans="1:8" ht="18" customHeight="1" x14ac:dyDescent="0.25">
      <c r="A2" s="13" t="s">
        <v>939</v>
      </c>
      <c r="B2" s="13" t="s">
        <v>940</v>
      </c>
      <c r="C2" s="13"/>
      <c r="D2" s="13"/>
      <c r="E2" s="13"/>
      <c r="F2" s="13"/>
      <c r="G2" s="13"/>
      <c r="H2" s="13"/>
    </row>
    <row r="3" spans="1:8" ht="90" customHeight="1" x14ac:dyDescent="0.25">
      <c r="A3" s="14" t="s">
        <v>939</v>
      </c>
      <c r="B3" s="14" t="s">
        <v>940</v>
      </c>
      <c r="C3" s="15" t="s">
        <v>941</v>
      </c>
      <c r="D3" s="16" t="s">
        <v>942</v>
      </c>
      <c r="E3" s="22">
        <v>1</v>
      </c>
      <c r="F3" s="18" t="s">
        <v>49</v>
      </c>
      <c r="G3" s="16" t="s">
        <v>943</v>
      </c>
      <c r="H3" s="16" t="s">
        <v>944</v>
      </c>
    </row>
    <row r="4" spans="1:8" ht="90" customHeight="1" x14ac:dyDescent="0.25">
      <c r="A4" s="19" t="s">
        <v>939</v>
      </c>
      <c r="B4" s="19" t="s">
        <v>940</v>
      </c>
      <c r="C4" s="20" t="s">
        <v>945</v>
      </c>
      <c r="D4" s="21" t="s">
        <v>946</v>
      </c>
      <c r="E4" s="17">
        <v>2</v>
      </c>
      <c r="F4" s="18" t="s">
        <v>49</v>
      </c>
      <c r="G4" s="21" t="s">
        <v>947</v>
      </c>
      <c r="H4" s="21" t="s">
        <v>948</v>
      </c>
    </row>
    <row r="5" spans="1:8" ht="60" customHeight="1" x14ac:dyDescent="0.25">
      <c r="A5" s="14" t="s">
        <v>939</v>
      </c>
      <c r="B5" s="14" t="s">
        <v>940</v>
      </c>
      <c r="C5" s="15" t="s">
        <v>949</v>
      </c>
      <c r="D5" s="16" t="s">
        <v>950</v>
      </c>
      <c r="E5" s="17">
        <v>2</v>
      </c>
      <c r="F5" s="18" t="s">
        <v>54</v>
      </c>
      <c r="G5" s="16" t="s">
        <v>951</v>
      </c>
      <c r="H5" s="16"/>
    </row>
    <row r="6" spans="1:8" ht="30" customHeight="1" x14ac:dyDescent="0.25">
      <c r="A6" s="19" t="s">
        <v>939</v>
      </c>
      <c r="B6" s="19" t="s">
        <v>940</v>
      </c>
      <c r="C6" s="20" t="s">
        <v>952</v>
      </c>
      <c r="D6" s="21" t="s">
        <v>953</v>
      </c>
      <c r="E6" s="23">
        <v>3</v>
      </c>
      <c r="F6" s="18" t="s">
        <v>54</v>
      </c>
      <c r="G6" s="21"/>
      <c r="H6" s="21"/>
    </row>
    <row r="7" spans="1:8" ht="30" customHeight="1" x14ac:dyDescent="0.25">
      <c r="A7" s="14" t="s">
        <v>939</v>
      </c>
      <c r="B7" s="14" t="s">
        <v>940</v>
      </c>
      <c r="C7" s="15" t="s">
        <v>954</v>
      </c>
      <c r="D7" s="16" t="s">
        <v>955</v>
      </c>
      <c r="E7" s="23">
        <v>3</v>
      </c>
      <c r="F7" s="18" t="s">
        <v>54</v>
      </c>
      <c r="G7" s="16"/>
      <c r="H7" s="16"/>
    </row>
    <row r="8" spans="1:8" ht="18" customHeight="1" x14ac:dyDescent="0.25">
      <c r="A8" s="13" t="s">
        <v>956</v>
      </c>
      <c r="B8" s="13" t="s">
        <v>957</v>
      </c>
      <c r="C8" s="13"/>
      <c r="D8" s="13"/>
      <c r="E8" s="13"/>
      <c r="F8" s="13"/>
      <c r="G8" s="13"/>
      <c r="H8" s="13"/>
    </row>
    <row r="9" spans="1:8" ht="90" customHeight="1" x14ac:dyDescent="0.25">
      <c r="A9" s="14" t="s">
        <v>956</v>
      </c>
      <c r="B9" s="14" t="s">
        <v>957</v>
      </c>
      <c r="C9" s="15" t="s">
        <v>958</v>
      </c>
      <c r="D9" s="16" t="s">
        <v>959</v>
      </c>
      <c r="E9" s="22">
        <v>1</v>
      </c>
      <c r="F9" s="18" t="s">
        <v>49</v>
      </c>
      <c r="G9" s="16" t="s">
        <v>960</v>
      </c>
      <c r="H9" s="16" t="s">
        <v>961</v>
      </c>
    </row>
    <row r="10" spans="1:8" ht="90" customHeight="1" x14ac:dyDescent="0.25">
      <c r="A10" s="19" t="s">
        <v>956</v>
      </c>
      <c r="B10" s="19" t="s">
        <v>957</v>
      </c>
      <c r="C10" s="20" t="s">
        <v>962</v>
      </c>
      <c r="D10" s="21" t="s">
        <v>963</v>
      </c>
      <c r="E10" s="22">
        <v>1</v>
      </c>
      <c r="F10" s="18" t="s">
        <v>49</v>
      </c>
      <c r="G10" s="21" t="s">
        <v>964</v>
      </c>
      <c r="H10" s="21" t="s">
        <v>965</v>
      </c>
    </row>
    <row r="11" spans="1:8" ht="18" customHeight="1" x14ac:dyDescent="0.25">
      <c r="A11" s="13" t="s">
        <v>966</v>
      </c>
      <c r="B11" s="13" t="s">
        <v>967</v>
      </c>
      <c r="C11" s="13"/>
      <c r="D11" s="13"/>
      <c r="E11" s="13"/>
      <c r="F11" s="13"/>
      <c r="G11" s="13"/>
      <c r="H11" s="13"/>
    </row>
    <row r="12" spans="1:8" ht="30" customHeight="1" x14ac:dyDescent="0.25">
      <c r="A12" s="14" t="s">
        <v>966</v>
      </c>
      <c r="B12" s="14" t="s">
        <v>967</v>
      </c>
      <c r="C12" s="15" t="s">
        <v>968</v>
      </c>
      <c r="D12" s="16" t="s">
        <v>969</v>
      </c>
      <c r="E12" s="17">
        <v>2</v>
      </c>
      <c r="F12" s="18" t="s">
        <v>49</v>
      </c>
      <c r="G12" s="16" t="s">
        <v>970</v>
      </c>
      <c r="H12" s="16" t="s">
        <v>971</v>
      </c>
    </row>
    <row r="13" spans="1:8" ht="30" customHeight="1" x14ac:dyDescent="0.25">
      <c r="A13" s="19" t="s">
        <v>966</v>
      </c>
      <c r="B13" s="19" t="s">
        <v>967</v>
      </c>
      <c r="C13" s="20" t="s">
        <v>972</v>
      </c>
      <c r="D13" s="21" t="s">
        <v>973</v>
      </c>
      <c r="E13" s="17">
        <v>2</v>
      </c>
      <c r="F13" s="18" t="s">
        <v>49</v>
      </c>
      <c r="G13" s="21" t="s">
        <v>974</v>
      </c>
      <c r="H13" s="21" t="s">
        <v>975</v>
      </c>
    </row>
    <row r="14" spans="1:8" ht="30" customHeight="1" x14ac:dyDescent="0.25">
      <c r="A14" s="14" t="s">
        <v>966</v>
      </c>
      <c r="B14" s="14" t="s">
        <v>967</v>
      </c>
      <c r="C14" s="15" t="s">
        <v>976</v>
      </c>
      <c r="D14" s="16" t="s">
        <v>977</v>
      </c>
      <c r="E14" s="17">
        <v>2</v>
      </c>
      <c r="F14" s="18" t="s">
        <v>49</v>
      </c>
      <c r="G14" s="16" t="s">
        <v>978</v>
      </c>
      <c r="H14" s="16" t="s">
        <v>979</v>
      </c>
    </row>
    <row r="15" spans="1:8" ht="75" customHeight="1" x14ac:dyDescent="0.25">
      <c r="A15" s="19" t="s">
        <v>966</v>
      </c>
      <c r="B15" s="19" t="s">
        <v>967</v>
      </c>
      <c r="C15" s="20" t="s">
        <v>980</v>
      </c>
      <c r="D15" s="21" t="s">
        <v>981</v>
      </c>
      <c r="E15" s="17">
        <v>2</v>
      </c>
      <c r="F15" s="18" t="s">
        <v>49</v>
      </c>
      <c r="G15" s="21" t="s">
        <v>982</v>
      </c>
      <c r="H15" s="21" t="s">
        <v>983</v>
      </c>
    </row>
    <row r="16" spans="1:8" ht="30" customHeight="1" x14ac:dyDescent="0.25">
      <c r="A16" s="14" t="s">
        <v>966</v>
      </c>
      <c r="B16" s="14" t="s">
        <v>967</v>
      </c>
      <c r="C16" s="15" t="s">
        <v>984</v>
      </c>
      <c r="D16" s="16" t="s">
        <v>985</v>
      </c>
      <c r="E16" s="23">
        <v>3</v>
      </c>
      <c r="F16" s="18" t="s">
        <v>54</v>
      </c>
      <c r="G16" s="16"/>
      <c r="H16" s="16"/>
    </row>
  </sheetData>
  <conditionalFormatting sqref="F2:F1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6" xr:uid="{00000000-0002-0000-0C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26"/>
  <sheetViews>
    <sheetView zoomScale="75" zoomScaleNormal="75" workbookViewId="0">
      <pane ySplit="1" topLeftCell="A3" activePane="bottomLeft" state="frozen"/>
      <selection pane="bottomLeft" activeCell="D23" sqref="D23"/>
    </sheetView>
  </sheetViews>
  <sheetFormatPr defaultColWidth="8.5703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15" customHeight="1" x14ac:dyDescent="0.25">
      <c r="A1" s="12" t="s">
        <v>33</v>
      </c>
      <c r="B1" s="12" t="s">
        <v>34</v>
      </c>
      <c r="C1" s="12" t="s">
        <v>35</v>
      </c>
      <c r="D1" s="12" t="s">
        <v>36</v>
      </c>
      <c r="E1" s="12" t="s">
        <v>37</v>
      </c>
      <c r="F1" s="12" t="s">
        <v>38</v>
      </c>
      <c r="G1" s="12" t="s">
        <v>39</v>
      </c>
      <c r="H1" s="12" t="s">
        <v>40</v>
      </c>
    </row>
    <row r="2" spans="1:8" ht="18" customHeight="1" x14ac:dyDescent="0.25">
      <c r="A2" s="13" t="s">
        <v>986</v>
      </c>
      <c r="B2" s="13" t="s">
        <v>987</v>
      </c>
      <c r="C2" s="13"/>
      <c r="D2" s="13"/>
      <c r="E2" s="13"/>
      <c r="F2" s="13"/>
      <c r="G2" s="13"/>
      <c r="H2" s="13"/>
    </row>
    <row r="3" spans="1:8" ht="30" customHeight="1" x14ac:dyDescent="0.25">
      <c r="A3" s="14" t="s">
        <v>986</v>
      </c>
      <c r="B3" s="14" t="s">
        <v>987</v>
      </c>
      <c r="C3" s="15" t="s">
        <v>988</v>
      </c>
      <c r="D3" s="16" t="s">
        <v>989</v>
      </c>
      <c r="E3" s="17">
        <v>2</v>
      </c>
      <c r="F3" s="18" t="s">
        <v>49</v>
      </c>
      <c r="G3" s="16" t="s">
        <v>990</v>
      </c>
      <c r="H3" s="16" t="s">
        <v>991</v>
      </c>
    </row>
    <row r="4" spans="1:8" ht="30" customHeight="1" x14ac:dyDescent="0.25">
      <c r="A4" s="19" t="s">
        <v>986</v>
      </c>
      <c r="B4" s="19" t="s">
        <v>987</v>
      </c>
      <c r="C4" s="20" t="s">
        <v>992</v>
      </c>
      <c r="D4" s="21" t="s">
        <v>993</v>
      </c>
      <c r="E4" s="23">
        <v>3</v>
      </c>
      <c r="F4" s="18" t="s">
        <v>54</v>
      </c>
      <c r="G4" s="21"/>
      <c r="H4" s="21"/>
    </row>
    <row r="5" spans="1:8" ht="30" customHeight="1" x14ac:dyDescent="0.25">
      <c r="A5" s="14" t="s">
        <v>986</v>
      </c>
      <c r="B5" s="14" t="s">
        <v>987</v>
      </c>
      <c r="C5" s="15" t="s">
        <v>994</v>
      </c>
      <c r="D5" s="16" t="s">
        <v>995</v>
      </c>
      <c r="E5" s="23">
        <v>3</v>
      </c>
      <c r="F5" s="18" t="s">
        <v>54</v>
      </c>
      <c r="G5" s="16"/>
      <c r="H5" s="16"/>
    </row>
    <row r="6" spans="1:8" ht="30" customHeight="1" x14ac:dyDescent="0.25">
      <c r="A6" s="19" t="s">
        <v>986</v>
      </c>
      <c r="B6" s="19" t="s">
        <v>987</v>
      </c>
      <c r="C6" s="20" t="s">
        <v>996</v>
      </c>
      <c r="D6" s="21" t="s">
        <v>997</v>
      </c>
      <c r="E6" s="23">
        <v>3</v>
      </c>
      <c r="F6" s="18" t="s">
        <v>54</v>
      </c>
      <c r="G6" s="21"/>
      <c r="H6" s="21"/>
    </row>
    <row r="7" spans="1:8" ht="18" customHeight="1" x14ac:dyDescent="0.25">
      <c r="A7" s="13" t="s">
        <v>998</v>
      </c>
      <c r="B7" s="13" t="s">
        <v>999</v>
      </c>
      <c r="C7" s="13"/>
      <c r="D7" s="13"/>
      <c r="E7" s="13"/>
      <c r="F7" s="13"/>
      <c r="G7" s="13"/>
      <c r="H7" s="13"/>
    </row>
    <row r="8" spans="1:8" ht="30" customHeight="1" x14ac:dyDescent="0.25">
      <c r="A8" s="14" t="s">
        <v>998</v>
      </c>
      <c r="B8" s="14" t="s">
        <v>999</v>
      </c>
      <c r="C8" s="15" t="s">
        <v>1000</v>
      </c>
      <c r="D8" s="16" t="s">
        <v>1001</v>
      </c>
      <c r="E8" s="17">
        <v>2</v>
      </c>
      <c r="F8" s="18" t="s">
        <v>58</v>
      </c>
      <c r="G8" s="16"/>
      <c r="H8" s="16"/>
    </row>
    <row r="9" spans="1:8" ht="30" customHeight="1" x14ac:dyDescent="0.25">
      <c r="A9" s="19" t="s">
        <v>998</v>
      </c>
      <c r="B9" s="19" t="s">
        <v>999</v>
      </c>
      <c r="C9" s="20" t="s">
        <v>1002</v>
      </c>
      <c r="D9" s="21" t="s">
        <v>1003</v>
      </c>
      <c r="E9" s="17">
        <v>2</v>
      </c>
      <c r="F9" s="18" t="s">
        <v>58</v>
      </c>
      <c r="G9" s="21"/>
      <c r="H9" s="21"/>
    </row>
    <row r="10" spans="1:8" ht="30" customHeight="1" x14ac:dyDescent="0.25">
      <c r="A10" s="14" t="s">
        <v>998</v>
      </c>
      <c r="B10" s="14" t="s">
        <v>999</v>
      </c>
      <c r="C10" s="15" t="s">
        <v>1004</v>
      </c>
      <c r="D10" s="16" t="s">
        <v>1005</v>
      </c>
      <c r="E10" s="17">
        <v>2</v>
      </c>
      <c r="F10" s="18" t="s">
        <v>54</v>
      </c>
      <c r="G10" s="16" t="s">
        <v>1006</v>
      </c>
      <c r="H10" s="16"/>
    </row>
    <row r="11" spans="1:8" ht="30" customHeight="1" x14ac:dyDescent="0.25">
      <c r="A11" s="19" t="s">
        <v>998</v>
      </c>
      <c r="B11" s="19" t="s">
        <v>999</v>
      </c>
      <c r="C11" s="20" t="s">
        <v>1007</v>
      </c>
      <c r="D11" s="21" t="s">
        <v>1008</v>
      </c>
      <c r="E11" s="17">
        <v>2</v>
      </c>
      <c r="F11" s="18" t="s">
        <v>58</v>
      </c>
      <c r="G11" s="21"/>
      <c r="H11" s="21"/>
    </row>
    <row r="12" spans="1:8" ht="30" customHeight="1" x14ac:dyDescent="0.25">
      <c r="A12" s="14" t="s">
        <v>998</v>
      </c>
      <c r="B12" s="14" t="s">
        <v>999</v>
      </c>
      <c r="C12" s="15" t="s">
        <v>1009</v>
      </c>
      <c r="D12" s="16" t="s">
        <v>1010</v>
      </c>
      <c r="E12" s="17">
        <v>2</v>
      </c>
      <c r="F12" s="18" t="s">
        <v>54</v>
      </c>
      <c r="G12" s="16" t="s">
        <v>1011</v>
      </c>
      <c r="H12" s="16"/>
    </row>
    <row r="13" spans="1:8" ht="30" customHeight="1" x14ac:dyDescent="0.25">
      <c r="A13" s="19" t="s">
        <v>998</v>
      </c>
      <c r="B13" s="19" t="s">
        <v>999</v>
      </c>
      <c r="C13" s="20" t="s">
        <v>1012</v>
      </c>
      <c r="D13" s="21" t="s">
        <v>1013</v>
      </c>
      <c r="E13" s="23">
        <v>3</v>
      </c>
      <c r="F13" s="18" t="s">
        <v>54</v>
      </c>
      <c r="G13" s="21"/>
      <c r="H13" s="21"/>
    </row>
    <row r="14" spans="1:8" ht="18" customHeight="1" x14ac:dyDescent="0.25">
      <c r="A14" s="13" t="s">
        <v>1014</v>
      </c>
      <c r="B14" s="13" t="s">
        <v>1015</v>
      </c>
      <c r="C14" s="13"/>
      <c r="D14" s="13"/>
      <c r="E14" s="13"/>
      <c r="F14" s="13"/>
      <c r="G14" s="13"/>
      <c r="H14" s="13"/>
    </row>
    <row r="15" spans="1:8" ht="30" customHeight="1" x14ac:dyDescent="0.25">
      <c r="A15" s="14" t="s">
        <v>1014</v>
      </c>
      <c r="B15" s="14" t="s">
        <v>1015</v>
      </c>
      <c r="C15" s="15" t="s">
        <v>1016</v>
      </c>
      <c r="D15" s="16" t="s">
        <v>1017</v>
      </c>
      <c r="E15" s="17">
        <v>2</v>
      </c>
      <c r="F15" s="18" t="s">
        <v>58</v>
      </c>
      <c r="G15" s="16"/>
      <c r="H15" s="16"/>
    </row>
    <row r="16" spans="1:8" ht="30" customHeight="1" x14ac:dyDescent="0.25">
      <c r="A16" s="19" t="s">
        <v>1014</v>
      </c>
      <c r="B16" s="19" t="s">
        <v>1015</v>
      </c>
      <c r="C16" s="20" t="s">
        <v>1018</v>
      </c>
      <c r="D16" s="21" t="s">
        <v>1019</v>
      </c>
      <c r="E16" s="17">
        <v>2</v>
      </c>
      <c r="F16" s="18" t="s">
        <v>58</v>
      </c>
      <c r="G16" s="21"/>
      <c r="H16" s="21"/>
    </row>
    <row r="17" spans="1:8" ht="30" customHeight="1" x14ac:dyDescent="0.25">
      <c r="A17" s="14" t="s">
        <v>1014</v>
      </c>
      <c r="B17" s="14" t="s">
        <v>1015</v>
      </c>
      <c r="C17" s="15" t="s">
        <v>1020</v>
      </c>
      <c r="D17" s="16" t="s">
        <v>1021</v>
      </c>
      <c r="E17" s="23">
        <v>3</v>
      </c>
      <c r="F17" s="18" t="s">
        <v>54</v>
      </c>
      <c r="G17" s="16"/>
      <c r="H17" s="16"/>
    </row>
    <row r="18" spans="1:8" ht="30" customHeight="1" x14ac:dyDescent="0.25">
      <c r="A18" s="19" t="s">
        <v>1014</v>
      </c>
      <c r="B18" s="19" t="s">
        <v>1015</v>
      </c>
      <c r="C18" s="20" t="s">
        <v>1022</v>
      </c>
      <c r="D18" s="21" t="s">
        <v>1023</v>
      </c>
      <c r="E18" s="23">
        <v>3</v>
      </c>
      <c r="F18" s="18" t="s">
        <v>54</v>
      </c>
      <c r="G18" s="21"/>
      <c r="H18" s="21"/>
    </row>
    <row r="19" spans="1:8" ht="18" customHeight="1" x14ac:dyDescent="0.25">
      <c r="A19" s="13" t="s">
        <v>1024</v>
      </c>
      <c r="B19" s="13" t="s">
        <v>1025</v>
      </c>
      <c r="C19" s="13"/>
      <c r="D19" s="13"/>
      <c r="E19" s="13"/>
      <c r="F19" s="13"/>
      <c r="G19" s="13"/>
      <c r="H19" s="13"/>
    </row>
    <row r="20" spans="1:8" ht="30" customHeight="1" x14ac:dyDescent="0.25">
      <c r="A20" s="14" t="s">
        <v>1024</v>
      </c>
      <c r="B20" s="14" t="s">
        <v>1025</v>
      </c>
      <c r="C20" s="15" t="s">
        <v>1026</v>
      </c>
      <c r="D20" s="16" t="s">
        <v>1027</v>
      </c>
      <c r="E20" s="22">
        <v>1</v>
      </c>
      <c r="F20" s="18" t="s">
        <v>45</v>
      </c>
      <c r="G20" s="16" t="s">
        <v>1028</v>
      </c>
      <c r="H20" s="16" t="s">
        <v>1029</v>
      </c>
    </row>
    <row r="21" spans="1:8" ht="30" customHeight="1" x14ac:dyDescent="0.25">
      <c r="A21" s="19" t="s">
        <v>1024</v>
      </c>
      <c r="B21" s="19" t="s">
        <v>1025</v>
      </c>
      <c r="C21" s="20" t="s">
        <v>1030</v>
      </c>
      <c r="D21" s="21" t="s">
        <v>1031</v>
      </c>
      <c r="E21" s="17">
        <v>2</v>
      </c>
      <c r="F21" s="18" t="s">
        <v>45</v>
      </c>
      <c r="G21" s="21" t="s">
        <v>1032</v>
      </c>
      <c r="H21" s="21" t="s">
        <v>1033</v>
      </c>
    </row>
    <row r="22" spans="1:8" ht="30" customHeight="1" x14ac:dyDescent="0.25">
      <c r="A22" s="14" t="s">
        <v>1024</v>
      </c>
      <c r="B22" s="14" t="s">
        <v>1025</v>
      </c>
      <c r="C22" s="15" t="s">
        <v>1034</v>
      </c>
      <c r="D22" s="16" t="s">
        <v>1035</v>
      </c>
      <c r="E22" s="17">
        <v>2</v>
      </c>
      <c r="F22" s="18" t="s">
        <v>54</v>
      </c>
      <c r="G22" s="16" t="s">
        <v>1036</v>
      </c>
      <c r="H22" s="16"/>
    </row>
    <row r="23" spans="1:8" ht="45" customHeight="1" x14ac:dyDescent="0.25">
      <c r="A23" s="19" t="s">
        <v>1024</v>
      </c>
      <c r="B23" s="19" t="s">
        <v>1025</v>
      </c>
      <c r="C23" s="20" t="s">
        <v>1037</v>
      </c>
      <c r="D23" s="21" t="s">
        <v>1038</v>
      </c>
      <c r="E23" s="17">
        <v>2</v>
      </c>
      <c r="F23" s="18" t="s">
        <v>45</v>
      </c>
      <c r="G23" s="21" t="s">
        <v>1039</v>
      </c>
      <c r="H23" s="21" t="s">
        <v>1040</v>
      </c>
    </row>
    <row r="24" spans="1:8" ht="30" customHeight="1" x14ac:dyDescent="0.25">
      <c r="A24" s="14" t="s">
        <v>1024</v>
      </c>
      <c r="B24" s="14" t="s">
        <v>1025</v>
      </c>
      <c r="C24" s="15" t="s">
        <v>1041</v>
      </c>
      <c r="D24" s="16" t="s">
        <v>1042</v>
      </c>
      <c r="E24" s="17">
        <v>2</v>
      </c>
      <c r="F24" s="18" t="s">
        <v>45</v>
      </c>
      <c r="G24" s="16" t="s">
        <v>1043</v>
      </c>
      <c r="H24" s="16" t="s">
        <v>1044</v>
      </c>
    </row>
    <row r="25" spans="1:8" ht="30" customHeight="1" x14ac:dyDescent="0.25">
      <c r="A25" s="19" t="s">
        <v>1024</v>
      </c>
      <c r="B25" s="19" t="s">
        <v>1025</v>
      </c>
      <c r="C25" s="20" t="s">
        <v>1045</v>
      </c>
      <c r="D25" s="21" t="s">
        <v>1046</v>
      </c>
      <c r="E25" s="23">
        <v>3</v>
      </c>
      <c r="F25" s="18" t="s">
        <v>54</v>
      </c>
      <c r="G25" s="21"/>
      <c r="H25" s="21"/>
    </row>
    <row r="26" spans="1:8" ht="30" customHeight="1" x14ac:dyDescent="0.25">
      <c r="A26" s="14" t="s">
        <v>1024</v>
      </c>
      <c r="B26" s="14" t="s">
        <v>1025</v>
      </c>
      <c r="C26" s="15" t="s">
        <v>1047</v>
      </c>
      <c r="D26" s="16" t="s">
        <v>1048</v>
      </c>
      <c r="E26" s="23">
        <v>3</v>
      </c>
      <c r="F26" s="18" t="s">
        <v>54</v>
      </c>
      <c r="G26" s="16" t="s">
        <v>1049</v>
      </c>
      <c r="H26" s="16"/>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D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7"/>
  <sheetViews>
    <sheetView zoomScale="70" zoomScaleNormal="70" workbookViewId="0">
      <pane ySplit="1" topLeftCell="A2" activePane="bottomLeft" state="frozen"/>
      <selection pane="bottomLeft" activeCell="F8" sqref="F8"/>
    </sheetView>
  </sheetViews>
  <sheetFormatPr defaultColWidth="8.5703125" defaultRowHeight="15" x14ac:dyDescent="0.25"/>
  <cols>
    <col min="1" max="1" width="12" customWidth="1"/>
    <col min="2" max="2" width="28" customWidth="1"/>
    <col min="3" max="3" width="12" customWidth="1"/>
    <col min="4" max="4" width="60" customWidth="1"/>
    <col min="5" max="5" width="8" customWidth="1"/>
    <col min="6" max="6" width="16" customWidth="1"/>
    <col min="7" max="7" width="48.5703125" customWidth="1"/>
    <col min="8" max="8" width="35" customWidth="1"/>
  </cols>
  <sheetData>
    <row r="1" spans="1:8" ht="28.15" customHeight="1" x14ac:dyDescent="0.25">
      <c r="A1" s="12" t="s">
        <v>33</v>
      </c>
      <c r="B1" s="12" t="s">
        <v>34</v>
      </c>
      <c r="C1" s="12" t="s">
        <v>35</v>
      </c>
      <c r="D1" s="12" t="s">
        <v>36</v>
      </c>
      <c r="E1" s="12" t="s">
        <v>37</v>
      </c>
      <c r="F1" s="12" t="s">
        <v>38</v>
      </c>
      <c r="G1" s="12" t="s">
        <v>39</v>
      </c>
      <c r="H1" s="12" t="s">
        <v>40</v>
      </c>
    </row>
    <row r="2" spans="1:8" ht="18" customHeight="1" x14ac:dyDescent="0.25">
      <c r="A2" s="13" t="s">
        <v>1050</v>
      </c>
      <c r="B2" s="13" t="s">
        <v>1051</v>
      </c>
      <c r="C2" s="13"/>
      <c r="D2" s="13"/>
      <c r="E2" s="13"/>
      <c r="F2" s="13"/>
      <c r="G2" s="13"/>
      <c r="H2" s="13"/>
    </row>
    <row r="3" spans="1:8" ht="120" customHeight="1" x14ac:dyDescent="0.25">
      <c r="A3" s="14" t="s">
        <v>1050</v>
      </c>
      <c r="B3" s="14" t="s">
        <v>1051</v>
      </c>
      <c r="C3" s="15" t="s">
        <v>1052</v>
      </c>
      <c r="D3" s="16" t="s">
        <v>1053</v>
      </c>
      <c r="E3" s="17">
        <v>2</v>
      </c>
      <c r="F3" s="18" t="s">
        <v>49</v>
      </c>
      <c r="G3" s="16" t="s">
        <v>1054</v>
      </c>
      <c r="H3" s="16" t="s">
        <v>1055</v>
      </c>
    </row>
    <row r="4" spans="1:8" ht="105.4" customHeight="1" x14ac:dyDescent="0.25">
      <c r="A4" s="19" t="s">
        <v>1050</v>
      </c>
      <c r="B4" s="19" t="s">
        <v>1051</v>
      </c>
      <c r="C4" s="20" t="s">
        <v>1056</v>
      </c>
      <c r="D4" s="21" t="s">
        <v>1057</v>
      </c>
      <c r="E4" s="17">
        <v>2</v>
      </c>
      <c r="F4" s="18" t="s">
        <v>54</v>
      </c>
      <c r="G4" s="21" t="s">
        <v>1058</v>
      </c>
      <c r="H4" s="21"/>
    </row>
    <row r="5" spans="1:8" ht="18" customHeight="1" x14ac:dyDescent="0.25">
      <c r="A5" s="13" t="s">
        <v>1059</v>
      </c>
      <c r="B5" s="13" t="s">
        <v>1060</v>
      </c>
      <c r="C5" s="13"/>
      <c r="D5" s="13"/>
      <c r="E5" s="13"/>
      <c r="F5" s="13"/>
      <c r="G5" s="13"/>
      <c r="H5" s="13"/>
    </row>
    <row r="6" spans="1:8" ht="90" customHeight="1" x14ac:dyDescent="0.25">
      <c r="A6" s="14" t="s">
        <v>1059</v>
      </c>
      <c r="B6" s="14" t="s">
        <v>1060</v>
      </c>
      <c r="C6" s="15" t="s">
        <v>1061</v>
      </c>
      <c r="D6" s="16" t="s">
        <v>1062</v>
      </c>
      <c r="E6" s="22">
        <v>1</v>
      </c>
      <c r="F6" s="18" t="s">
        <v>45</v>
      </c>
      <c r="G6" s="16" t="s">
        <v>1063</v>
      </c>
      <c r="H6" s="16" t="s">
        <v>1064</v>
      </c>
    </row>
    <row r="7" spans="1:8" ht="50.45" customHeight="1" x14ac:dyDescent="0.25">
      <c r="A7" s="19" t="s">
        <v>1059</v>
      </c>
      <c r="B7" s="19" t="s">
        <v>1060</v>
      </c>
      <c r="C7" s="20" t="s">
        <v>1065</v>
      </c>
      <c r="D7" s="21" t="s">
        <v>1066</v>
      </c>
      <c r="E7" s="17">
        <v>2</v>
      </c>
      <c r="F7" s="18" t="s">
        <v>49</v>
      </c>
      <c r="G7" s="21" t="s">
        <v>1067</v>
      </c>
      <c r="H7" s="21" t="s">
        <v>1068</v>
      </c>
    </row>
    <row r="8" spans="1:8" ht="68.650000000000006" customHeight="1" x14ac:dyDescent="0.25">
      <c r="A8" s="14" t="s">
        <v>1059</v>
      </c>
      <c r="B8" s="14" t="s">
        <v>1060</v>
      </c>
      <c r="C8" s="15" t="s">
        <v>1069</v>
      </c>
      <c r="D8" s="16" t="s">
        <v>1070</v>
      </c>
      <c r="E8" s="17">
        <v>2</v>
      </c>
      <c r="F8" s="18" t="s">
        <v>45</v>
      </c>
      <c r="G8" s="16" t="s">
        <v>1071</v>
      </c>
      <c r="H8" s="16" t="s">
        <v>1072</v>
      </c>
    </row>
    <row r="9" spans="1:8" ht="90" customHeight="1" x14ac:dyDescent="0.25">
      <c r="A9" s="19" t="s">
        <v>1059</v>
      </c>
      <c r="B9" s="19" t="s">
        <v>1060</v>
      </c>
      <c r="C9" s="20" t="s">
        <v>1073</v>
      </c>
      <c r="D9" s="21" t="s">
        <v>1074</v>
      </c>
      <c r="E9" s="17">
        <v>2</v>
      </c>
      <c r="F9" s="18" t="s">
        <v>49</v>
      </c>
      <c r="G9" s="21" t="s">
        <v>1075</v>
      </c>
      <c r="H9" s="21" t="s">
        <v>1076</v>
      </c>
    </row>
    <row r="10" spans="1:8" ht="30" customHeight="1" x14ac:dyDescent="0.25">
      <c r="A10" s="14" t="s">
        <v>1059</v>
      </c>
      <c r="B10" s="14" t="s">
        <v>1060</v>
      </c>
      <c r="C10" s="15" t="s">
        <v>1077</v>
      </c>
      <c r="D10" s="16" t="s">
        <v>1078</v>
      </c>
      <c r="E10" s="23">
        <v>3</v>
      </c>
      <c r="F10" s="18" t="s">
        <v>54</v>
      </c>
      <c r="G10" s="16"/>
      <c r="H10" s="16"/>
    </row>
    <row r="11" spans="1:8" ht="30" customHeight="1" x14ac:dyDescent="0.25">
      <c r="A11" s="19" t="s">
        <v>1059</v>
      </c>
      <c r="B11" s="19" t="s">
        <v>1060</v>
      </c>
      <c r="C11" s="20" t="s">
        <v>1079</v>
      </c>
      <c r="D11" s="21" t="s">
        <v>1080</v>
      </c>
      <c r="E11" s="23">
        <v>3</v>
      </c>
      <c r="F11" s="18" t="s">
        <v>54</v>
      </c>
      <c r="G11" s="21"/>
      <c r="H11" s="21"/>
    </row>
    <row r="12" spans="1:8" ht="30" customHeight="1" x14ac:dyDescent="0.25">
      <c r="A12" s="14" t="s">
        <v>1059</v>
      </c>
      <c r="B12" s="14" t="s">
        <v>1060</v>
      </c>
      <c r="C12" s="15" t="s">
        <v>1081</v>
      </c>
      <c r="D12" s="16" t="s">
        <v>1082</v>
      </c>
      <c r="E12" s="23">
        <v>3</v>
      </c>
      <c r="F12" s="18" t="s">
        <v>54</v>
      </c>
      <c r="G12" s="16"/>
      <c r="H12" s="16"/>
    </row>
    <row r="13" spans="1:8" ht="30" customHeight="1" x14ac:dyDescent="0.25">
      <c r="A13" s="19" t="s">
        <v>1059</v>
      </c>
      <c r="B13" s="19" t="s">
        <v>1060</v>
      </c>
      <c r="C13" s="20" t="s">
        <v>1083</v>
      </c>
      <c r="D13" s="21" t="s">
        <v>1084</v>
      </c>
      <c r="E13" s="23">
        <v>3</v>
      </c>
      <c r="F13" s="18" t="s">
        <v>54</v>
      </c>
      <c r="G13" s="21"/>
      <c r="H13" s="21"/>
    </row>
    <row r="14" spans="1:8" ht="18" customHeight="1" x14ac:dyDescent="0.25">
      <c r="A14" s="13" t="s">
        <v>1085</v>
      </c>
      <c r="B14" s="13" t="s">
        <v>1086</v>
      </c>
      <c r="C14" s="13"/>
      <c r="D14" s="13"/>
      <c r="E14" s="13"/>
      <c r="F14" s="13"/>
      <c r="G14" s="13"/>
      <c r="H14" s="13"/>
    </row>
    <row r="15" spans="1:8" ht="30" customHeight="1" x14ac:dyDescent="0.25">
      <c r="A15" s="14" t="s">
        <v>1085</v>
      </c>
      <c r="B15" s="14" t="s">
        <v>1086</v>
      </c>
      <c r="C15" s="15" t="s">
        <v>1087</v>
      </c>
      <c r="D15" s="16" t="s">
        <v>1088</v>
      </c>
      <c r="E15" s="22">
        <v>1</v>
      </c>
      <c r="F15" s="18" t="s">
        <v>54</v>
      </c>
      <c r="G15" s="16" t="s">
        <v>1089</v>
      </c>
      <c r="H15" s="16"/>
    </row>
    <row r="16" spans="1:8" ht="45" customHeight="1" x14ac:dyDescent="0.25">
      <c r="A16" s="19" t="s">
        <v>1085</v>
      </c>
      <c r="B16" s="19" t="s">
        <v>1086</v>
      </c>
      <c r="C16" s="20" t="s">
        <v>1090</v>
      </c>
      <c r="D16" s="21" t="s">
        <v>1091</v>
      </c>
      <c r="E16" s="17">
        <v>2</v>
      </c>
      <c r="F16" s="18" t="s">
        <v>49</v>
      </c>
      <c r="G16" s="21" t="s">
        <v>1092</v>
      </c>
      <c r="H16" s="21" t="s">
        <v>1093</v>
      </c>
    </row>
    <row r="17" spans="1:8" ht="45" customHeight="1" x14ac:dyDescent="0.25">
      <c r="A17" s="14" t="s">
        <v>1085</v>
      </c>
      <c r="B17" s="14" t="s">
        <v>1086</v>
      </c>
      <c r="C17" s="15" t="s">
        <v>1094</v>
      </c>
      <c r="D17" s="16" t="s">
        <v>1095</v>
      </c>
      <c r="E17" s="17">
        <v>2</v>
      </c>
      <c r="F17" s="18" t="s">
        <v>54</v>
      </c>
      <c r="G17" s="16" t="s">
        <v>1096</v>
      </c>
      <c r="H17" s="16"/>
    </row>
  </sheetData>
  <conditionalFormatting sqref="F2:F17">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7" xr:uid="{00000000-0002-0000-0E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26"/>
  <sheetViews>
    <sheetView zoomScale="75" zoomScaleNormal="75" workbookViewId="0">
      <pane ySplit="1" topLeftCell="A20" activePane="bottomLeft" state="frozen"/>
      <selection pane="bottomLeft" activeCell="F21" sqref="F21"/>
    </sheetView>
  </sheetViews>
  <sheetFormatPr defaultColWidth="8.5703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x14ac:dyDescent="0.25">
      <c r="A1" s="12" t="s">
        <v>33</v>
      </c>
      <c r="B1" s="12" t="s">
        <v>34</v>
      </c>
      <c r="C1" s="12" t="s">
        <v>35</v>
      </c>
      <c r="D1" s="12" t="s">
        <v>36</v>
      </c>
      <c r="E1" s="12" t="s">
        <v>37</v>
      </c>
      <c r="F1" s="12" t="s">
        <v>38</v>
      </c>
      <c r="G1" s="12" t="s">
        <v>39</v>
      </c>
      <c r="H1" s="12" t="s">
        <v>40</v>
      </c>
    </row>
    <row r="2" spans="1:8" x14ac:dyDescent="0.25">
      <c r="A2" s="13" t="s">
        <v>1097</v>
      </c>
      <c r="B2" s="13" t="s">
        <v>1098</v>
      </c>
      <c r="C2" s="13"/>
      <c r="D2" s="13"/>
      <c r="E2" s="13"/>
      <c r="F2" s="13"/>
      <c r="G2" s="13"/>
      <c r="H2" s="13"/>
    </row>
    <row r="3" spans="1:8" ht="105" customHeight="1" x14ac:dyDescent="0.25">
      <c r="A3" s="14" t="s">
        <v>1097</v>
      </c>
      <c r="B3" s="14" t="s">
        <v>1098</v>
      </c>
      <c r="C3" s="15" t="s">
        <v>1099</v>
      </c>
      <c r="D3" s="16" t="s">
        <v>1100</v>
      </c>
      <c r="E3" s="22">
        <v>1</v>
      </c>
      <c r="F3" s="18" t="s">
        <v>45</v>
      </c>
      <c r="G3" s="16" t="s">
        <v>1101</v>
      </c>
      <c r="H3" s="16" t="s">
        <v>1102</v>
      </c>
    </row>
    <row r="4" spans="1:8" ht="120" customHeight="1" x14ac:dyDescent="0.25">
      <c r="A4" s="19" t="s">
        <v>1097</v>
      </c>
      <c r="B4" s="19" t="s">
        <v>1098</v>
      </c>
      <c r="C4" s="20" t="s">
        <v>1103</v>
      </c>
      <c r="D4" s="21" t="s">
        <v>1104</v>
      </c>
      <c r="E4" s="17">
        <v>2</v>
      </c>
      <c r="F4" s="18" t="s">
        <v>45</v>
      </c>
      <c r="G4" s="21" t="s">
        <v>1105</v>
      </c>
      <c r="H4" s="21" t="s">
        <v>1106</v>
      </c>
    </row>
    <row r="5" spans="1:8" ht="150" customHeight="1" x14ac:dyDescent="0.25">
      <c r="A5" s="14" t="s">
        <v>1097</v>
      </c>
      <c r="B5" s="14" t="s">
        <v>1098</v>
      </c>
      <c r="C5" s="15" t="s">
        <v>1107</v>
      </c>
      <c r="D5" s="16" t="s">
        <v>1108</v>
      </c>
      <c r="E5" s="17">
        <v>2</v>
      </c>
      <c r="F5" s="18" t="s">
        <v>45</v>
      </c>
      <c r="G5" s="16" t="s">
        <v>1109</v>
      </c>
      <c r="H5" s="16" t="s">
        <v>1110</v>
      </c>
    </row>
    <row r="6" spans="1:8" ht="30" customHeight="1" x14ac:dyDescent="0.25">
      <c r="A6" s="19" t="s">
        <v>1097</v>
      </c>
      <c r="B6" s="19" t="s">
        <v>1098</v>
      </c>
      <c r="C6" s="20" t="s">
        <v>1111</v>
      </c>
      <c r="D6" s="21" t="s">
        <v>1112</v>
      </c>
      <c r="E6" s="23">
        <v>3</v>
      </c>
      <c r="F6" s="18" t="s">
        <v>54</v>
      </c>
      <c r="G6" s="21"/>
      <c r="H6" s="21"/>
    </row>
    <row r="7" spans="1:8" ht="255" customHeight="1" x14ac:dyDescent="0.25">
      <c r="A7" s="14" t="s">
        <v>1097</v>
      </c>
      <c r="B7" s="14" t="s">
        <v>1098</v>
      </c>
      <c r="C7" s="15" t="s">
        <v>1113</v>
      </c>
      <c r="D7" s="16" t="s">
        <v>1114</v>
      </c>
      <c r="E7" s="23">
        <v>3</v>
      </c>
      <c r="F7" s="18" t="s">
        <v>45</v>
      </c>
      <c r="G7" s="16" t="s">
        <v>1115</v>
      </c>
      <c r="H7" s="16" t="s">
        <v>1116</v>
      </c>
    </row>
    <row r="8" spans="1:8" x14ac:dyDescent="0.25">
      <c r="A8" s="13" t="s">
        <v>1117</v>
      </c>
      <c r="B8" s="13" t="s">
        <v>1118</v>
      </c>
      <c r="C8" s="13"/>
      <c r="D8" s="13"/>
      <c r="E8" s="13"/>
      <c r="F8" s="13"/>
      <c r="G8" s="13"/>
      <c r="H8" s="13"/>
    </row>
    <row r="9" spans="1:8" ht="150" customHeight="1" x14ac:dyDescent="0.25">
      <c r="A9" s="14" t="s">
        <v>1117</v>
      </c>
      <c r="B9" s="14" t="s">
        <v>1118</v>
      </c>
      <c r="C9" s="15" t="s">
        <v>1119</v>
      </c>
      <c r="D9" s="16" t="s">
        <v>1120</v>
      </c>
      <c r="E9" s="22">
        <v>1</v>
      </c>
      <c r="F9" s="18" t="s">
        <v>45</v>
      </c>
      <c r="G9" s="16" t="s">
        <v>1121</v>
      </c>
      <c r="H9" s="16" t="s">
        <v>1122</v>
      </c>
    </row>
    <row r="10" spans="1:8" ht="165" customHeight="1" x14ac:dyDescent="0.25">
      <c r="A10" s="19" t="s">
        <v>1117</v>
      </c>
      <c r="B10" s="19" t="s">
        <v>1118</v>
      </c>
      <c r="C10" s="20" t="s">
        <v>1123</v>
      </c>
      <c r="D10" s="21" t="s">
        <v>1124</v>
      </c>
      <c r="E10" s="17">
        <v>2</v>
      </c>
      <c r="F10" s="18" t="s">
        <v>45</v>
      </c>
      <c r="G10" s="21" t="s">
        <v>1125</v>
      </c>
      <c r="H10" s="21" t="s">
        <v>1126</v>
      </c>
    </row>
    <row r="11" spans="1:8" ht="150" customHeight="1" x14ac:dyDescent="0.25">
      <c r="A11" s="14" t="s">
        <v>1117</v>
      </c>
      <c r="B11" s="14" t="s">
        <v>1118</v>
      </c>
      <c r="C11" s="15" t="s">
        <v>1127</v>
      </c>
      <c r="D11" s="16" t="s">
        <v>1128</v>
      </c>
      <c r="E11" s="17">
        <v>2</v>
      </c>
      <c r="F11" s="18" t="s">
        <v>45</v>
      </c>
      <c r="G11" s="16" t="s">
        <v>1129</v>
      </c>
      <c r="H11" s="16" t="s">
        <v>1130</v>
      </c>
    </row>
    <row r="12" spans="1:8" ht="60" customHeight="1" x14ac:dyDescent="0.25">
      <c r="A12" s="19" t="s">
        <v>1117</v>
      </c>
      <c r="B12" s="19" t="s">
        <v>1118</v>
      </c>
      <c r="C12" s="20" t="s">
        <v>1131</v>
      </c>
      <c r="D12" s="21" t="s">
        <v>1132</v>
      </c>
      <c r="E12" s="23">
        <v>3</v>
      </c>
      <c r="F12" s="18" t="s">
        <v>54</v>
      </c>
      <c r="G12" s="21"/>
      <c r="H12" s="21"/>
    </row>
    <row r="13" spans="1:8" ht="285" customHeight="1" x14ac:dyDescent="0.25">
      <c r="A13" s="14" t="s">
        <v>1117</v>
      </c>
      <c r="B13" s="14" t="s">
        <v>1118</v>
      </c>
      <c r="C13" s="15" t="s">
        <v>1133</v>
      </c>
      <c r="D13" s="16" t="s">
        <v>1134</v>
      </c>
      <c r="E13" s="23">
        <v>3</v>
      </c>
      <c r="F13" s="18" t="s">
        <v>45</v>
      </c>
      <c r="G13" s="16" t="s">
        <v>1135</v>
      </c>
      <c r="H13" s="16" t="s">
        <v>1136</v>
      </c>
    </row>
    <row r="14" spans="1:8" x14ac:dyDescent="0.25">
      <c r="A14" s="13" t="s">
        <v>1137</v>
      </c>
      <c r="B14" s="13" t="s">
        <v>1138</v>
      </c>
      <c r="C14" s="13"/>
      <c r="D14" s="13"/>
      <c r="E14" s="13"/>
      <c r="F14" s="13"/>
      <c r="G14" s="13"/>
      <c r="H14" s="13"/>
    </row>
    <row r="15" spans="1:8" ht="165" customHeight="1" x14ac:dyDescent="0.25">
      <c r="A15" s="14" t="s">
        <v>1137</v>
      </c>
      <c r="B15" s="14" t="s">
        <v>1138</v>
      </c>
      <c r="C15" s="15" t="s">
        <v>1139</v>
      </c>
      <c r="D15" s="16" t="s">
        <v>1140</v>
      </c>
      <c r="E15" s="22">
        <v>1</v>
      </c>
      <c r="F15" s="18" t="s">
        <v>45</v>
      </c>
      <c r="G15" s="16" t="s">
        <v>1141</v>
      </c>
      <c r="H15" s="16" t="s">
        <v>1142</v>
      </c>
    </row>
    <row r="16" spans="1:8" ht="135" customHeight="1" x14ac:dyDescent="0.25">
      <c r="A16" s="19" t="s">
        <v>1137</v>
      </c>
      <c r="B16" s="19" t="s">
        <v>1138</v>
      </c>
      <c r="C16" s="20" t="s">
        <v>1143</v>
      </c>
      <c r="D16" s="21" t="s">
        <v>1144</v>
      </c>
      <c r="E16" s="17">
        <v>2</v>
      </c>
      <c r="F16" s="18" t="s">
        <v>45</v>
      </c>
      <c r="G16" s="21" t="s">
        <v>1145</v>
      </c>
      <c r="H16" s="21" t="s">
        <v>1146</v>
      </c>
    </row>
    <row r="17" spans="1:8" ht="165" customHeight="1" x14ac:dyDescent="0.25">
      <c r="A17" s="14" t="s">
        <v>1137</v>
      </c>
      <c r="B17" s="14" t="s">
        <v>1138</v>
      </c>
      <c r="C17" s="15" t="s">
        <v>1147</v>
      </c>
      <c r="D17" s="16" t="s">
        <v>1148</v>
      </c>
      <c r="E17" s="17">
        <v>2</v>
      </c>
      <c r="F17" s="18" t="s">
        <v>45</v>
      </c>
      <c r="G17" s="16" t="s">
        <v>1149</v>
      </c>
      <c r="H17" s="16" t="s">
        <v>1150</v>
      </c>
    </row>
    <row r="18" spans="1:8" ht="165" customHeight="1" x14ac:dyDescent="0.25">
      <c r="A18" s="19" t="s">
        <v>1137</v>
      </c>
      <c r="B18" s="19" t="s">
        <v>1138</v>
      </c>
      <c r="C18" s="20" t="s">
        <v>1151</v>
      </c>
      <c r="D18" s="21" t="s">
        <v>1152</v>
      </c>
      <c r="E18" s="17">
        <v>2</v>
      </c>
      <c r="F18" s="18" t="s">
        <v>45</v>
      </c>
      <c r="G18" s="21" t="s">
        <v>1153</v>
      </c>
      <c r="H18" s="21" t="s">
        <v>1154</v>
      </c>
    </row>
    <row r="19" spans="1:8" ht="135" customHeight="1" x14ac:dyDescent="0.25">
      <c r="A19" s="14" t="s">
        <v>1137</v>
      </c>
      <c r="B19" s="14" t="s">
        <v>1138</v>
      </c>
      <c r="C19" s="15" t="s">
        <v>1155</v>
      </c>
      <c r="D19" s="16" t="s">
        <v>1156</v>
      </c>
      <c r="E19" s="17">
        <v>2</v>
      </c>
      <c r="F19" s="18" t="s">
        <v>45</v>
      </c>
      <c r="G19" s="16" t="s">
        <v>1157</v>
      </c>
      <c r="H19" s="16" t="s">
        <v>1158</v>
      </c>
    </row>
    <row r="20" spans="1:8" ht="105" customHeight="1" x14ac:dyDescent="0.25">
      <c r="A20" s="19" t="s">
        <v>1137</v>
      </c>
      <c r="B20" s="19" t="s">
        <v>1138</v>
      </c>
      <c r="C20" s="20" t="s">
        <v>1159</v>
      </c>
      <c r="D20" s="21" t="s">
        <v>1160</v>
      </c>
      <c r="E20" s="17">
        <v>2</v>
      </c>
      <c r="F20" s="18" t="s">
        <v>54</v>
      </c>
      <c r="G20" s="21" t="s">
        <v>1161</v>
      </c>
      <c r="H20" s="21"/>
    </row>
    <row r="21" spans="1:8" ht="165" customHeight="1" x14ac:dyDescent="0.25">
      <c r="A21" s="14" t="s">
        <v>1137</v>
      </c>
      <c r="B21" s="14" t="s">
        <v>1138</v>
      </c>
      <c r="C21" s="15" t="s">
        <v>1162</v>
      </c>
      <c r="D21" s="16" t="s">
        <v>1163</v>
      </c>
      <c r="E21" s="17">
        <v>2</v>
      </c>
      <c r="F21" s="18" t="s">
        <v>45</v>
      </c>
      <c r="G21" s="16" t="s">
        <v>1164</v>
      </c>
      <c r="H21" s="16" t="s">
        <v>1165</v>
      </c>
    </row>
    <row r="22" spans="1:8" x14ac:dyDescent="0.25">
      <c r="A22" s="13" t="s">
        <v>1166</v>
      </c>
      <c r="B22" s="13" t="s">
        <v>1167</v>
      </c>
      <c r="C22" s="13"/>
      <c r="D22" s="13"/>
      <c r="E22" s="13"/>
      <c r="F22" s="13"/>
      <c r="G22" s="13"/>
      <c r="H22" s="13"/>
    </row>
    <row r="23" spans="1:8" ht="75" customHeight="1" x14ac:dyDescent="0.25">
      <c r="A23" s="14" t="s">
        <v>1166</v>
      </c>
      <c r="B23" s="14" t="s">
        <v>1167</v>
      </c>
      <c r="C23" s="15" t="s">
        <v>1168</v>
      </c>
      <c r="D23" s="16" t="s">
        <v>1169</v>
      </c>
      <c r="E23" s="23">
        <v>3</v>
      </c>
      <c r="F23" s="18" t="s">
        <v>54</v>
      </c>
      <c r="G23" s="16"/>
      <c r="H23" s="16"/>
    </row>
    <row r="24" spans="1:8" ht="90" customHeight="1" x14ac:dyDescent="0.25">
      <c r="A24" s="19" t="s">
        <v>1166</v>
      </c>
      <c r="B24" s="19" t="s">
        <v>1167</v>
      </c>
      <c r="C24" s="20" t="s">
        <v>1170</v>
      </c>
      <c r="D24" s="21" t="s">
        <v>1171</v>
      </c>
      <c r="E24" s="23">
        <v>3</v>
      </c>
      <c r="F24" s="18" t="s">
        <v>54</v>
      </c>
      <c r="G24" s="21"/>
      <c r="H24" s="21"/>
    </row>
    <row r="25" spans="1:8" ht="75" customHeight="1" x14ac:dyDescent="0.25">
      <c r="A25" s="14" t="s">
        <v>1166</v>
      </c>
      <c r="B25" s="14" t="s">
        <v>1167</v>
      </c>
      <c r="C25" s="15" t="s">
        <v>1172</v>
      </c>
      <c r="D25" s="16" t="s">
        <v>1173</v>
      </c>
      <c r="E25" s="23">
        <v>3</v>
      </c>
      <c r="F25" s="18" t="s">
        <v>54</v>
      </c>
      <c r="G25" s="16"/>
      <c r="H25" s="16"/>
    </row>
    <row r="26" spans="1:8" ht="60" customHeight="1" x14ac:dyDescent="0.25">
      <c r="A26" s="19" t="s">
        <v>1166</v>
      </c>
      <c r="B26" s="19" t="s">
        <v>1167</v>
      </c>
      <c r="C26" s="20" t="s">
        <v>1174</v>
      </c>
      <c r="D26" s="21" t="s">
        <v>1175</v>
      </c>
      <c r="E26" s="23">
        <v>3</v>
      </c>
      <c r="F26" s="18" t="s">
        <v>54</v>
      </c>
      <c r="G26" s="21"/>
      <c r="H26" s="21"/>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F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23"/>
  <sheetViews>
    <sheetView zoomScale="75" zoomScaleNormal="75" workbookViewId="0">
      <pane ySplit="1" topLeftCell="A20" activePane="bottomLeft" state="frozen"/>
      <selection pane="bottomLeft" activeCell="F23" sqref="F23"/>
    </sheetView>
  </sheetViews>
  <sheetFormatPr defaultColWidth="8.5703125" defaultRowHeight="15" x14ac:dyDescent="0.25"/>
  <cols>
    <col min="1" max="1" width="15.42578125"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9" customHeight="1" x14ac:dyDescent="0.25">
      <c r="A1" s="12" t="s">
        <v>33</v>
      </c>
      <c r="B1" s="12" t="s">
        <v>34</v>
      </c>
      <c r="C1" s="12" t="s">
        <v>35</v>
      </c>
      <c r="D1" s="12" t="s">
        <v>36</v>
      </c>
      <c r="E1" s="12" t="s">
        <v>37</v>
      </c>
      <c r="F1" s="12" t="s">
        <v>38</v>
      </c>
      <c r="G1" s="12" t="s">
        <v>39</v>
      </c>
      <c r="H1" s="12" t="s">
        <v>40</v>
      </c>
    </row>
    <row r="2" spans="1:8" x14ac:dyDescent="0.25">
      <c r="A2" s="13" t="s">
        <v>1176</v>
      </c>
      <c r="B2" s="13" t="s">
        <v>1177</v>
      </c>
      <c r="C2" s="13"/>
      <c r="D2" s="13"/>
      <c r="E2" s="13"/>
      <c r="F2" s="13"/>
      <c r="G2" s="13"/>
      <c r="H2" s="13"/>
    </row>
    <row r="3" spans="1:8" ht="195" customHeight="1" x14ac:dyDescent="0.25">
      <c r="A3" s="14" t="s">
        <v>1176</v>
      </c>
      <c r="B3" s="14" t="s">
        <v>1177</v>
      </c>
      <c r="C3" s="15" t="s">
        <v>1178</v>
      </c>
      <c r="D3" s="16" t="s">
        <v>1179</v>
      </c>
      <c r="E3" s="17">
        <v>2</v>
      </c>
      <c r="F3" s="18" t="s">
        <v>45</v>
      </c>
      <c r="G3" s="16" t="s">
        <v>1180</v>
      </c>
      <c r="H3" s="16" t="s">
        <v>1181</v>
      </c>
    </row>
    <row r="4" spans="1:8" x14ac:dyDescent="0.25">
      <c r="A4" s="13" t="s">
        <v>1182</v>
      </c>
      <c r="B4" s="13" t="s">
        <v>1183</v>
      </c>
      <c r="C4" s="13"/>
      <c r="D4" s="13"/>
      <c r="E4" s="13"/>
      <c r="F4" s="13"/>
      <c r="G4" s="13"/>
      <c r="H4" s="13"/>
    </row>
    <row r="5" spans="1:8" ht="150" customHeight="1" x14ac:dyDescent="0.25">
      <c r="A5" s="14" t="s">
        <v>1182</v>
      </c>
      <c r="B5" s="14" t="s">
        <v>1183</v>
      </c>
      <c r="C5" s="15" t="s">
        <v>1184</v>
      </c>
      <c r="D5" s="16" t="s">
        <v>1185</v>
      </c>
      <c r="E5" s="17">
        <v>2</v>
      </c>
      <c r="F5" s="18" t="s">
        <v>45</v>
      </c>
      <c r="G5" s="16" t="s">
        <v>1186</v>
      </c>
      <c r="H5" s="16" t="s">
        <v>1187</v>
      </c>
    </row>
    <row r="6" spans="1:8" ht="180" customHeight="1" x14ac:dyDescent="0.25">
      <c r="A6" s="19" t="s">
        <v>1182</v>
      </c>
      <c r="B6" s="19" t="s">
        <v>1183</v>
      </c>
      <c r="C6" s="20" t="s">
        <v>1188</v>
      </c>
      <c r="D6" s="21" t="s">
        <v>1189</v>
      </c>
      <c r="E6" s="17">
        <v>2</v>
      </c>
      <c r="F6" s="18" t="s">
        <v>45</v>
      </c>
      <c r="G6" s="21" t="s">
        <v>1190</v>
      </c>
      <c r="H6" s="21" t="s">
        <v>1191</v>
      </c>
    </row>
    <row r="7" spans="1:8" ht="135" customHeight="1" x14ac:dyDescent="0.25">
      <c r="A7" s="14" t="s">
        <v>1182</v>
      </c>
      <c r="B7" s="14" t="s">
        <v>1183</v>
      </c>
      <c r="C7" s="15" t="s">
        <v>1192</v>
      </c>
      <c r="D7" s="16" t="s">
        <v>1193</v>
      </c>
      <c r="E7" s="17">
        <v>2</v>
      </c>
      <c r="F7" s="18" t="s">
        <v>45</v>
      </c>
      <c r="G7" s="16" t="s">
        <v>1194</v>
      </c>
      <c r="H7" s="16" t="s">
        <v>1195</v>
      </c>
    </row>
    <row r="8" spans="1:8" ht="165" customHeight="1" x14ac:dyDescent="0.25">
      <c r="A8" s="19" t="s">
        <v>1182</v>
      </c>
      <c r="B8" s="19" t="s">
        <v>1183</v>
      </c>
      <c r="C8" s="20" t="s">
        <v>1196</v>
      </c>
      <c r="D8" s="21" t="s">
        <v>1197</v>
      </c>
      <c r="E8" s="17">
        <v>2</v>
      </c>
      <c r="F8" s="18" t="s">
        <v>45</v>
      </c>
      <c r="G8" s="21" t="s">
        <v>1198</v>
      </c>
      <c r="H8" s="21" t="s">
        <v>1199</v>
      </c>
    </row>
    <row r="9" spans="1:8" ht="210" customHeight="1" x14ac:dyDescent="0.25">
      <c r="A9" s="14" t="s">
        <v>1182</v>
      </c>
      <c r="B9" s="14" t="s">
        <v>1183</v>
      </c>
      <c r="C9" s="15" t="s">
        <v>1200</v>
      </c>
      <c r="D9" s="16" t="s">
        <v>1201</v>
      </c>
      <c r="E9" s="17">
        <v>2</v>
      </c>
      <c r="F9" s="18" t="s">
        <v>45</v>
      </c>
      <c r="G9" s="16" t="s">
        <v>1202</v>
      </c>
      <c r="H9" s="16" t="s">
        <v>1203</v>
      </c>
    </row>
    <row r="10" spans="1:8" x14ac:dyDescent="0.25">
      <c r="A10" s="13" t="s">
        <v>1204</v>
      </c>
      <c r="B10" s="13" t="s">
        <v>1205</v>
      </c>
      <c r="C10" s="13"/>
      <c r="D10" s="13"/>
      <c r="E10" s="13"/>
      <c r="F10" s="13"/>
      <c r="G10" s="13"/>
      <c r="H10" s="13"/>
    </row>
    <row r="11" spans="1:8" ht="210" customHeight="1" x14ac:dyDescent="0.25">
      <c r="A11" s="14" t="s">
        <v>1204</v>
      </c>
      <c r="B11" s="14" t="s">
        <v>1205</v>
      </c>
      <c r="C11" s="15" t="s">
        <v>1206</v>
      </c>
      <c r="D11" s="16" t="s">
        <v>1207</v>
      </c>
      <c r="E11" s="17">
        <v>2</v>
      </c>
      <c r="F11" s="18" t="s">
        <v>45</v>
      </c>
      <c r="G11" s="16" t="s">
        <v>1208</v>
      </c>
      <c r="H11" s="16" t="s">
        <v>1209</v>
      </c>
    </row>
    <row r="12" spans="1:8" ht="180" customHeight="1" x14ac:dyDescent="0.25">
      <c r="A12" s="19" t="s">
        <v>1204</v>
      </c>
      <c r="B12" s="19" t="s">
        <v>1205</v>
      </c>
      <c r="C12" s="20" t="s">
        <v>1210</v>
      </c>
      <c r="D12" s="21" t="s">
        <v>1211</v>
      </c>
      <c r="E12" s="17">
        <v>2</v>
      </c>
      <c r="F12" s="18" t="s">
        <v>45</v>
      </c>
      <c r="G12" s="21" t="s">
        <v>1212</v>
      </c>
      <c r="H12" s="21" t="s">
        <v>1213</v>
      </c>
    </row>
    <row r="13" spans="1:8" ht="165" customHeight="1" x14ac:dyDescent="0.25">
      <c r="A13" s="14" t="s">
        <v>1204</v>
      </c>
      <c r="B13" s="14" t="s">
        <v>1205</v>
      </c>
      <c r="C13" s="15" t="s">
        <v>1214</v>
      </c>
      <c r="D13" s="16" t="s">
        <v>1215</v>
      </c>
      <c r="E13" s="17">
        <v>2</v>
      </c>
      <c r="F13" s="18" t="s">
        <v>45</v>
      </c>
      <c r="G13" s="16" t="s">
        <v>1216</v>
      </c>
      <c r="H13" s="16" t="s">
        <v>1217</v>
      </c>
    </row>
    <row r="14" spans="1:8" ht="180" customHeight="1" x14ac:dyDescent="0.25">
      <c r="A14" s="19" t="s">
        <v>1204</v>
      </c>
      <c r="B14" s="19" t="s">
        <v>1205</v>
      </c>
      <c r="C14" s="20" t="s">
        <v>1218</v>
      </c>
      <c r="D14" s="21" t="s">
        <v>1219</v>
      </c>
      <c r="E14" s="17">
        <v>2</v>
      </c>
      <c r="F14" s="18" t="s">
        <v>54</v>
      </c>
      <c r="G14" s="21" t="s">
        <v>1220</v>
      </c>
      <c r="H14" s="21"/>
    </row>
    <row r="15" spans="1:8" x14ac:dyDescent="0.25">
      <c r="A15" s="13" t="s">
        <v>1221</v>
      </c>
      <c r="B15" s="13" t="s">
        <v>1222</v>
      </c>
      <c r="C15" s="13"/>
      <c r="D15" s="13"/>
      <c r="E15" s="13"/>
      <c r="F15" s="13"/>
      <c r="G15" s="13"/>
      <c r="H15" s="13"/>
    </row>
    <row r="16" spans="1:8" ht="195" customHeight="1" x14ac:dyDescent="0.25">
      <c r="A16" s="14" t="s">
        <v>1221</v>
      </c>
      <c r="B16" s="14" t="s">
        <v>1222</v>
      </c>
      <c r="C16" s="15" t="s">
        <v>1223</v>
      </c>
      <c r="D16" s="16" t="s">
        <v>1224</v>
      </c>
      <c r="E16" s="17">
        <v>2</v>
      </c>
      <c r="F16" s="18" t="s">
        <v>45</v>
      </c>
      <c r="G16" s="16" t="s">
        <v>1225</v>
      </c>
      <c r="H16" s="16" t="s">
        <v>1226</v>
      </c>
    </row>
    <row r="17" spans="1:8" ht="165" customHeight="1" x14ac:dyDescent="0.25">
      <c r="A17" s="19" t="s">
        <v>1221</v>
      </c>
      <c r="B17" s="19" t="s">
        <v>1222</v>
      </c>
      <c r="C17" s="20" t="s">
        <v>1227</v>
      </c>
      <c r="D17" s="21" t="s">
        <v>1228</v>
      </c>
      <c r="E17" s="17">
        <v>2</v>
      </c>
      <c r="F17" s="18" t="s">
        <v>45</v>
      </c>
      <c r="G17" s="21" t="s">
        <v>1229</v>
      </c>
      <c r="H17" s="21" t="s">
        <v>1230</v>
      </c>
    </row>
    <row r="18" spans="1:8" ht="150" customHeight="1" x14ac:dyDescent="0.25">
      <c r="A18" s="14" t="s">
        <v>1221</v>
      </c>
      <c r="B18" s="14" t="s">
        <v>1222</v>
      </c>
      <c r="C18" s="15" t="s">
        <v>1231</v>
      </c>
      <c r="D18" s="16" t="s">
        <v>1232</v>
      </c>
      <c r="E18" s="17">
        <v>2</v>
      </c>
      <c r="F18" s="18" t="s">
        <v>54</v>
      </c>
      <c r="G18" s="16" t="s">
        <v>1233</v>
      </c>
      <c r="H18" s="16"/>
    </row>
    <row r="19" spans="1:8" x14ac:dyDescent="0.25">
      <c r="A19" s="13" t="s">
        <v>1234</v>
      </c>
      <c r="B19" s="13" t="s">
        <v>1235</v>
      </c>
      <c r="C19" s="13"/>
      <c r="D19" s="13"/>
      <c r="E19" s="13"/>
      <c r="F19" s="13"/>
      <c r="G19" s="13"/>
      <c r="H19" s="13"/>
    </row>
    <row r="20" spans="1:8" ht="180" customHeight="1" x14ac:dyDescent="0.25">
      <c r="A20" s="14" t="s">
        <v>1234</v>
      </c>
      <c r="B20" s="14" t="s">
        <v>1235</v>
      </c>
      <c r="C20" s="15" t="s">
        <v>1236</v>
      </c>
      <c r="D20" s="16" t="s">
        <v>1237</v>
      </c>
      <c r="E20" s="17">
        <v>2</v>
      </c>
      <c r="F20" s="18" t="s">
        <v>45</v>
      </c>
      <c r="G20" s="16" t="s">
        <v>1238</v>
      </c>
      <c r="H20" s="16" t="s">
        <v>1239</v>
      </c>
    </row>
    <row r="21" spans="1:8" ht="195" customHeight="1" x14ac:dyDescent="0.25">
      <c r="A21" s="19" t="s">
        <v>1234</v>
      </c>
      <c r="B21" s="19" t="s">
        <v>1235</v>
      </c>
      <c r="C21" s="20" t="s">
        <v>1240</v>
      </c>
      <c r="D21" s="21" t="s">
        <v>1241</v>
      </c>
      <c r="E21" s="17">
        <v>2</v>
      </c>
      <c r="F21" s="18" t="s">
        <v>45</v>
      </c>
      <c r="G21" s="21" t="s">
        <v>1242</v>
      </c>
      <c r="H21" s="21" t="s">
        <v>1243</v>
      </c>
    </row>
    <row r="22" spans="1:8" ht="195" customHeight="1" x14ac:dyDescent="0.25">
      <c r="A22" s="14" t="s">
        <v>1234</v>
      </c>
      <c r="B22" s="14" t="s">
        <v>1235</v>
      </c>
      <c r="C22" s="15" t="s">
        <v>1244</v>
      </c>
      <c r="D22" s="16" t="s">
        <v>1245</v>
      </c>
      <c r="E22" s="17">
        <v>2</v>
      </c>
      <c r="F22" s="18" t="s">
        <v>45</v>
      </c>
      <c r="G22" s="16" t="s">
        <v>1246</v>
      </c>
      <c r="H22" s="16" t="s">
        <v>1247</v>
      </c>
    </row>
    <row r="23" spans="1:8" ht="225" customHeight="1" x14ac:dyDescent="0.25">
      <c r="A23" s="19" t="s">
        <v>1234</v>
      </c>
      <c r="B23" s="19" t="s">
        <v>1235</v>
      </c>
      <c r="C23" s="20" t="s">
        <v>1248</v>
      </c>
      <c r="D23" s="21" t="s">
        <v>1249</v>
      </c>
      <c r="E23" s="23">
        <v>3</v>
      </c>
      <c r="F23" s="18" t="s">
        <v>45</v>
      </c>
      <c r="G23" s="21" t="s">
        <v>1250</v>
      </c>
      <c r="H23" s="21" t="s">
        <v>1251</v>
      </c>
    </row>
  </sheetData>
  <conditionalFormatting sqref="F2:F23">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3" xr:uid="{00000000-0002-0000-10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6"/>
  <sheetViews>
    <sheetView zoomScale="75" zoomScaleNormal="75" workbookViewId="0">
      <pane ySplit="1" topLeftCell="A2" activePane="bottomLeft" state="frozen"/>
      <selection pane="bottomLeft" activeCell="G17" sqref="G17"/>
    </sheetView>
  </sheetViews>
  <sheetFormatPr defaultColWidth="8.5703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9.45" customHeight="1" x14ac:dyDescent="0.25">
      <c r="A1" s="12" t="s">
        <v>33</v>
      </c>
      <c r="B1" s="12" t="s">
        <v>34</v>
      </c>
      <c r="C1" s="12" t="s">
        <v>35</v>
      </c>
      <c r="D1" s="12" t="s">
        <v>36</v>
      </c>
      <c r="E1" s="12" t="s">
        <v>37</v>
      </c>
      <c r="F1" s="12" t="s">
        <v>38</v>
      </c>
      <c r="G1" s="12" t="s">
        <v>39</v>
      </c>
      <c r="H1" s="12" t="s">
        <v>40</v>
      </c>
    </row>
    <row r="2" spans="1:8" x14ac:dyDescent="0.25">
      <c r="A2" s="13" t="s">
        <v>1252</v>
      </c>
      <c r="B2" s="13" t="s">
        <v>1253</v>
      </c>
      <c r="C2" s="13"/>
      <c r="D2" s="13"/>
      <c r="E2" s="13"/>
      <c r="F2" s="13"/>
      <c r="G2" s="13"/>
      <c r="H2" s="13"/>
    </row>
    <row r="3" spans="1:8" ht="60" customHeight="1" x14ac:dyDescent="0.25">
      <c r="A3" s="14" t="s">
        <v>1252</v>
      </c>
      <c r="B3" s="14" t="s">
        <v>1253</v>
      </c>
      <c r="C3" s="15" t="s">
        <v>1254</v>
      </c>
      <c r="D3" s="16" t="s">
        <v>1255</v>
      </c>
      <c r="E3" s="17">
        <v>2</v>
      </c>
      <c r="F3" s="18" t="s">
        <v>54</v>
      </c>
      <c r="G3" s="16" t="s">
        <v>1256</v>
      </c>
      <c r="H3" s="16"/>
    </row>
    <row r="4" spans="1:8" ht="45" customHeight="1" x14ac:dyDescent="0.25">
      <c r="A4" s="19" t="s">
        <v>1252</v>
      </c>
      <c r="B4" s="19" t="s">
        <v>1253</v>
      </c>
      <c r="C4" s="20" t="s">
        <v>1257</v>
      </c>
      <c r="D4" s="21" t="s">
        <v>1258</v>
      </c>
      <c r="E4" s="23">
        <v>3</v>
      </c>
      <c r="F4" s="18" t="s">
        <v>54</v>
      </c>
      <c r="G4" s="21" t="s">
        <v>1259</v>
      </c>
      <c r="H4" s="21"/>
    </row>
    <row r="5" spans="1:8" x14ac:dyDescent="0.25">
      <c r="A5" s="13" t="s">
        <v>1260</v>
      </c>
      <c r="B5" s="13" t="s">
        <v>1261</v>
      </c>
      <c r="C5" s="13"/>
      <c r="D5" s="13"/>
      <c r="E5" s="13"/>
      <c r="F5" s="13"/>
      <c r="G5" s="13"/>
      <c r="H5" s="13"/>
    </row>
    <row r="6" spans="1:8" ht="60" customHeight="1" x14ac:dyDescent="0.25">
      <c r="A6" s="14" t="s">
        <v>1260</v>
      </c>
      <c r="B6" s="14" t="s">
        <v>1261</v>
      </c>
      <c r="C6" s="15" t="s">
        <v>1262</v>
      </c>
      <c r="D6" s="16" t="s">
        <v>1263</v>
      </c>
      <c r="E6" s="17">
        <v>2</v>
      </c>
      <c r="F6" s="18" t="s">
        <v>54</v>
      </c>
      <c r="G6" s="16" t="s">
        <v>1264</v>
      </c>
      <c r="H6" s="16"/>
    </row>
    <row r="7" spans="1:8" ht="75" customHeight="1" x14ac:dyDescent="0.25">
      <c r="A7" s="19" t="s">
        <v>1260</v>
      </c>
      <c r="B7" s="19" t="s">
        <v>1261</v>
      </c>
      <c r="C7" s="20" t="s">
        <v>1265</v>
      </c>
      <c r="D7" s="21" t="s">
        <v>1266</v>
      </c>
      <c r="E7" s="17">
        <v>2</v>
      </c>
      <c r="F7" s="18" t="s">
        <v>54</v>
      </c>
      <c r="G7" s="21" t="s">
        <v>1267</v>
      </c>
      <c r="H7" s="21"/>
    </row>
    <row r="8" spans="1:8" ht="75" customHeight="1" x14ac:dyDescent="0.25">
      <c r="A8" s="14" t="s">
        <v>1260</v>
      </c>
      <c r="B8" s="14" t="s">
        <v>1261</v>
      </c>
      <c r="C8" s="15" t="s">
        <v>1268</v>
      </c>
      <c r="D8" s="16" t="s">
        <v>1269</v>
      </c>
      <c r="E8" s="17">
        <v>2</v>
      </c>
      <c r="F8" s="18" t="s">
        <v>54</v>
      </c>
      <c r="G8" s="16" t="s">
        <v>1270</v>
      </c>
      <c r="H8" s="16"/>
    </row>
    <row r="9" spans="1:8" ht="45" customHeight="1" x14ac:dyDescent="0.25">
      <c r="A9" s="19" t="s">
        <v>1260</v>
      </c>
      <c r="B9" s="19" t="s">
        <v>1261</v>
      </c>
      <c r="C9" s="20" t="s">
        <v>1271</v>
      </c>
      <c r="D9" s="21" t="s">
        <v>1272</v>
      </c>
      <c r="E9" s="17">
        <v>2</v>
      </c>
      <c r="F9" s="18" t="s">
        <v>54</v>
      </c>
      <c r="G9" s="21" t="s">
        <v>1273</v>
      </c>
      <c r="H9" s="21"/>
    </row>
    <row r="10" spans="1:8" ht="45" customHeight="1" x14ac:dyDescent="0.25">
      <c r="A10" s="14" t="s">
        <v>1260</v>
      </c>
      <c r="B10" s="14" t="s">
        <v>1261</v>
      </c>
      <c r="C10" s="15" t="s">
        <v>1274</v>
      </c>
      <c r="D10" s="16" t="s">
        <v>1275</v>
      </c>
      <c r="E10" s="23">
        <v>3</v>
      </c>
      <c r="F10" s="18" t="s">
        <v>54</v>
      </c>
      <c r="G10" s="16" t="s">
        <v>1276</v>
      </c>
      <c r="H10" s="16"/>
    </row>
    <row r="11" spans="1:8" ht="60" customHeight="1" x14ac:dyDescent="0.25">
      <c r="A11" s="19" t="s">
        <v>1260</v>
      </c>
      <c r="B11" s="19" t="s">
        <v>1261</v>
      </c>
      <c r="C11" s="20" t="s">
        <v>1277</v>
      </c>
      <c r="D11" s="21" t="s">
        <v>1278</v>
      </c>
      <c r="E11" s="23">
        <v>3</v>
      </c>
      <c r="F11" s="18" t="s">
        <v>54</v>
      </c>
      <c r="G11" s="21" t="s">
        <v>1279</v>
      </c>
      <c r="H11" s="21"/>
    </row>
    <row r="12" spans="1:8" ht="60" customHeight="1" x14ac:dyDescent="0.25">
      <c r="A12" s="14" t="s">
        <v>1260</v>
      </c>
      <c r="B12" s="14" t="s">
        <v>1261</v>
      </c>
      <c r="C12" s="15" t="s">
        <v>1280</v>
      </c>
      <c r="D12" s="16" t="s">
        <v>1281</v>
      </c>
      <c r="E12" s="23">
        <v>3</v>
      </c>
      <c r="F12" s="18" t="s">
        <v>54</v>
      </c>
      <c r="G12" s="16" t="s">
        <v>1282</v>
      </c>
      <c r="H12" s="16"/>
    </row>
    <row r="13" spans="1:8" ht="60" customHeight="1" x14ac:dyDescent="0.25">
      <c r="A13" s="19" t="s">
        <v>1260</v>
      </c>
      <c r="B13" s="19" t="s">
        <v>1261</v>
      </c>
      <c r="C13" s="20" t="s">
        <v>1283</v>
      </c>
      <c r="D13" s="21" t="s">
        <v>1284</v>
      </c>
      <c r="E13" s="23">
        <v>3</v>
      </c>
      <c r="F13" s="18" t="s">
        <v>54</v>
      </c>
      <c r="G13" s="21" t="s">
        <v>1285</v>
      </c>
      <c r="H13" s="21"/>
    </row>
    <row r="14" spans="1:8" x14ac:dyDescent="0.25">
      <c r="A14" s="13" t="s">
        <v>1286</v>
      </c>
      <c r="B14" s="13" t="s">
        <v>1287</v>
      </c>
      <c r="C14" s="13"/>
      <c r="D14" s="13"/>
      <c r="E14" s="13"/>
      <c r="F14" s="13"/>
      <c r="G14" s="13"/>
      <c r="H14" s="13"/>
    </row>
    <row r="15" spans="1:8" ht="60" customHeight="1" x14ac:dyDescent="0.25">
      <c r="A15" s="14" t="s">
        <v>1286</v>
      </c>
      <c r="B15" s="14" t="s">
        <v>1287</v>
      </c>
      <c r="C15" s="15" t="s">
        <v>1288</v>
      </c>
      <c r="D15" s="16" t="s">
        <v>1289</v>
      </c>
      <c r="E15" s="17">
        <v>2</v>
      </c>
      <c r="F15" s="18" t="s">
        <v>54</v>
      </c>
      <c r="G15" s="16" t="s">
        <v>1290</v>
      </c>
      <c r="H15" s="16"/>
    </row>
    <row r="16" spans="1:8" ht="90" customHeight="1" x14ac:dyDescent="0.25">
      <c r="A16" s="19" t="s">
        <v>1286</v>
      </c>
      <c r="B16" s="19" t="s">
        <v>1287</v>
      </c>
      <c r="C16" s="20" t="s">
        <v>1291</v>
      </c>
      <c r="D16" s="21" t="s">
        <v>1292</v>
      </c>
      <c r="E16" s="17">
        <v>2</v>
      </c>
      <c r="F16" s="18" t="s">
        <v>54</v>
      </c>
      <c r="G16" s="21" t="s">
        <v>1293</v>
      </c>
      <c r="H16" s="21"/>
    </row>
  </sheetData>
  <conditionalFormatting sqref="F2:F16">
    <cfRule type="cellIs" priority="2" operator="equal">
      <formula>"Compliant"</formula>
    </cfRule>
    <cfRule type="cellIs" priority="3" operator="equal">
      <formula>"In Progress"</formula>
    </cfRule>
    <cfRule type="cellIs" priority="4" operator="equal">
      <formula>"Not Applicable"</formula>
    </cfRule>
  </conditionalFormatting>
  <dataValidations disablePrompts="1" count="1">
    <dataValidation type="list" allowBlank="1" sqref="F2:F1016" xr:uid="{00000000-0002-0000-11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18</vt:i4>
      </vt:variant>
    </vt:vector>
  </HeadingPairs>
  <TitlesOfParts>
    <vt:vector size="18" baseType="lpstr">
      <vt:lpstr>Summary</vt:lpstr>
      <vt:lpstr>V1 - Encoding and Sanitization</vt:lpstr>
      <vt:lpstr>V2 - Validation and Business Lo</vt:lpstr>
      <vt:lpstr>V3 - Web Frontend Security</vt:lpstr>
      <vt:lpstr>V4 - API and Web Service</vt:lpstr>
      <vt:lpstr>V5 - File Handling</vt:lpstr>
      <vt:lpstr>V6 - Authentication</vt:lpstr>
      <vt:lpstr>V7 - Session Management</vt:lpstr>
      <vt:lpstr>V8 - Authorization</vt:lpstr>
      <vt:lpstr>V9 - Self-contained Tokens</vt:lpstr>
      <vt:lpstr>V10 - OAuth and OIDC</vt:lpstr>
      <vt:lpstr>V11 - Cryptography</vt:lpstr>
      <vt:lpstr>V12 - Secure Communication</vt:lpstr>
      <vt:lpstr>V13 - Configuration</vt:lpstr>
      <vt:lpstr>V14 - Data Protection</vt:lpstr>
      <vt:lpstr>V15 - Secure Coding and Archite</vt:lpstr>
      <vt:lpstr>V16 - Security Logging and Erro</vt:lpstr>
      <vt:lpstr>V17 - WebRTC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Diogo Jose Moreira De Sousa</cp:lastModifiedBy>
  <cp:revision>3</cp:revision>
  <cp:lastPrinted>2026-04-15T19:56:57Z</cp:lastPrinted>
  <dcterms:created xsi:type="dcterms:W3CDTF">2026-03-04T10:14:28Z</dcterms:created>
  <dcterms:modified xsi:type="dcterms:W3CDTF">2026-06-15T11:19:46Z</dcterms:modified>
  <dc:language>pt-PT</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3.1</vt:lpwstr>
  </property>
</Properties>
</file>