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dmopm\IdeaProjects\desofs2026-wed_nap_2\Deliverables\"/>
    </mc:Choice>
  </mc:AlternateContent>
  <xr:revisionPtr revIDLastSave="0" documentId="13_ncr:1_{6E66F702-9CD3-4C1B-B48A-D3E6C39BDE33}" xr6:coauthVersionLast="47" xr6:coauthVersionMax="47" xr10:uidLastSave="{00000000-0000-0000-0000-000000000000}"/>
  <bookViews>
    <workbookView xWindow="-120" yWindow="-120" windowWidth="29040" windowHeight="15720" tabRatio="500"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E6" i="1" s="1"/>
  <c r="G23" i="1" l="1"/>
  <c r="J23" i="1"/>
  <c r="L23" i="1"/>
  <c r="E23" i="1"/>
  <c r="H6" i="1"/>
  <c r="H23" i="1" s="1"/>
  <c r="K6" i="1"/>
  <c r="K23" i="1" s="1"/>
  <c r="M6" i="1"/>
  <c r="M23" i="1" s="1"/>
  <c r="D23" i="1"/>
</calcChain>
</file>

<file path=xl/sharedStrings.xml><?xml version="1.0" encoding="utf-8"?>
<sst xmlns="http://schemas.openxmlformats.org/spreadsheetml/2006/main" count="2298" uniqueCount="1134">
  <si>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</si>
  <si>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</si>
  <si>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</si>
  <si>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</si>
  <si>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</si>
  <si>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</si>
  <si>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</si>
  <si>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</si>
  <si>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</si>
  <si>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</si>
  <si>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</si>
  <si>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</si>
  <si>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</si>
  <si>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</si>
  <si>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</si>
  <si>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</si>
  <si>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</si>
  <si>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</si>
  <si>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</si>
  <si>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</si>
  <si>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</si>
  <si>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</si>
  <si>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</si>
  <si>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</si>
  <si>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</si>
  <si>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</si>
  <si>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</si>
  <si>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</si>
  <si>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</si>
  <si>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</si>
  <si>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</si>
  <si>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</si>
  <si>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</si>
  <si>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</si>
  <si>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</si>
  <si>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</si>
  <si>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</si>
  <si>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</si>
  <si>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</si>
  <si>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</si>
  <si>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</si>
  <si>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</si>
  <si>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</si>
  <si>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</si>
  <si>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</si>
  <si>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</si>
  <si>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</si>
  <si>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</si>
  <si>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</si>
  <si>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</si>
  <si>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</si>
  <si>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</si>
  <si>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</si>
  <si>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</si>
  <si>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</si>
  <si>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</si>
  <si>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</si>
  <si>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</si>
  <si>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</si>
  <si>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</si>
  <si>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</si>
  <si>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</si>
  <si>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</si>
  <si>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</si>
  <si>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</si>
  <si>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</si>
  <si>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</si>
  <si>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</si>
  <si>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</si>
  <si>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</si>
  <si>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</si>
  <si>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</si>
  <si>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</si>
  <si>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</si>
  <si>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</si>
  <si>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</si>
  <si>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</si>
  <si>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</si>
  <si>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</si>
  <si>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</si>
  <si>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</si>
  <si>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</si>
  <si>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</si>
  <si>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</si>
  <si>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</si>
  <si>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</si>
  <si>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</si>
  <si>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</si>
  <si>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</si>
  <si>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</si>
  <si>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</si>
  <si>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</si>
  <si>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</si>
  <si>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</si>
  <si>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</si>
  <si>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</si>
  <si>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</si>
  <si>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</si>
  <si>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</si>
  <si>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</si>
  <si>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</si>
  <si>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</si>
  <si>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</si>
  <si>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</si>
  <si>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</si>
  <si>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</si>
  <si>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</si>
  <si>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</si>
  <si>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</si>
  <si>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</si>
  <si>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</si>
  <si>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</si>
  <si>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</si>
  <si>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</si>
  <si>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</si>
  <si>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</si>
  <si>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</si>
  <si>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</si>
  <si>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</si>
  <si>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</si>
  <si>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</si>
  <si>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</si>
  <si>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</si>
  <si>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</si>
  <si>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</si>
  <si>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</si>
  <si>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</si>
  <si>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</si>
  <si>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</si>
  <si>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</si>
  <si>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</si>
  <si>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</si>
  <si>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</si>
  <si>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</si>
  <si>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</si>
  <si>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</si>
  <si>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</si>
  <si>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</si>
  <si>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</si>
  <si>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</si>
  <si>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</si>
  <si>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</si>
  <si>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</si>
  <si>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</si>
  <si>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</si>
  <si>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</si>
  <si>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</si>
  <si>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</si>
  <si>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</si>
  <si>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</si>
  <si>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</si>
  <si>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</si>
  <si>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</si>
  <si>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</si>
  <si>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</si>
  <si>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</si>
  <si>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</si>
  <si>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</si>
  <si>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</si>
  <si>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</si>
  <si>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</si>
  <si>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</si>
  <si>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</si>
  <si>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</si>
  <si>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</si>
  <si>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</si>
  <si>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</si>
  <si>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</si>
  <si>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</si>
  <si>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</si>
  <si>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</si>
  <si>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</si>
  <si>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</si>
  <si>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</si>
  <si>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</si>
  <si>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</si>
  <si>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</si>
  <si>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</si>
  <si>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</si>
  <si>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</si>
  <si>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</si>
  <si>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</si>
  <si>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</si>
  <si>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</si>
  <si>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</si>
  <si>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</si>
  <si>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</si>
  <si>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</si>
  <si>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</si>
  <si>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</si>
  <si>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</si>
  <si>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</si>
  <si>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</si>
  <si>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</si>
  <si>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</si>
  <si>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</si>
  <si>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</si>
  <si>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</si>
  <si>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</si>
  <si>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</si>
  <si>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</si>
  <si>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</si>
  <si>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</si>
  <si>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</si>
  <si>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</si>
  <si>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</si>
  <si>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</si>
  <si>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</si>
  <si>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</si>
  <si>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</si>
  <si>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</si>
  <si>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</si>
  <si>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</si>
  <si>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</si>
  <si>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</si>
  <si>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</si>
  <si>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</si>
  <si>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</si>
  <si>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</si>
  <si>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</si>
  <si>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</si>
  <si>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</si>
  <si>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</si>
  <si>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</si>
  <si>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</si>
  <si>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</si>
  <si>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</si>
  <si>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</si>
  <si>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</si>
  <si>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</si>
  <si>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</si>
  <si>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</si>
  <si>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</si>
  <si>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</si>
  <si>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</si>
  <si>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</si>
  <si>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</si>
  <si>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</si>
  <si>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</si>
  <si>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</si>
  <si>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</si>
  <si>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</si>
  <si>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</si>
  <si>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</si>
  <si>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</si>
  <si>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</si>
  <si>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</si>
  <si>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</si>
  <si>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</si>
  <si>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</si>
  <si>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</si>
  <si>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</si>
  <si>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</si>
  <si>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</si>
  <si>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</si>
  <si>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</si>
  <si>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</si>
  <si>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</si>
  <si>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</si>
  <si>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</si>
  <si>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</si>
  <si>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</si>
  <si>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</si>
  <si>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</si>
  <si>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</si>
  <si>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</si>
  <si>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</si>
  <si>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</si>
  <si>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</si>
  <si>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</si>
  <si>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</si>
  <si>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</si>
  <si>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</si>
  <si>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</si>
  <si>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</si>
  <si>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</si>
  <si>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</si>
  <si>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</si>
  <si>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</si>
  <si>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</si>
  <si>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</si>
  <si>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</si>
  <si>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</si>
  <si>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</si>
  <si>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</si>
  <si>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</si>
  <si>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</si>
  <si>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</si>
  <si>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</si>
  <si>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</si>
  <si>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</si>
  <si>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</si>
  <si>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</si>
  <si>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</si>
  <si>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</si>
  <si>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</si>
  <si>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</si>
  <si>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</si>
  <si>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</si>
  <si>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</si>
  <si>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</si>
  <si>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</si>
  <si>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</si>
  <si>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</si>
  <si>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</si>
  <si>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</si>
  <si>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</si>
  <si>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</si>
  <si>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</si>
  <si>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</si>
  <si>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</si>
  <si>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</si>
  <si>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</si>
  <si>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</si>
  <si>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</si>
  <si>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</si>
  <si>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</si>
  <si>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</si>
  <si>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</si>
  <si>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</si>
  <si>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</si>
  <si>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</si>
  <si>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</si>
  <si>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</si>
  <si>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</si>
  <si>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</si>
  <si>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</si>
  <si>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</si>
  <si>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</si>
  <si>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</si>
  <si>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</si>
  <si>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</si>
  <si>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</si>
  <si>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</si>
  <si>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</si>
  <si>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</si>
  <si>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</si>
  <si>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</si>
  <si>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</si>
  <si>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</si>
  <si>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</si>
  <si>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</si>
  <si>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</si>
  <si>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</si>
  <si>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</si>
  <si>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</si>
  <si>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</si>
  <si>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</si>
  <si>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</si>
  <si>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</si>
  <si>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</si>
  <si>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</si>
  <si>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</si>
  <si>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</si>
  <si>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</si>
  <si>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</si>
  <si>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</si>
  <si>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</si>
  <si>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</si>
  <si>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</si>
  <si>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</si>
  <si>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</si>
  <si>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</si>
  <si>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</si>
  <si>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</si>
  <si>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</si>
  <si>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</si>
  <si>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</si>
  <si>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</si>
  <si>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</si>
  <si>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</si>
  <si>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</si>
  <si>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</si>
  <si>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</si>
  <si>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</si>
  <si>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</si>
  <si>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</si>
  <si>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</si>
  <si>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</si>
  <si>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</si>
  <si>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</si>
  <si>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</si>
  <si>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</si>
  <si>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</si>
  <si>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</si>
  <si>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</si>
  <si>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</si>
  <si>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</si>
  <si>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</si>
  <si>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</si>
  <si>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</si>
  <si>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</si>
  <si>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</si>
  <si>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</si>
  <si>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</si>
  <si>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</si>
  <si>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</si>
  <si>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</si>
  <si>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</si>
  <si>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</si>
  <si>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</si>
  <si>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</si>
  <si>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</si>
  <si>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</si>
  <si>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</si>
  <si>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</si>
  <si>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</si>
  <si>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</si>
  <si>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</si>
  <si>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</si>
  <si>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</si>
  <si>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</si>
  <si>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</si>
  <si>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</si>
  <si>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</si>
  <si>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</si>
  <si>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</si>
  <si>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</si>
  <si>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</si>
  <si>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</si>
  <si>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</si>
  <si>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</si>
  <si>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</si>
  <si>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</si>
  <si>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</si>
  <si>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</si>
  <si>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</si>
  <si>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</si>
  <si>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</si>
  <si>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</si>
  <si>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</si>
  <si>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</si>
  <si>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</si>
  <si>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</si>
  <si>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</si>
  <si>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</si>
  <si>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</si>
  <si>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</si>
  <si>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</si>
  <si>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</si>
  <si>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</si>
  <si>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</si>
  <si>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</si>
  <si>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</si>
  <si>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</si>
  <si>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</si>
  <si>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</si>
  <si>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</si>
  <si>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</si>
  <si>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</si>
  <si>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</si>
  <si>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</si>
  <si>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</si>
  <si>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</si>
  <si>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</si>
  <si>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</si>
  <si>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</si>
  <si>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</si>
  <si>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</si>
  <si>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</si>
  <si>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</si>
  <si>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</si>
  <si>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</si>
  <si>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</si>
  <si>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</si>
  <si>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</si>
  <si>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</si>
  <si>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</si>
  <si>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</si>
  <si>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</si>
  <si>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</si>
  <si>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</si>
  <si>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</si>
  <si>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</si>
  <si>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</si>
  <si>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</si>
  <si>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</si>
  <si>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</si>
  <si>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</si>
  <si>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</si>
  <si>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</si>
  <si>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</si>
  <si>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</si>
  <si>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</si>
  <si>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</si>
  <si>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</si>
  <si>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</si>
  <si>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</si>
  <si>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</si>
  <si>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</si>
  <si>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</si>
  <si>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</si>
  <si>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</si>
  <si>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</si>
  <si>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</si>
  <si>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</si>
  <si>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</si>
  <si>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</si>
  <si>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</si>
  <si>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</si>
  <si>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</si>
  <si>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</si>
  <si>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</si>
  <si>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</si>
  <si>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</si>
  <si>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</si>
  <si>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</si>
  <si>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</si>
  <si>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</si>
  <si>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</si>
  <si>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</si>
  <si>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</si>
  <si>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</si>
  <si>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</si>
  <si>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</si>
  <si>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</si>
  <si>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</si>
  <si>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</si>
  <si>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</si>
  <si>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</si>
  <si>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</si>
  <si>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</si>
  <si>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</si>
  <si>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</si>
  <si>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</si>
  <si>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</si>
  <si>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</si>
  <si>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</si>
  <si>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</si>
  <si>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</si>
  <si>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</si>
  <si>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</si>
  <si>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</si>
  <si>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</si>
  <si>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</si>
  <si>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</si>
  <si>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</si>
  <si>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</si>
  <si>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</si>
  <si>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</si>
  <si>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</si>
  <si>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</si>
  <si>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</si>
  <si>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</si>
  <si>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</si>
  <si>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</si>
  <si>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</si>
  <si>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</si>
  <si>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</si>
  <si>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</si>
  <si>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</si>
  <si>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</si>
  <si>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</si>
  <si>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</si>
  <si>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</si>
  <si>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</si>
  <si>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</si>
  <si>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</si>
  <si>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</si>
  <si>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</si>
  <si>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</si>
  <si>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</si>
  <si>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</si>
  <si>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</si>
  <si>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</si>
  <si>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</si>
  <si>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</si>
  <si>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</si>
  <si>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</si>
  <si>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</si>
  <si>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</si>
  <si>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</si>
  <si>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</si>
  <si>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</si>
  <si>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</si>
  <si>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</si>
  <si>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</si>
  <si>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</si>
  <si>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</si>
  <si>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</si>
  <si>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</si>
  <si>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</si>
  <si>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</si>
  <si>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</si>
  <si>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</si>
  <si>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</si>
  <si>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</si>
  <si>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</si>
  <si>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</si>
  <si>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</si>
  <si>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</si>
  <si>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</si>
  <si>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</si>
  <si>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</si>
  <si>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</si>
  <si>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</si>
  <si>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</si>
  <si>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</si>
  <si>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</si>
  <si>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</si>
  <si>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</si>
  <si>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</si>
  <si>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</si>
  <si>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</si>
  <si>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</si>
  <si>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</si>
  <si>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</si>
  <si>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</si>
  <si>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</si>
  <si>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</si>
  <si>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</si>
  <si>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</si>
  <si>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</si>
  <si>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</si>
  <si>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</si>
  <si>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</si>
  <si>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</si>
  <si>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</si>
  <si>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</si>
  <si>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</si>
  <si>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</si>
  <si>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</si>
  <si>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</si>
  <si>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</si>
  <si>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</si>
  <si>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</si>
  <si>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</si>
  <si>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</si>
  <si>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</si>
  <si>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</si>
  <si>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</si>
  <si>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</si>
  <si>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</si>
  <si>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</si>
  <si>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</si>
  <si>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</si>
  <si>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</si>
  <si>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</si>
  <si>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</si>
  <si>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</si>
  <si>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</si>
  <si>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</si>
  <si>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</si>
  <si>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</si>
  <si>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</si>
  <si>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</si>
  <si>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</si>
  <si>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</si>
  <si>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</si>
  <si>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</si>
  <si>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</si>
  <si>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</si>
  <si>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</si>
  <si>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</si>
  <si>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</si>
  <si>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</si>
  <si>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</si>
  <si>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</si>
  <si>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</si>
  <si>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</si>
  <si>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</si>
  <si>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</si>
  <si>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</si>
  <si>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</si>
  <si>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</si>
  <si>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</si>
  <si>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</si>
  <si>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</si>
  <si>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</si>
  <si>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</si>
  <si>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</si>
  <si>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</si>
  <si>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</si>
  <si>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</si>
  <si>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</si>
  <si>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</si>
  <si>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</si>
  <si>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</si>
  <si>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</si>
  <si>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</si>
  <si>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</si>
  <si>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</si>
  <si>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</si>
  <si>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</si>
  <si>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</si>
  <si>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</si>
  <si>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</si>
  <si>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</si>
  <si>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</si>
  <si>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</si>
  <si>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</si>
  <si>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</si>
  <si>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</si>
  <si>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</si>
  <si>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</si>
  <si>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</si>
  <si>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</si>
  <si>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</si>
  <si>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</si>
  <si>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</si>
  <si>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</si>
  <si>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</si>
  <si>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</si>
  <si>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</si>
  <si>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</si>
  <si>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</si>
  <si>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</si>
  <si>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</si>
  <si>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</si>
  <si>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</si>
  <si>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</si>
  <si>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</si>
  <si>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</si>
  <si>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</si>
  <si>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</si>
  <si>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</si>
  <si>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</si>
  <si>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</si>
  <si>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</si>
  <si>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</si>
  <si>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</si>
  <si>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</si>
  <si>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</si>
  <si>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</si>
  <si>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</si>
  <si>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</si>
  <si>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</si>
  <si>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</si>
  <si>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</si>
  <si>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</si>
  <si>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</si>
  <si>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</si>
  <si>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</si>
  <si>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</si>
  <si>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</si>
  <si>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</si>
  <si>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</si>
  <si>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</si>
  <si>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</si>
  <si>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</si>
  <si>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</si>
  <si>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</si>
  <si>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</si>
  <si>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</si>
  <si>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</si>
  <si>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</si>
  <si>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</si>
  <si>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</si>
  <si>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</si>
  <si>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</si>
  <si>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</si>
  <si>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</si>
  <si>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</si>
  <si>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</si>
  <si>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</si>
  <si>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</si>
  <si>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</si>
  <si>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</si>
  <si>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</si>
  <si>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</si>
  <si>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</si>
  <si>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</si>
  <si>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</si>
  <si>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</si>
  <si>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</si>
  <si>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</si>
  <si>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</si>
  <si>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</si>
  <si>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</si>
  <si>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</si>
  <si>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</si>
  <si>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</si>
  <si>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</si>
  <si>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</si>
  <si>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</si>
  <si>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</si>
  <si>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</si>
  <si>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</si>
  <si>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</si>
  <si>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</si>
  <si>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</si>
  <si>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</si>
  <si>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</si>
  <si>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</si>
  <si>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</si>
  <si>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</si>
  <si>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</si>
  <si>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</si>
  <si>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</si>
  <si>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</si>
  <si>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</si>
  <si>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</si>
  <si>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</si>
  <si>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</si>
  <si>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</si>
  <si>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</si>
  <si>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</si>
  <si>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</si>
  <si>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</si>
  <si>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</si>
  <si>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</si>
  <si>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</si>
  <si>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</si>
  <si>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</si>
  <si>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</si>
  <si>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</si>
  <si>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</si>
  <si>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</si>
  <si>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</si>
  <si>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</si>
  <si>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</si>
  <si>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</si>
  <si>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</si>
  <si>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</si>
  <si>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</si>
  <si>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</si>
  <si>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</si>
  <si>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</si>
  <si>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</si>
  <si>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</si>
  <si>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</si>
  <si>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</si>
  <si>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</si>
  <si>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</si>
  <si>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</si>
  <si>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</si>
  <si>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</si>
  <si>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</si>
  <si>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</si>
  <si>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</si>
  <si>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</si>
  <si>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</si>
  <si>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</si>
  <si>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</si>
  <si>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</si>
  <si>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</si>
  <si>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</si>
  <si>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</si>
  <si>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</si>
  <si>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</si>
  <si>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</si>
  <si>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</si>
  <si>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</si>
  <si>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</si>
  <si>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</si>
  <si>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</si>
  <si>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</si>
  <si>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</si>
  <si>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</si>
  <si>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</si>
  <si>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</si>
  <si>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</si>
  <si>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</si>
  <si>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</si>
  <si>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</si>
  <si>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</si>
  <si>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</si>
  <si>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</si>
  <si>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</si>
  <si>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</si>
  <si>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</si>
  <si>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</si>
  <si>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</si>
  <si>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</si>
  <si>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</si>
  <si>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</si>
  <si>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</si>
  <si>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</si>
  <si>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</si>
  <si>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</si>
  <si>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</si>
  <si>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</si>
  <si>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</si>
  <si>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</si>
  <si>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</si>
  <si>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</si>
  <si>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</si>
  <si>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</si>
  <si>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</si>
  <si>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</si>
  <si>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</si>
  <si>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</si>
  <si>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</si>
  <si>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</si>
  <si>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</si>
  <si>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</si>
  <si>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</si>
  <si>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</si>
  <si>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</si>
  <si>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</si>
  <si>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</si>
  <si>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</si>
  <si>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In Progress</t>
  </si>
  <si>
    <t>Not Applicable</t>
  </si>
  <si>
    <t>c</t>
  </si>
  <si>
    <t>REST API with no browser-facing front-end. No browser security features need to be documented.</t>
  </si>
  <si>
    <t>No HTML rendering occurs in the API. All responses are JSON or binary file content.</t>
  </si>
  <si>
    <t>No client-side JavaScript is used. ArcadeHaven is a back-end REST API only.</t>
  </si>
  <si>
    <t>No cookies are used. Authentication is handled via JWT Bearer tokens.</t>
  </si>
  <si>
    <t>No cookies are used.</t>
  </si>
  <si>
    <t>No session cookies are used. JWTs are transmitted via the Authorization header only.</t>
  </si>
  <si>
    <t>Uses JWT tokens in the Authorization header, not cookies.</t>
  </si>
  <si>
    <t>REST API with no browser-facing interface. Browser feature detection is not applicable.</t>
  </si>
  <si>
    <t>Not serve or load any external client-side assets (JS libraries, CSS, fonts). No CDN resources are used in the back-end API.</t>
  </si>
  <si>
    <t>No WebSocket handshake is performed. Not applicable to the current project scope.</t>
  </si>
  <si>
    <t>No WebSocket connections are used. Session management is handled via JWT Bearer tokens over HTTPS.</t>
  </si>
  <si>
    <t>No WebSocket connections are used. Not applicable to the current project scope.</t>
  </si>
  <si>
    <t>ArcadeHaven does not implement WebSocket connections. All communication is via standard HTTPS REST API calls.</t>
  </si>
  <si>
    <t>ArcadeHaven uses a REST API, not GraphQL. Introspection queries do not exist in this context.</t>
  </si>
  <si>
    <t>ArcadeHaven uses a REST API, not GraphQL. This requirement is not applicable.</t>
  </si>
  <si>
    <t>ArcadeHaven will use HTTP/1.1 initially via Spring Boot embedded Tomcat, which handles Transfer-Encoding and Content-Length boundaries correctly by default. HTTP/2 support will be evaluated in Phase 2 with explicit validation of DATA frame consistency.</t>
  </si>
  <si>
    <t>ArcadeHaven is a back-end REST API with no browser-facing front-end. Client-side storage clearing and Clear-Site-Data headers are not applicable in the current scope.</t>
  </si>
  <si>
    <t>Authentication uses JWT Bearer tokens passed in the Authorization header, managed entirely by the API consumer.</t>
  </si>
  <si>
    <t>ArcadeHaven API will never include sensitive data (API keys, tokens, passwords) in URL query strings. All sensitive data will be transmitted in the HTTP request body (POST/PUT) or in the Authorization header. Enforced by API design guidelines and validated in code reviews.</t>
  </si>
  <si>
    <t>ArcadeHaven does not integrate any third-party trackers or analytics services. The only external service calls are to RAWG API (game metadata, no user data sent). No user data is shared with untrusted parties.</t>
  </si>
  <si>
    <t>Sensitive API responses will include Cache-Control: no-store headers to prevent caching in intermediary layers such as load balancers or reverse proxies.</t>
  </si>
  <si>
    <t>Controls defined in V14.1.2 will be implemented and verified: BCrypt for password hashing, TLS for data in transit, Cache-Control: no-store for sensitive responses, role-based access to sensitive log data, and data retention policies enforced via scheduled database cleanup jobs.</t>
  </si>
  <si>
    <t>All sensitive data in ArcadeHaven will be identified and classified. Key sensitive data includes: password hashes, JWT tokens, activation keys, personal user data (email, username), order history, and payment-related data. JWT payloads will be treated as sensitive despite being only Base64-encoded. Classification will be documented in the data protection policy.</t>
  </si>
  <si>
    <t>ArcadeHaven will enforce TLS 1.2 and TLS 1.3 only. TLS 1.0 and 1.1 will be explicitly disabled in the Spring Boot embedded Tomcat configuration and in the reverse proxy (Nginx/Docker). TLS 1.3 will be set as the preferred version.</t>
  </si>
  <si>
    <t>ArcadeHaven does not implement mutual TLS (mTLS) client certificate authentication in Phase 1. Authentication is handled via JWT Bearer tokens.</t>
  </si>
  <si>
    <t>All JWT tokens issued by ArcadeHaven will be validated using their digital signature (HMAC-SHA256 or RS256) before any token content is trusted. Spring Security's JWT filter will reject any token with an invalid or missing signature with a 401 response.</t>
  </si>
  <si>
    <t>An algorithm allowlist will be configured in the JWT validation layer. Only HS256 or RS256 will be permitted. The None algorithm will be explicitly rejected. No mixed symmetric/asymmetric support is planned, avoiding key confusion risks.</t>
  </si>
  <si>
    <t>ArcadeHaven uses a single audience (arcadehaven-api), so audience confusion risk is low.</t>
  </si>
  <si>
    <t>JWT tokens will include an aud (audience) claim set to arcadehaven-api. The validation layer will reject any token whose aud claim does not match the expected value.</t>
  </si>
  <si>
    <t>Key material for JWT validation will be pre-configured server-side via environment variables. JWT headers such as jku, x5u, and jwk will be ignored or validated against a strict allowlist to prevent attackers from supplying untrusted key sources.</t>
  </si>
  <si>
    <t>JWT tokens will include exp (expiration) and nbf (not before) claims. The validation layer will reject tokens outside their validity window. Access tokens will have a maximum lifetime of 15 minutes.</t>
  </si>
  <si>
    <t>ArcadeHaven will issue distinct token types (access token, refresh token)</t>
  </si>
  <si>
    <t>No server-side file decompression is performed on user-uploaded files. Zip slip attacks are not applicable in the current scope.</t>
  </si>
  <si>
    <t>Maximum file size limits will be enforced at the Spring Boot level via spring.servlet.multipart.max-file-size and spring.servlet.multipart.max-request-size. Requests exceeding the limit will be rejected with a 413 response before processing begins.</t>
  </si>
  <si>
    <t>All uploaded files will be validated by checking the file extension against an allowlist (JPEG, PNG, WebP) and verifying the magic bytes of the file content. Image files will be re-written server-side (via Java ImageIO) to strip any embedded malicious content and confirm the file is a valid image.</t>
  </si>
  <si>
    <t>No compressed file uploads are accepted. Symlink exploitation via zip files is not applicable in the current scope.</t>
  </si>
  <si>
    <t>ArcadeHaven does not accept compressed archive uploads (zip, gz, etc.).</t>
  </si>
  <si>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</si>
  <si>
    <t>REST API No user-facing redirect notifications are applicable.</t>
  </si>
  <si>
    <t>ArcadeHaven adopts structured JSON logging as the standard format across all components. Each log record follows a consistent schema with named fields (timestamp, level, userId, action, resource, outcome, sourceIp), enabling direct ingestion by standard log processors such as ELK, Splunk, or CloudWatch without pre-processing. This format is defined in LM-001 and eliminates the need for custom log parsing rules.</t>
  </si>
  <si>
    <t>ArcadeHaven uses JWT-based authentication (RNF-02, RF-02). LM-002 requires that every login attempt — whether successful or failed — is logged with the user identifier, authentication method (JWT), timestamp, source IP address, and outcome. Failed attempts are particularly critical for detecting brute-force attacks (abuse case AC-01) and username enumeration (abuse case AC-09). The log entry for a failed attempt does not reveal whether the username or the password was incorrect, to prevent enumeration.</t>
  </si>
  <si>
    <t>User-supplied data included in log records is sanitised before writing. IV-001 (whitelist validation) ensures input fields contain only expected characters, and IV-003 (output encoding) applies JSON encoding to any user-controlled value before it is embedded in a structured log entry. CRLF injection — where an attacker submits newline characters in a login username, search query, or game description field to forge or split log entries — is specifically addressed by abuse case AC-21.</t>
  </si>
  <si>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</si>
  <si>
    <t>ArcadeHaven's cryptographic operations are documented across RNF-01, RNF-02, RNF-05, and RNF-08: BCrypt (work factor 12) for password hashing, HMAC-SHA256 for JWT signing, TLS 1.2+ for transport, and CSPRNG for activation key generation. A consolidated cryptographic inventory — listing each operation with its algorithm parameters, key storage location, data types protected, and usage restrictions — is being assembled from these sources into a single reference document.</t>
  </si>
  <si>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</si>
  <si>
    <t>ArcadeHaven's cryptographic parameters are configurable without architectural redesign: the BCrypt cost factor is an application configuration parameter, the JWT algorithm can be reconfigured within the JWT library (e.g., swapping HS256 for RS256 by changing the signing key and algorithm identifier), and TLS cipher suite selection is an infrastructure-level configuration. A documented crypto agility plan — defining the upgrade path and re-hashing migration procedure for each algorithm in the event of a cryptographic break — is being added to the security architecture documentation.</t>
  </si>
  <si>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</si>
  <si>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</si>
  <si>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</si>
  <si>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</si>
  <si>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</si>
  <si>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</si>
  <si>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</si>
  <si>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</si>
  <si>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</si>
  <si>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</si>
  <si>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</si>
  <si>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</si>
  <si>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</si>
  <si>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</si>
  <si>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</si>
  <si>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</si>
  <si>
    <t>This is a Level 3 requirement. ArcadeHaven targets ASVS Level 2. Spring beans are singletons by default; thread-safety depends on all service and controller components being stateless. A formal thread-safety audit of all shared state has not been performed.</t>
  </si>
  <si>
    <t>pom.xml provides a complete list of all direct third-party dependencies. All dependencies are sourced from Maven Central, a pre-defined and trusted repository. A formal SBOM in CycloneDX format is being generated via the cyclonedx-maven-plugin, which includes transitive dependencies.</t>
  </si>
  <si>
    <t>Resource-demanding operations identified and documented: file uploads (FO-001/002 — max size and MIME validation), PDF invoice generation via iText (RF-16/26 — triggered only on confirmed order completion), and RAWG API calls (RF-12/RNF-16 — configurable timeout with local metadata fallback). Rate limiting (AC-006, RNF-09) applies across all high-volume endpoints.</t>
  </si>
  <si>
    <t>Although a Level 3 requirement, ArcadeHaven's V15.1.3 analysis already identifies and documents all resource-demanding and high-risk functionality: file uploads (disk I/O, MIME validation bypass risk), PDF invoice generation via iText (server-side file generation with user-controlled order data), RAWG API HTTP calls (SSRF adjacency, external dependency), and activation key generation (CSPRNG entropy dependency). These represent the dangerous functionality areas. A separate formal "dangerous functionality" section is being added to the security architecture documentation to satisfy the explicit V15.1.5 framing.</t>
  </si>
  <si>
    <t>Dependencies are version-pinned in pom.xml. OWASP Dependency Check is being integrated into the CI/CD pipeline to scan all direct and transitive dependencies against the NVD on each build, blocking any component with a CVE that exceeds the documented remediation timeframe (V15.1.1). No known high or critical CVEs have been identified in the current dependency set.</t>
  </si>
  <si>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</si>
  <si>
    <t>ArcadeHaven is containerised with Docker (RNF-21/22). Spring Boot application profiles separate development and production configurations. The production profile disables Swagger/OpenAPI UI endpoints, the H2 console, and any Spring Boot Actuator management endpoints. Test utilities and database seeding scripts are excluded from the production Docker image.</t>
  </si>
  <si>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</si>
  <si>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</si>
  <si>
    <t>The only outbound HTTP call in ArcadeHaven is to the RAWG API for game metadata enrichment (RF-12). The HTTP client (RestTemplate or WebClient) is explicitly configured to disable automatic redirect-following. An unexpected redirect from the RAWG API is treated as a failure and falls back to locally stored metadata (RNF-16).</t>
  </si>
  <si>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</si>
  <si>
    <t>The Docker deployment configuration is defining the reverse proxy layer to forward the original client IP via the X-Forwarded-For header. The application reads the client IP from this trusted header for rate limiting (AC-006) and security event logging (LM-001). The proxy configuration strips any client-supplied X-Forwarded-For headers before appending its own, preventing IP spoofing at the application boundary.</t>
  </si>
  <si>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</si>
  <si>
    <t>Prototype pollution is a vulnerability class specific to JavaScript/Node.js environments. ArcadeHaven is a Java/Spring Boot backend with no JavaScript runtime component. This vulnerability class is architecturally inapplicable.</t>
  </si>
  <si>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</si>
  <si>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</si>
  <si>
    <t>ArcadeHaven defines its logging inventory across RNF-07 and the LM-001/002/003 control catalog. The events to be logged are enumerated: authentication attempts (success and failure), authorization failures, role changes by administrators, invoice download access, activation key access, input validation failures, and security control failures. The application emits structured JSON logs to stdout. Log centralisation to an external system is an infrastructure concern outside the application layer.</t>
  </si>
  <si>
    <t>SC-002 explicitly prohibits logging of JWT tokens, passwords, API keys, and credit card numbers in any log entry. The structured JSON log schema (LM-001) uses named fields, and IV-003 applies JSON encoding before any user-controlled value is written to a log record. A data classification table mapping each ArcadeHaven data category — password hashes, JWT tokens, activation keys, email addresses, order IDs — to an explicit logging rule (log as-is, log masked, omit entirely) is being formalized to complement the SC-002 prohibitions.</t>
  </si>
  <si>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</si>
  <si>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</si>
  <si>
    <t>Every ArcadeHaven log entry includes: UTC timestamp, user ID, user role at time of the event, action type, target resource (e.g., game ID, order ID, invoice path), source IP address, and outcome (success or failure). This schema is defined by LM-001 (Structured Logging) and applies uniformly across all security-relevant events including login, role changes, game approvals, and file operations.</t>
  </si>
  <si>
    <t>LM-003 defines the catalog of security events to be logged in ArcadeHaven: input validation failures (SQL injection attempts, XSS payloads, oversized files), activation key misuse, path traversal attempts on invoice download, MIME type mismatch on file upload, and CRLF injection in logged fields (abuse case AC-21). Any attempt to bypass a security control — whether it succeeds or fails — must generate a log entry at security-event level.</t>
  </si>
  <si>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</si>
  <si>
    <t>ArcadeHaven logs are emitted to stdout within the Docker container (RNF-21/22). Container-level isolation restricts direct filesystem access to the log stream to authorised operators with Docker host access. File-system access controls — read restricted to log analysis roles, write restricted to the application process, and append-only mode for the container log output — are being defined as part of the Docker deployment configuration.</t>
  </si>
  <si>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</si>
  <si>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</si>
  <si>
    <t>ArcadeHaven integrates with the RAWG API for game metadata enrichment (RF-12). RNF-16 defines fallback behaviour to locally stored metadata when the external API is unavailable. The circuit breaker pattern — returning cached local metadata rather than propagating raw external error responses to the client or silently skipping security checks — is being designed as part of the external integration architecture. RAWG API failures must produce a structured fallback response (abuse case AC-19).</t>
  </si>
  <si>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</si>
  <si>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</si>
  <si>
    <t>Output is mainly JSON responses and server generated files (PDF invoices, activation keys). When writing files to filesystem, untrusted data will be properly escaped or sanitized</t>
  </si>
  <si>
    <t>ArcadeHaven does not generate HTML or XML content</t>
  </si>
  <si>
    <t>ArcadeHaven does not use operating system commands</t>
  </si>
  <si>
    <t>No LDAP integration is used in ArcadeHaven</t>
  </si>
  <si>
    <t>No XPath or XML quering is used in ArcadeHeaven</t>
  </si>
  <si>
    <t>No LaTeX processing is used in ArcadeHaven</t>
  </si>
  <si>
    <t>No CSV or Spreedsheet export is implemented in ArcadeHaven</t>
  </si>
  <si>
    <t>No WYSIWYG or HTML input is accepted</t>
  </si>
  <si>
    <t>SVG files are explicitly rejected during file upload validation</t>
  </si>
  <si>
    <t>No scriptable content (Markdown, CSS, BBCode) is processed</t>
  </si>
  <si>
    <t>No JNDI usage is present</t>
  </si>
  <si>
    <t>No memcache usage is present</t>
  </si>
  <si>
    <t>No email functionality is implemented</t>
  </si>
  <si>
    <t>Java provides built-in memory safety so no manual memory management is used</t>
  </si>
  <si>
    <t>ArcadeHeaven uses Spring Boot which automatically deserializes JSON inputs into Java objects ensuring a canonical form at entry. Validation will be enforced using Bean Validation</t>
  </si>
  <si>
    <t>Input validation rules will be formally defined using DTO constraints and documented per endpoint</t>
  </si>
  <si>
    <t>Logical consistency rules will be documented, including constraints such as valid price ranges, non-negative quantities, and consistency between related fields</t>
  </si>
  <si>
    <t>Business rules will be defined for both per-user and global constraints</t>
  </si>
  <si>
    <t>The system does not include high-risk operations requiring multiple user approval</t>
  </si>
  <si>
    <t>Uses no client-side technologies. No plugins, Flash, ActiveX, or applets are used.</t>
  </si>
  <si>
    <t>HSTS header (`Strict-Transport-Security: max-age=31536000; includeSubDomains`) will be enforced on all API responses via Spring Security</t>
  </si>
  <si>
    <t>CORS will be configured with a strict allowlist of trusted origins. `Access-Control-Allow-Origin: *` will not be used on authenticated endpoints.</t>
  </si>
  <si>
    <t xml:space="preserve">CSP not applicable to JSON REST API without HTML responses.   </t>
  </si>
  <si>
    <t>`X-Content-Type-Options: nosniff` will be included on all API responses via Spring Security headers configuration.</t>
  </si>
  <si>
    <t xml:space="preserve">Referrer-Policy has minimal relevance in API-only context.   </t>
  </si>
  <si>
    <t xml:space="preserve">Frame-ancestors not applicable (no browser rendering).           </t>
  </si>
  <si>
    <t>CSP reporting not applicable without CSP usage.</t>
  </si>
  <si>
    <t xml:space="preserve"> ArcadeHaven does not serve HTML documents. `Cross-Origin-Opener-Policy` is not applicable to a JSON REST API.</t>
  </si>
  <si>
    <t>All sensitive endpoints require a valid JWT Bearer token in the `Authorization` header, which is not a CORS-safelisted header, effectively preventing CSRF.</t>
  </si>
  <si>
    <t>All state-changing API calls require `Content-Type: application/json`, which triggers a CORS preflight. Requests without this header will be rejected.</t>
  </si>
  <si>
    <t>All sensitive operations use appropriate HTTP methods (POST, PUT, PATCH, DELETE). GET endpoints are read-only and do not expose sensitive functionality.</t>
  </si>
  <si>
    <t>Single backend; hostname separation not applicable.</t>
  </si>
  <si>
    <t>No client-side messaging (postMessage).</t>
  </si>
  <si>
    <t>JSONP not used.</t>
  </si>
  <si>
    <t>API does not serve JavaScript files or executable client-side code.</t>
  </si>
  <si>
    <t>All HTTP traffic is redirected to HTTPS at the reverse proxy level. The application itself is only exposed over HTTPS.</t>
  </si>
  <si>
    <t>All API responses will include `Content-Type: application/json; charset=UTF-8`. File download endpoints will use the appropriate MIME type (e.g. `application/pdf`, `image/png`). Enforced globally via Spring Boot's response configuration.</t>
  </si>
  <si>
    <t>Headers such as `X-Real-IP` and `X-Forwarded-For` set by intermediary layers (e.g. reverse proxy, Docker network) will be validated server-side. End-users will not be able to override these headers. Configuration will be enforced in the Spring Boot application and documented in the deployment guide.</t>
  </si>
  <si>
    <t>Token lifetimes will be defined and documented, including short-lived access tokens and longer-lived refresh tokens, with justification based on security requirements</t>
  </si>
  <si>
    <t>Session management is implemented using stateless access tokens (JWT). Token lifecycle, issuance, validation, and renewal mechanisms will be documented</t>
  </si>
  <si>
    <t>OAuth 2.0 flows will be documented, including token issuance and refresh mechanisms</t>
  </si>
  <si>
    <t>Authorization will be based on role-based access control, defining permissions for roles</t>
  </si>
  <si>
    <t>Field-level access control will be enforced at the API response layer using DTO projections and service-level filtering to prevent exposure of sensitive attributes</t>
  </si>
  <si>
    <t>Authorization decision are not based on contextual attributes</t>
  </si>
  <si>
    <t>No adaptative or risk-based authorization are enforced</t>
  </si>
  <si>
    <t>Functional authorization will be enforced using Spring Security method-level security based on user roles</t>
  </si>
  <si>
    <t>Data-level authorization will enforce ownership checks</t>
  </si>
  <si>
    <t>Sensitive fields will be excluded from API responses using DTO mapping and controlled serialization to prevent data leakage</t>
  </si>
  <si>
    <t>No contextual or adaptative authorization controls are not implemented</t>
  </si>
  <si>
    <t>ArcadeHaven system is monolithic; no inter-service authorization propagation is required</t>
  </si>
  <si>
    <t>ArcadeHaven is not a multi-tenant system so all users belong to the same application context</t>
  </si>
  <si>
    <t>All authentication pathways must be documented together with their associated security controls. ArcadeHaven's JWT-based authentication flow must include documentation of token issuance, validation, expiration, and revocation mechanisms.</t>
  </si>
  <si>
    <t>The application must enforce a minimum password length of 12 characters for all user-set passwords, validated server-side on registration and password change.</t>
  </si>
  <si>
    <t>The application must provide all authenticated users with the ability to change their own password through a dedicated and secured endpoint.</t>
  </si>
  <si>
    <t>The application must maintain and enforce a list of context-specific words (e.g. "ArcadeHaven", "pixel", "vault", "admin") that cannot be used as passwords or as part of passwords.</t>
  </si>
  <si>
    <t>The application must document how rate limiting, anti-automation, and adaptive response mechanisms are applied to authentication endpoints, particularly the login and registration flows.</t>
  </si>
  <si>
    <t>The password change endpoint must require the user's current password and new password. The current password must be verified before the change is applied.</t>
  </si>
  <si>
    <t>The application must check all passwords submitted during registration or password change against a blocklist of at least the top 3000 most common passwords. Passwords found on the blocklist must be rejected with an appropriate error message.</t>
  </si>
  <si>
    <t>The application must not impose character composition rules on passwords. No requirement for uppercase, lowercase, numbers, or special characters shall be enforced. Only minimum length will be validated.</t>
  </si>
  <si>
    <t>ArcadeHaven is a REST API with no front-end. Password masking is a client-side concern and falls outside the project scope.</t>
  </si>
  <si>
    <t>ArcadeHaven is a REST API with no front-end. Paste functionality and password manager compatibility are client-side concerns outside the project scope.</t>
  </si>
  <si>
    <t>The application must verify passwords exactly as received. No truncation, trimming, or transformation of any kind shall be applied to passwords before hashing or comparison.</t>
  </si>
  <si>
    <t>The application must permit passwords of at least 64 characters in length. The database schema and all validation layers must support this without truncation.</t>
  </si>
  <si>
    <t>The application must not enforce periodic password expiration. Passwords remain valid until the user changes them voluntarily or a breach is detected.</t>
  </si>
  <si>
    <t>The application must check passwords submitted during registration and password changes against a breached password database. The HaveIBeenPwned API (k-anonymity model) will be used to perform this check without exposing the plain-text password.</t>
  </si>
  <si>
    <t>The application must actively validate passwords against the context-specific blocklist defined in previously during registration and password change, rejecting any password that contains a blocked term.</t>
  </si>
  <si>
    <t>The application must implement rate limiting on authentication endpoints and enforce temporary account lockout after a configurable number of consecutive failed login attempts.</t>
  </si>
  <si>
    <t>The application must not include any default or well-known user accounts. Any seed accounts required for initial setup must use randomly generated credentials injected via environment variables and must be documented in the operations guide.</t>
  </si>
  <si>
    <t>The application must support multi-factor authentication. MFA must be mandatory for ADMIN role accounts and optional for PUBLISHER and BUYER roles. TOTP (RFC 6238) is the target mechanism.</t>
  </si>
  <si>
    <t>All authentication pathways must be documented and subject to the same security controls. No undocumented or backdoor authentication pathways are permitted.</t>
  </si>
  <si>
    <t>System-generated passwords and activation codes must be generated using a cryptographically secure random number generator (SecureRandom), comply with the password policy, and expire within 24 hours of generation.</t>
  </si>
  <si>
    <t>The application must not implement password hints or knowledge-based authentication (secret questions). Password recovery must use secure, time-limited tokens delivered to the user's registered email address.</t>
  </si>
  <si>
    <t>The password reset process must use a cryptographically secure, single-use token with a maximum validity of 1 hour. The process must not bypass MFA and must invalidate the token immediately after use.</t>
  </si>
  <si>
    <t>Account recovery following loss of an MFA factor must require identity verification at the same assurance level as the original enrollment process.</t>
  </si>
  <si>
    <t>All lookup secrets stored in the database must be hashed using BCrypt or an equivalent approved password hashing algorithm. Plain-text storage of any secret is strictly prohibited.</t>
  </si>
  <si>
    <t>All lookup secrets, out-of-band authentication codes, and TOTP seeds must be generated using SecureRandom or an equivalent CSPRNG. Use of Math.random() or similar non-cryptographic generators is strictly prohibited.</t>
  </si>
  <si>
    <t>Out-of-band authentication codes must expire after a maximum of 5 minutes. TOTP validation must use a time window of ±1 step (30 seconds). Expired codes must be rejected.</t>
  </si>
  <si>
    <t>All one-time passwords, lookup secrets, and out-of-band codes must be invalidated immediately after a single successful use. Replay of used codes must be rejected.</t>
  </si>
  <si>
    <t>ArcadeHaven does not use PSTN (SMS/phone) for OTP delivery. MFA is implemented via TOTP only.</t>
  </si>
  <si>
    <t>All out-of-band authentication codes must be cryptographically bound to the specific authentication request and session for which they were generated. Cross-session reuse must be rejected.</t>
  </si>
  <si>
    <t>All lookup secrets and out-of-band authentication codes must have a minimum of 20 bits of entropy. ArcadeHaven will use 6-character alphanumeric codes as the baseline, providing at least 31 bits of entropy.</t>
  </si>
  <si>
    <t>OTP verification endpoints must enforce rate limiting, rejecting further attempts after 5 consecutive failures. Codes must expire after a maximum of 5 minutes as defined in V6.5.5.</t>
  </si>
  <si>
    <t>ArcadeHaven does not support external identity providers in the current phase. If OAuth2/OIDC is introduced in future phases, this requirement must be revisited.</t>
  </si>
  <si>
    <t>All JWT tokens must be signed using RS256 or HS256. The signature must be validated on every request. Unsigned tokens, tokens with alg: none, and tokens with invalid signatures must be rejected with a 401 response.</t>
  </si>
  <si>
    <t>JWT access tokens must have a maximum validity of 15 minutes. A token denylist mechanism must be implemented to support immediate invalidation upon logout or security events.</t>
  </si>
  <si>
    <t>ArcadeHaven does not use a separate Identity Provider in the current phase. This requirement does not apply to the current project scope.</t>
  </si>
  <si>
    <t>Only strong cipher suites will be enabled. Weak ciphers (e.g. RC4, 3DES, NULL) will be explicitly disabled. For Level 2, cipher suites supporting forward secrecy (ECDHE-based) will be preferred and configured in the reverse proxy TLS settings.</t>
  </si>
  <si>
    <t>All client-to-API communication will be over HTTPS only. HTTP connections will not be redirected but rejected outright to prevent silent plaintext data leakage. Enforced via Spring Security and reverse proxy configuration.</t>
  </si>
  <si>
    <t>A publicly trusted TLS certificate (e.g. Let's Encrypt) will be used for the ArcadeHaven API in production. Self-signed certificates will only be used in local development environments and will never be used in staging or production.</t>
  </si>
  <si>
    <t>Covered by V12.3.1. Internal DB communication explicitly enforces TLS.</t>
  </si>
  <si>
    <t>All inter-service and external communications enforce TLS with no fallback to plaintext protocols.</t>
  </si>
  <si>
    <t>TLS certificates are validated for all outbound connections; validation is never disabled.</t>
  </si>
  <si>
    <t>Only explicitly trusted certificates are accepted; no global trust of self-signed certificates.</t>
  </si>
  <si>
    <t>All communication channels will be documented, including database connectivity, external API integration and server-side file generation</t>
  </si>
  <si>
    <t>No default credentials are used in the system. All environments rely on explicit configuration via environment variables</t>
  </si>
  <si>
    <t>ArcadeHeaven does not dynamically load external resources</t>
  </si>
  <si>
    <t>Directory listing is not enabled</t>
  </si>
  <si>
    <t>The web tier does not serve static files directly</t>
  </si>
  <si>
    <t>Due to the academic scope of this project, this requirement is considered out of scope and is therefore not implemented.</t>
  </si>
  <si>
    <t>Sensitive responses include Cache-Control: no-store to prevent caching by browsers, proxies, and intermediaries.</t>
  </si>
  <si>
    <t>ArcadeHaven does not implement a TURN server or any NAT traversal mechanism. No real-time peer-to-peer communication is used.</t>
  </si>
  <si>
    <t>No TURN server is used. Resource exhaustion via TURN port allocation is not applicable.</t>
  </si>
  <si>
    <t>ArcadeHaven does not use DTLS or any media server. No cryptographic key management for media transport is required.</t>
  </si>
  <si>
    <t>No media server or DTLS-SRTP is used. Not applicable to the current project scope.</t>
  </si>
  <si>
    <t>No SRTP or RTP media streams are used. Not applicable to the current project scope.</t>
  </si>
  <si>
    <t>No media server is implemented. Not applicable to the current project scope.</t>
  </si>
  <si>
    <t>No media server or SRTP traffic is used. Not applicable to the current project scope.</t>
  </si>
  <si>
    <t>No DTLS implementation is used. ClientHello race condition is not applicable.</t>
  </si>
  <si>
    <t xml:space="preserve">	No audio or video recording mechanisms are used. Not applicable to the current project scope.</t>
  </si>
  <si>
    <t>No DTLS certificates or SDP fingerprint validation is used. Not applicable to the current project scope.</t>
  </si>
  <si>
    <t>ArcadeHaven does not implement a signaling server or any WebRTC signaling mechanism. Not applicable to the current project scope.</t>
  </si>
  <si>
    <t>No signaling server is used. Malformed signaling message handling is not applicable to the current project scope.</t>
  </si>
  <si>
    <t>The frontend communicates with Keycloak directly. No backend-for-frontend token forwarding is used, the Spring Boot backend only validates tokens, never forwards them to other services.</t>
  </si>
  <si>
    <t>Token values are issued exclusively by Keycloak and validated by the Spring Boot resource server using Keycloak's public keys (via JWKS endpoint). No token mixing between different authorization servers occurs.</t>
  </si>
  <si>
    <t>The frontend uses the Authorization Code flow with PKCE (code_challenge / code_verifier). PKCE inherently protects against CSRF-based token request forgery. Additionally, the state parameter will be generated and validated on every authorization request.</t>
  </si>
  <si>
    <t>ArcadeHaven uses a single Keycloak instance as its only authorization server. Mix-up attacks between multiple authorization servers are not applicable in the current scope.</t>
  </si>
  <si>
    <t>The Spring Boot resource server validates the aud claim in every JWT, ensuring only tokens issued for arcadehaven-api are accepted. Tokens issued for other audiences (e.g. Keycloak admin console) will be rejected.</t>
  </si>
  <si>
    <t>Authorization decisions are enforced by Spring Security using @PreAuthorize annotations. The sub, scope, and role claims from the JWT are all evaluated in access control decisions at the method level</t>
  </si>
  <si>
    <t>Users are uniquely identified by the combination of iss (Keycloak issuer URL) and sub (user UUID) claims. This pair is non-reassignable and used as the canonical user identity across the resource server.</t>
  </si>
  <si>
    <t>Standard JWT validation (expiry, signature, audience) is enforced</t>
  </si>
  <si>
    <t>Token theft mitigation relies on short-lived access tokens (15 minutes) and HTTPS enforcement throughout. This may be revisited in a future phase.</t>
  </si>
  <si>
    <t>Keycloak is configured with an explicit allowlist of valid redirect URIs per client, using exact string matching. Wildcard URIs are not permitted.</t>
  </si>
  <si>
    <t>Keycloak enforces single-use authorization codes natively. If a code is reused, Keycloak rejects the request and revokes any previously issued tokens linked to that code.</t>
  </si>
  <si>
    <t>Authorization codes will be configured with a short lifetime (≤ 1 minute) in Keycloak.</t>
  </si>
  <si>
    <t>Only the Authorization Code grant type is enabled for ArcadeHaven clients in Keycloak. Implicit flow (token) and Resource Owner Password Credentials (password) are explicitly disabled.</t>
  </si>
  <si>
    <t>Keycloak will be configured with refresh token rotation, each use of a refresh token issues a new token and invalidates the previous one. If a revoked refresh token is presented, all tokens for that session are revoked immediately</t>
  </si>
  <si>
    <t>PKCE is enforced for all authorization code requests. Keycloak requires a valid code_challenge using S256 method. The plain method is explicitly disallowed. The code_verifier is validated on every token request.</t>
  </si>
  <si>
    <t>Dynamic client registration is not supported in ArcadeHaven. All clients are pre-registered in Keycloak by administrators. No unauthenticated registration endpoint is exposed.</t>
  </si>
  <si>
    <t>Refresh tokens will have an absolute expiration of 7 days, configured in Keycloak. Sliding expiration is disabled to prevent indefinite session extension.</t>
  </si>
  <si>
    <t>Users can revoke sessions and refresh tokens via the Keycloak account management console and via the ArcadeHaven logout endpoint (POST /api/auth/logout), which calls Keycloak's token revocation endpoint.</t>
  </si>
  <si>
    <t>The Spring Boot backend (acting as a confidential client when needed) authenticates to Keycloak using a client_secret. All backend-to-Keycloak calls (token introspection, revocation) use confidential client credentials.</t>
  </si>
  <si>
    <t>Keycloak client configurations will only include the required scopes (openid, profile, email). No unnecessary scopes are assigned to ArcadeHaven clients.</t>
  </si>
  <si>
    <t>Only response_mode=query (default for code flow) is permitted. No other response modes are configured or accepted for ArcadeHaven clients in Keycloak.</t>
  </si>
  <si>
    <t>Pushed Authorization Requests (PAR) are not implemented</t>
  </si>
  <si>
    <t>Sender-constrained access tokens (mTLS or DPoP) are out of scope for Phase 1. Standard bearer tokens are used, protected by HTTPS and short expiry.</t>
  </si>
  <si>
    <t xml:space="preserve">	ArcadeHaven does not use authorization_details (Rich Authorization Requests). Not applicable in the current scope.</t>
  </si>
  <si>
    <t>Strong client authentication via mTLS or private_key_jwt is not implemented.</t>
  </si>
  <si>
    <t xml:space="preserve">	Users are uniquely identified by the sub claim in the ID Token, which maps to the Keycloak user UUID. This value is non-reassignable within the Keycloak identity provider.</t>
  </si>
  <si>
    <t>This will generate a nonce value on every authentication request and validate it against the nonce claim in the returned ID Token, protecting against ID Token replay attacks.</t>
  </si>
  <si>
    <t>The Spring Boot backend validate the iss claim against a pre-configured Keycloak issuer URL. Any token with a different issuer is rejected, preventing authorization server impersonation.</t>
  </si>
  <si>
    <t>The aud claim in the ID Token is validated against the registered client_id of the ArcadeHaven frontend client, ensuring tokens issued for other clients are rejected.</t>
  </si>
  <si>
    <t xml:space="preserve">OIDC back-channel logout is not implemented. Session termination relies on refresh token revocation and short-lived access tokens. </t>
  </si>
  <si>
    <t>Keycloak (acting as the OpenID Provider) is configured to only permit code as the response type for ArcadeHaven clients. Implicit flow (token, id_token token) is explicitly disabled.</t>
  </si>
  <si>
    <t>Keycloak validates the id_token_hint parameter on logout requests and requires explicit user confirmation before terminating sessions. Forced logout DoS is mitigated by Keycloak's built-in logout flow validation.</t>
  </si>
  <si>
    <t>Keycloak is configured to prompt users for consent on every authorization request where the client identity cannot be fully assured. For well-known ArcadeHaven clients, consent may be pre-approved at registration, but this is explicitly configured per client.</t>
  </si>
  <si>
    <t>Keycloak's consent screen presents clear information about the requested scopes, the identity of the authorizing application (ArcadeHaven), and the session lifetime. Users see what they are authorizing before approving.</t>
  </si>
  <si>
    <t>Users can review and revoke active sessions and granted consents via the Keycloak account management console (/realms/arcadehaven/account). The ArcadeHaven logout endpoint also triggers full session revocation via Keycloak.</t>
  </si>
  <si>
    <t>Compliant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</si>
</sst>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
      <sz val="11"/>
      <color rgb="FF000000"/>
      <name val="Calibri"/>
      <family val="2"/>
    </font>
    <font>
      <b/>
      <sz val="10"/>
      <color rgb="FF1F3864"/>
      <name val="Cambria"/>
      <family val="2"/>
    </font>
  </fonts>
  <fills count="14">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5">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0" borderId="0" xfId="0" applyAlignment="1">
      <alignment vertical="center"/>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0" fillId="4" borderId="2" xfId="0" applyFill="1" applyBorder="1" applyAlignment="1">
      <alignment horizontal="left" vertical="top" wrapText="1"/>
    </xf>
    <xf numFmtId="0" fontId="10" fillId="10" borderId="1" xfId="0" applyFont="1" applyFill="1" applyBorder="1" applyAlignment="1">
      <alignment horizontal="center"/>
    </xf>
    <xf numFmtId="0" fontId="10" fillId="11" borderId="1" xfId="0" applyFont="1" applyFill="1" applyBorder="1" applyAlignment="1">
      <alignment horizontal="left" wrapText="1"/>
    </xf>
    <xf numFmtId="0" fontId="10" fillId="12" borderId="1" xfId="0" applyFont="1" applyFill="1" applyBorder="1" applyAlignment="1">
      <alignment horizontal="left" wrapText="1"/>
    </xf>
    <xf numFmtId="0" fontId="11" fillId="13" borderId="1" xfId="0" applyFont="1" applyFill="1" applyBorder="1" applyAlignment="1">
      <alignment horizontal="left"/>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c:v>
                </c:pt>
                <c:pt idx="2">
                  <c:v>0.375</c:v>
                </c:pt>
                <c:pt idx="3">
                  <c:v>0.5</c:v>
                </c:pt>
                <c:pt idx="4">
                  <c:v>0.25</c:v>
                </c:pt>
                <c:pt idx="5">
                  <c:v>0.30769230769230771</c:v>
                </c:pt>
                <c:pt idx="6">
                  <c:v>0</c:v>
                </c:pt>
                <c:pt idx="7">
                  <c:v>0.5</c:v>
                </c:pt>
                <c:pt idx="8">
                  <c:v>1</c:v>
                </c:pt>
                <c:pt idx="9">
                  <c:v>0</c:v>
                </c:pt>
                <c:pt idx="10">
                  <c:v>1</c:v>
                </c:pt>
                <c:pt idx="11">
                  <c:v>0</c:v>
                </c:pt>
                <c:pt idx="12">
                  <c:v>0</c:v>
                </c:pt>
                <c:pt idx="13">
                  <c:v>0.5</c:v>
                </c:pt>
                <c:pt idx="14">
                  <c:v>0.33333333333333331</c:v>
                </c:pt>
                <c:pt idx="15" formatCode="General">
                  <c:v>0</c:v>
                </c:pt>
                <c:pt idx="16" formatCode="General">
                  <c:v>0</c:v>
                </c:pt>
              </c:numCache>
            </c:numRef>
          </c:val>
          <c:extLst>
            <c:ext xmlns:c16="http://schemas.microsoft.com/office/drawing/2014/chart" uri="{C3380CC4-5D6E-409C-BE32-E72D297353CC}">
              <c16:uniqueId val="{00000000-FE45-4AC2-836F-A3821DBAE4C6}"/>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5.2631578947368418E-2</c:v>
                </c:pt>
                <c:pt idx="1">
                  <c:v>0</c:v>
                </c:pt>
                <c:pt idx="2">
                  <c:v>0</c:v>
                </c:pt>
                <c:pt idx="3">
                  <c:v>0.125</c:v>
                </c:pt>
                <c:pt idx="4">
                  <c:v>0</c:v>
                </c:pt>
                <c:pt idx="5">
                  <c:v>4.5454545454545456E-2</c:v>
                </c:pt>
                <c:pt idx="6">
                  <c:v>0</c:v>
                </c:pt>
                <c:pt idx="7">
                  <c:v>0.33333333333333331</c:v>
                </c:pt>
                <c:pt idx="8">
                  <c:v>0</c:v>
                </c:pt>
                <c:pt idx="9">
                  <c:v>0.25</c:v>
                </c:pt>
                <c:pt idx="10">
                  <c:v>0.63636363636363635</c:v>
                </c:pt>
                <c:pt idx="11">
                  <c:v>0</c:v>
                </c:pt>
                <c:pt idx="12">
                  <c:v>0</c:v>
                </c:pt>
                <c:pt idx="13">
                  <c:v>0.14285714285714285</c:v>
                </c:pt>
                <c:pt idx="14">
                  <c:v>0.4</c:v>
                </c:pt>
                <c:pt idx="15">
                  <c:v>0.3125</c:v>
                </c:pt>
                <c:pt idx="16">
                  <c:v>0</c:v>
                </c:pt>
              </c:numCache>
            </c:numRef>
          </c:val>
          <c:extLst>
            <c:ext xmlns:c16="http://schemas.microsoft.com/office/drawing/2014/chart" uri="{C3380CC4-5D6E-409C-BE32-E72D297353CC}">
              <c16:uniqueId val="{00000001-FE45-4AC2-836F-A3821DBAE4C6}"/>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0.2</c:v>
                </c:pt>
                <c:pt idx="11">
                  <c:v>0</c:v>
                </c:pt>
                <c:pt idx="12">
                  <c:v>0</c:v>
                </c:pt>
                <c:pt idx="13">
                  <c:v>0</c:v>
                </c:pt>
                <c:pt idx="14">
                  <c:v>0.125</c:v>
                </c:pt>
                <c:pt idx="15">
                  <c:v>1</c:v>
                </c:pt>
              </c:numCache>
            </c:numRef>
          </c:val>
          <c:extLst>
            <c:ext xmlns:c16="http://schemas.microsoft.com/office/drawing/2014/chart" uri="{C3380CC4-5D6E-409C-BE32-E72D297353CC}">
              <c16:uniqueId val="{00000002-FE45-4AC2-836F-A3821DBAE4C6}"/>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3.3333333333333333E-2</c:v>
                </c:pt>
                <c:pt idx="1">
                  <c:v>0</c:v>
                </c:pt>
                <c:pt idx="2">
                  <c:v>9.6774193548387094E-2</c:v>
                </c:pt>
                <c:pt idx="3">
                  <c:v>0.125</c:v>
                </c:pt>
                <c:pt idx="4">
                  <c:v>7.6923076923076927E-2</c:v>
                </c:pt>
                <c:pt idx="5">
                  <c:v>0.10638297872340426</c:v>
                </c:pt>
                <c:pt idx="6">
                  <c:v>0</c:v>
                </c:pt>
                <c:pt idx="7">
                  <c:v>0.23076923076923078</c:v>
                </c:pt>
                <c:pt idx="8">
                  <c:v>0.5714285714285714</c:v>
                </c:pt>
                <c:pt idx="9">
                  <c:v>0.16666666666666666</c:v>
                </c:pt>
                <c:pt idx="10">
                  <c:v>0.5</c:v>
                </c:pt>
                <c:pt idx="11">
                  <c:v>0</c:v>
                </c:pt>
                <c:pt idx="12">
                  <c:v>0</c:v>
                </c:pt>
                <c:pt idx="13">
                  <c:v>0.15384615384615385</c:v>
                </c:pt>
                <c:pt idx="14">
                  <c:v>0.2857142857142857</c:v>
                </c:pt>
                <c:pt idx="15">
                  <c:v>0.35294117647058826</c:v>
                </c:pt>
                <c:pt idx="16">
                  <c:v>0</c:v>
                </c:pt>
              </c:numCache>
            </c:numRef>
          </c:val>
          <c:extLst>
            <c:ext xmlns:c16="http://schemas.microsoft.com/office/drawing/2014/chart" uri="{C3380CC4-5D6E-409C-BE32-E72D297353CC}">
              <c16:uniqueId val="{00000003-FE45-4AC2-836F-A3821DBAE4C6}"/>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en-US"/>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tabSelected="1" topLeftCell="A2" zoomScale="80" zoomScaleNormal="80" workbookViewId="0">
      <selection activeCell="K11" sqref="K11"/>
    </sheetView>
  </sheetViews>
  <sheetFormatPr defaultColWidth="8.5703125" defaultRowHeight="15" x14ac:dyDescent="0.25"/>
  <cols>
    <col min="1" max="1" width="34" customWidth="1"/>
    <col min="2" max="13" width="11" customWidth="1"/>
  </cols>
  <sheetData>
    <row r="1" spans="1:16" ht="36" customHeight="1" x14ac:dyDescent="0.25">
      <c r="A1" s="32" t="s">
        <v>0</v>
      </c>
      <c r="B1" s="32"/>
      <c r="C1" s="32"/>
      <c r="D1" s="32"/>
      <c r="E1" s="32"/>
      <c r="F1" s="32"/>
      <c r="G1" s="32"/>
      <c r="H1" s="32"/>
      <c r="I1" s="32"/>
      <c r="J1" s="32"/>
      <c r="K1" s="32"/>
      <c r="L1" s="32"/>
      <c r="M1" s="32"/>
      <c r="N1" s="32"/>
      <c r="O1" s="32"/>
      <c r="P1" s="32"/>
    </row>
    <row r="2" spans="1:16" ht="19.899999999999999" customHeight="1" x14ac:dyDescent="0.25">
      <c r="A2" s="33"/>
      <c r="B2" s="33"/>
      <c r="C2" s="33"/>
      <c r="D2" s="33"/>
      <c r="E2" s="33"/>
      <c r="F2" s="33"/>
      <c r="G2" s="33"/>
      <c r="H2" s="33"/>
      <c r="I2" s="33"/>
      <c r="J2" s="33"/>
      <c r="K2" s="33"/>
      <c r="L2" s="33"/>
      <c r="M2" s="33"/>
      <c r="N2" s="33"/>
      <c r="O2" s="33"/>
      <c r="P2" s="33"/>
    </row>
    <row r="3" spans="1:16" ht="18" customHeight="1" x14ac:dyDescent="0.25">
      <c r="A3" s="34"/>
      <c r="B3" s="34"/>
      <c r="C3" s="1"/>
      <c r="E3" s="1"/>
      <c r="G3" s="1"/>
      <c r="I3" s="1"/>
      <c r="K3" s="1"/>
      <c r="M3" s="1"/>
      <c r="O3" s="1"/>
    </row>
    <row r="5" spans="1:16" ht="31.9" customHeight="1" x14ac:dyDescent="0.25">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5">
      <c r="A6" s="3" t="s">
        <v>14</v>
      </c>
      <c r="B6" s="4">
        <v>30</v>
      </c>
      <c r="C6" s="4">
        <v>8</v>
      </c>
      <c r="D6" s="4">
        <f>COUNTIFS('V1 - Encoding and Sanitization'!$F$2:$F$36,"Compliant",'V1 - Encoding and Sanitization'!$E$2:$E$36,1)</f>
        <v>0</v>
      </c>
      <c r="E6" s="5">
        <f t="shared" ref="E6:E20" si="0">IF(C6=0,"",D6/C6)</f>
        <v>0</v>
      </c>
      <c r="F6" s="4">
        <v>19</v>
      </c>
      <c r="G6" s="4">
        <f>COUNTIFS('V1 - Encoding and Sanitization'!$F$2:$F$36,"Compliant",'V1 - Encoding and Sanitization'!$E$2:$E$36,2)</f>
        <v>1</v>
      </c>
      <c r="H6" s="5">
        <f t="shared" ref="H6:H22" si="1">IF(F6=0,"",G6/F6)</f>
        <v>5.2631578947368418E-2</v>
      </c>
      <c r="I6" s="4">
        <v>3</v>
      </c>
      <c r="J6" s="4">
        <f>COUNTIFS('V1 - Encoding and Sanitization'!$F$2:$F$36,"Compliant",'V1 - Encoding and Sanitization'!$E$2:$E$36,3)</f>
        <v>0</v>
      </c>
      <c r="K6" s="5">
        <f t="shared" ref="K6:K13" si="2">IF(I6=0,"",J6/I6)</f>
        <v>0</v>
      </c>
      <c r="L6" s="4">
        <f>COUNTIF('V1 - Encoding and Sanitization'!$F$2:$F$36,"Compliant")</f>
        <v>1</v>
      </c>
      <c r="M6" s="5">
        <f t="shared" ref="M6:M22" si="3">IF(B6=0,"",L6/B6)</f>
        <v>3.3333333333333333E-2</v>
      </c>
    </row>
    <row r="7" spans="1:16" ht="18" customHeight="1" x14ac:dyDescent="0.25">
      <c r="A7" s="6" t="s">
        <v>15</v>
      </c>
      <c r="B7" s="7">
        <v>13</v>
      </c>
      <c r="C7" s="7">
        <v>4</v>
      </c>
      <c r="D7" s="7">
        <f>COUNTIFS('V2 - Validation and Business Lo'!$F$2:$F$18,"Compliant",'V2 - Validation and Business Lo'!$E$2:$E$18,1)</f>
        <v>0</v>
      </c>
      <c r="E7" s="8">
        <f t="shared" si="0"/>
        <v>0</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0</v>
      </c>
      <c r="M7" s="8">
        <f t="shared" si="3"/>
        <v>0</v>
      </c>
    </row>
    <row r="8" spans="1:16" ht="18" customHeight="1" x14ac:dyDescent="0.25">
      <c r="A8" s="3" t="s">
        <v>16</v>
      </c>
      <c r="B8" s="4">
        <v>31</v>
      </c>
      <c r="C8" s="4">
        <v>8</v>
      </c>
      <c r="D8" s="4">
        <f>COUNTIFS('V3 - Web Frontend Security'!$F$2:$F$39,"Compliant",'V3 - Web Frontend Security'!$E$2:$E$39,1)</f>
        <v>3</v>
      </c>
      <c r="E8" s="5">
        <f t="shared" si="0"/>
        <v>0.375</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3</v>
      </c>
      <c r="M8" s="5">
        <f t="shared" si="3"/>
        <v>9.6774193548387094E-2</v>
      </c>
    </row>
    <row r="9" spans="1:16" ht="18" customHeight="1" x14ac:dyDescent="0.25">
      <c r="A9" s="6" t="s">
        <v>17</v>
      </c>
      <c r="B9" s="7">
        <v>16</v>
      </c>
      <c r="C9" s="7">
        <v>2</v>
      </c>
      <c r="D9" s="7">
        <f>COUNTIFS('V4 - API and Web Service'!$F$2:$F$21,"Compliant",'V4 - API and Web Service'!$E$2:$E$21,1)</f>
        <v>1</v>
      </c>
      <c r="E9" s="8">
        <f t="shared" si="0"/>
        <v>0.5</v>
      </c>
      <c r="F9" s="7">
        <v>8</v>
      </c>
      <c r="G9" s="7">
        <f>COUNTIFS('V4 - API and Web Service'!$F$2:$F$21,"Compliant",'V4 - API and Web Service'!$E$2:$E$21,2)</f>
        <v>1</v>
      </c>
      <c r="H9" s="8">
        <f t="shared" si="1"/>
        <v>0.125</v>
      </c>
      <c r="I9" s="7">
        <v>6</v>
      </c>
      <c r="J9" s="7">
        <f>COUNTIFS('V4 - API and Web Service'!$F$2:$F$21,"Compliant",'V4 - API and Web Service'!$E$2:$E$21,3)</f>
        <v>0</v>
      </c>
      <c r="K9" s="8">
        <f t="shared" si="2"/>
        <v>0</v>
      </c>
      <c r="L9" s="7">
        <f>COUNTIF('V4 - API and Web Service'!$F$2:$F$21,"Compliant")</f>
        <v>2</v>
      </c>
      <c r="M9" s="8">
        <f t="shared" si="3"/>
        <v>0.125</v>
      </c>
    </row>
    <row r="10" spans="1:16" ht="18" customHeight="1" x14ac:dyDescent="0.25">
      <c r="A10" s="3" t="s">
        <v>18</v>
      </c>
      <c r="B10" s="4">
        <v>13</v>
      </c>
      <c r="C10" s="4">
        <v>4</v>
      </c>
      <c r="D10" s="4">
        <f>COUNTIFS('V5 - File Handling'!$F$2:$F$18,"Compliant",'V5 - File Handling'!$E$2:$E$18,1)</f>
        <v>1</v>
      </c>
      <c r="E10" s="5">
        <f t="shared" si="0"/>
        <v>0.25</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1</v>
      </c>
      <c r="M10" s="5">
        <f t="shared" si="3"/>
        <v>7.6923076923076927E-2</v>
      </c>
    </row>
    <row r="11" spans="1:16" ht="18" customHeight="1" x14ac:dyDescent="0.25">
      <c r="A11" s="6" t="s">
        <v>19</v>
      </c>
      <c r="B11" s="7">
        <v>47</v>
      </c>
      <c r="C11" s="7">
        <v>13</v>
      </c>
      <c r="D11" s="7">
        <f>COUNTIFS('V6 - Authentication'!$F$2:$F$56,"Compliant",'V6 - Authentication'!$E$2:$E$56,1)</f>
        <v>4</v>
      </c>
      <c r="E11" s="8">
        <f t="shared" si="0"/>
        <v>0.30769230769230771</v>
      </c>
      <c r="F11" s="7">
        <v>22</v>
      </c>
      <c r="G11" s="7">
        <f>COUNTIFS('V6 - Authentication'!$F$2:$F$56,"Compliant",'V6 - Authentication'!$E$2:$E$56,2)</f>
        <v>1</v>
      </c>
      <c r="H11" s="8">
        <f t="shared" si="1"/>
        <v>4.5454545454545456E-2</v>
      </c>
      <c r="I11" s="7">
        <v>12</v>
      </c>
      <c r="J11" s="7">
        <f>COUNTIFS('V6 - Authentication'!$F$2:$F$56,"Compliant",'V6 - Authentication'!$E$2:$E$56,3)</f>
        <v>0</v>
      </c>
      <c r="K11" s="8">
        <f t="shared" si="2"/>
        <v>0</v>
      </c>
      <c r="L11" s="7">
        <f>COUNTIF('V6 - Authentication'!$F$2:$F$56,"Compliant")</f>
        <v>5</v>
      </c>
      <c r="M11" s="8">
        <f t="shared" si="3"/>
        <v>0.10638297872340426</v>
      </c>
    </row>
    <row r="12" spans="1:16" ht="18" customHeight="1" x14ac:dyDescent="0.25">
      <c r="A12" s="3" t="s">
        <v>20</v>
      </c>
      <c r="B12" s="4">
        <v>19</v>
      </c>
      <c r="C12" s="4">
        <v>6</v>
      </c>
      <c r="D12" s="4">
        <f>COUNTIFS('V7 - Session Management'!$F$2:$F$26,"Compliant",'V7 - Session Management'!$E$2:$E$26,1)</f>
        <v>0</v>
      </c>
      <c r="E12" s="5">
        <f t="shared" si="0"/>
        <v>0</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0</v>
      </c>
      <c r="M12" s="5">
        <f t="shared" si="3"/>
        <v>0</v>
      </c>
    </row>
    <row r="13" spans="1:16" ht="18" customHeight="1" x14ac:dyDescent="0.25">
      <c r="A13" s="6" t="s">
        <v>21</v>
      </c>
      <c r="B13" s="7">
        <v>13</v>
      </c>
      <c r="C13" s="7">
        <v>4</v>
      </c>
      <c r="D13" s="7">
        <f>COUNTIFS('V8 - Authorization'!$F$2:$F$18,"Compliant",'V8 - Authorization'!$E$2:$E$18,1)</f>
        <v>2</v>
      </c>
      <c r="E13" s="8">
        <f t="shared" si="0"/>
        <v>0.5</v>
      </c>
      <c r="F13" s="7">
        <v>3</v>
      </c>
      <c r="G13" s="7">
        <f>COUNTIFS('V8 - Authorization'!$F$2:$F$18,"Compliant",'V8 - Authorization'!$E$2:$E$18,2)</f>
        <v>1</v>
      </c>
      <c r="H13" s="8">
        <f t="shared" si="1"/>
        <v>0.33333333333333331</v>
      </c>
      <c r="I13" s="7">
        <v>6</v>
      </c>
      <c r="J13" s="7">
        <f>COUNTIFS('V8 - Authorization'!$F$2:$F$18,"Compliant",'V8 - Authorization'!$E$2:$E$18,3)</f>
        <v>0</v>
      </c>
      <c r="K13" s="8">
        <f t="shared" si="2"/>
        <v>0</v>
      </c>
      <c r="L13" s="7">
        <f>COUNTIF('V8 - Authorization'!$F$2:$F$18,"Compliant")</f>
        <v>3</v>
      </c>
      <c r="M13" s="8">
        <f t="shared" si="3"/>
        <v>0.23076923076923078</v>
      </c>
    </row>
    <row r="14" spans="1:16" ht="18" customHeight="1" x14ac:dyDescent="0.25">
      <c r="A14" s="3" t="s">
        <v>22</v>
      </c>
      <c r="B14" s="4">
        <v>7</v>
      </c>
      <c r="C14" s="4">
        <v>4</v>
      </c>
      <c r="D14" s="4">
        <f>COUNTIFS('V9 - Self-contained Tokens'!$F$2:$F$10,"Compliant",'V9 - Self-contained Tokens'!$E$2:$E$10,1)</f>
        <v>4</v>
      </c>
      <c r="E14" s="5">
        <f t="shared" si="0"/>
        <v>1</v>
      </c>
      <c r="F14" s="4">
        <v>3</v>
      </c>
      <c r="G14" s="4">
        <f>COUNTIFS('V9 - Self-contained Tokens'!$F$2:$F$10,"Compliant",'V9 - Self-contained Tokens'!$E$2:$E$10,2)</f>
        <v>0</v>
      </c>
      <c r="H14" s="5">
        <f t="shared" si="1"/>
        <v>0</v>
      </c>
      <c r="I14" s="4">
        <v>0</v>
      </c>
      <c r="J14" s="4" t="s">
        <v>23</v>
      </c>
      <c r="K14" s="4" t="s">
        <v>23</v>
      </c>
      <c r="L14" s="4">
        <f>COUNTIF('V9 - Self-contained Tokens'!$F$2:$F$10,"Compliant")</f>
        <v>4</v>
      </c>
      <c r="M14" s="5">
        <f t="shared" si="3"/>
        <v>0.5714285714285714</v>
      </c>
    </row>
    <row r="15" spans="1:16" ht="18" customHeight="1" x14ac:dyDescent="0.25">
      <c r="A15" s="6" t="s">
        <v>24</v>
      </c>
      <c r="B15" s="7">
        <v>36</v>
      </c>
      <c r="C15" s="7">
        <v>5</v>
      </c>
      <c r="D15" s="7">
        <f>COUNTIFS('V10 - OAuth and OIDC'!$F$2:$F$44,"Compliant",'V10 - OAuth and OIDC'!$E$2:$E$44,1)</f>
        <v>0</v>
      </c>
      <c r="E15" s="8">
        <f t="shared" si="0"/>
        <v>0</v>
      </c>
      <c r="F15" s="7">
        <v>24</v>
      </c>
      <c r="G15" s="7">
        <f>COUNTIFS('V10 - OAuth and OIDC'!$F$2:$F$44,"Compliant",'V10 - OAuth and OIDC'!$E$2:$E$44,2)</f>
        <v>6</v>
      </c>
      <c r="H15" s="8">
        <f t="shared" si="1"/>
        <v>0.25</v>
      </c>
      <c r="I15" s="7">
        <v>7</v>
      </c>
      <c r="J15" s="7">
        <f>COUNTIFS('V10 - OAuth and OIDC'!$F$2:$F$44,"Compliant",'V10 - OAuth and OIDC'!$E$2:$E$44,3)</f>
        <v>0</v>
      </c>
      <c r="K15" s="8">
        <f t="shared" ref="K15:K22" si="4">IF(I15=0,"",J15/I15)</f>
        <v>0</v>
      </c>
      <c r="L15" s="7">
        <f>COUNTIF('V10 - OAuth and OIDC'!$F$2:$F$44,"Compliant")</f>
        <v>6</v>
      </c>
      <c r="M15" s="8">
        <f t="shared" si="3"/>
        <v>0.16666666666666666</v>
      </c>
    </row>
    <row r="16" spans="1:16" ht="18" customHeight="1" x14ac:dyDescent="0.25">
      <c r="A16" s="3" t="s">
        <v>25</v>
      </c>
      <c r="B16" s="4">
        <v>24</v>
      </c>
      <c r="C16" s="4">
        <v>3</v>
      </c>
      <c r="D16" s="4">
        <f>COUNTIFS('V11 - Cryptography'!$F$2:$F$32,"Compliant",'V11 - Cryptography'!$E$2:$E$32,1)</f>
        <v>3</v>
      </c>
      <c r="E16" s="5">
        <f t="shared" si="0"/>
        <v>1</v>
      </c>
      <c r="F16" s="4">
        <v>11</v>
      </c>
      <c r="G16" s="4">
        <f>COUNTIFS('V11 - Cryptography'!$F$2:$F$32,"Compliant",'V11 - Cryptography'!$E$2:$E$32,2)</f>
        <v>7</v>
      </c>
      <c r="H16" s="5">
        <f t="shared" si="1"/>
        <v>0.63636363636363635</v>
      </c>
      <c r="I16" s="4">
        <v>10</v>
      </c>
      <c r="J16" s="4">
        <f>COUNTIFS('V11 - Cryptography'!$F$2:$F$32,"Compliant",'V11 - Cryptography'!$E$2:$E$32,3)</f>
        <v>2</v>
      </c>
      <c r="K16" s="5">
        <f t="shared" si="4"/>
        <v>0.2</v>
      </c>
      <c r="L16" s="4">
        <f>COUNTIF('V11 - Cryptography'!$F$2:$F$32,"Compliant")</f>
        <v>12</v>
      </c>
      <c r="M16" s="5">
        <f t="shared" si="3"/>
        <v>0.5</v>
      </c>
    </row>
    <row r="17" spans="1:13" ht="18" customHeight="1" x14ac:dyDescent="0.25">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25">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25">
      <c r="A19" s="6" t="s">
        <v>28</v>
      </c>
      <c r="B19" s="7">
        <v>13</v>
      </c>
      <c r="C19" s="7">
        <v>2</v>
      </c>
      <c r="D19" s="7">
        <f>COUNTIFS('V14 - Data Protection'!$F$2:$F$17,"Compliant",'V14 - Data Protection'!$E$2:$E$17,1)</f>
        <v>1</v>
      </c>
      <c r="E19" s="8">
        <f t="shared" si="0"/>
        <v>0.5</v>
      </c>
      <c r="F19" s="7">
        <v>7</v>
      </c>
      <c r="G19" s="7">
        <f>COUNTIFS('V14 - Data Protection'!$F$2:$F$17,"Compliant",'V14 - Data Protection'!$E$2:$E$17,2)</f>
        <v>1</v>
      </c>
      <c r="H19" s="8">
        <f t="shared" si="1"/>
        <v>0.14285714285714285</v>
      </c>
      <c r="I19" s="7">
        <v>4</v>
      </c>
      <c r="J19" s="7">
        <f>COUNTIFS('V14 - Data Protection'!$F$2:$F$17,"Compliant",'V14 - Data Protection'!$E$2:$E$17,3)</f>
        <v>0</v>
      </c>
      <c r="K19" s="8">
        <f t="shared" si="4"/>
        <v>0</v>
      </c>
      <c r="L19" s="7">
        <f>COUNTIF('V14 - Data Protection'!$F$2:$F$17,"Compliant")</f>
        <v>2</v>
      </c>
      <c r="M19" s="8">
        <f t="shared" si="3"/>
        <v>0.15384615384615385</v>
      </c>
    </row>
    <row r="20" spans="1:13" ht="18" customHeight="1" x14ac:dyDescent="0.25">
      <c r="A20" s="3" t="s">
        <v>29</v>
      </c>
      <c r="B20" s="4">
        <v>21</v>
      </c>
      <c r="C20" s="4">
        <v>3</v>
      </c>
      <c r="D20" s="4">
        <f>COUNTIFS('V15 - Secure Coding and Archite'!$F$2:$F$26,"Compliant",'V15 - Secure Coding and Archite'!$E$2:$E$26,1)</f>
        <v>1</v>
      </c>
      <c r="E20" s="5">
        <f t="shared" si="0"/>
        <v>0.33333333333333331</v>
      </c>
      <c r="F20" s="4">
        <v>10</v>
      </c>
      <c r="G20" s="4">
        <f>COUNTIFS('V15 - Secure Coding and Archite'!$F$2:$F$26,"Compliant",'V15 - Secure Coding and Archite'!$E$2:$E$26,2)</f>
        <v>4</v>
      </c>
      <c r="H20" s="5">
        <f t="shared" si="1"/>
        <v>0.4</v>
      </c>
      <c r="I20" s="4">
        <v>8</v>
      </c>
      <c r="J20" s="4">
        <f>COUNTIFS('V15 - Secure Coding and Archite'!$F$2:$F$26,"Compliant",'V15 - Secure Coding and Archite'!$E$2:$E$26,3)</f>
        <v>1</v>
      </c>
      <c r="K20" s="5">
        <f t="shared" si="4"/>
        <v>0.125</v>
      </c>
      <c r="L20" s="4">
        <f>COUNTIF('V15 - Secure Coding and Archite'!$F$2:$F$26,"Compliant")</f>
        <v>6</v>
      </c>
      <c r="M20" s="5">
        <f t="shared" si="3"/>
        <v>0.2857142857142857</v>
      </c>
    </row>
    <row r="21" spans="1:13" ht="18" customHeight="1" x14ac:dyDescent="0.25">
      <c r="A21" s="6" t="s">
        <v>30</v>
      </c>
      <c r="B21" s="7">
        <v>17</v>
      </c>
      <c r="C21" s="7">
        <v>0</v>
      </c>
      <c r="D21" s="7" t="s">
        <v>23</v>
      </c>
      <c r="E21" s="7" t="s">
        <v>23</v>
      </c>
      <c r="F21" s="7">
        <v>16</v>
      </c>
      <c r="G21" s="7">
        <f>COUNTIFS('V16 - Security Logging and Erro'!$F$2:$F$23,"Compliant",'V16 - Security Logging and Erro'!$E$2:$E$23,2)</f>
        <v>5</v>
      </c>
      <c r="H21" s="8">
        <f t="shared" si="1"/>
        <v>0.3125</v>
      </c>
      <c r="I21" s="7">
        <v>1</v>
      </c>
      <c r="J21" s="7">
        <f>COUNTIFS('V16 - Security Logging and Erro'!$F$2:$F$23,"Compliant",'V16 - Security Logging and Erro'!$E$2:$E$23,3)</f>
        <v>1</v>
      </c>
      <c r="K21" s="8">
        <f t="shared" si="4"/>
        <v>1</v>
      </c>
      <c r="L21" s="7">
        <f>COUNTIF('V16 - Security Logging and Erro'!$F$2:$F$23,"Compliant")</f>
        <v>6</v>
      </c>
      <c r="M21" s="8">
        <f t="shared" si="3"/>
        <v>0.35294117647058826</v>
      </c>
    </row>
    <row r="22" spans="1:13" ht="18" customHeight="1" x14ac:dyDescent="0.25">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15" customHeight="1" x14ac:dyDescent="0.25">
      <c r="A23" s="9" t="s">
        <v>32</v>
      </c>
      <c r="B23" s="10">
        <f>SUM(B6:B22)</f>
        <v>345</v>
      </c>
      <c r="C23" s="10">
        <f>SUM(C6:C22)</f>
        <v>70</v>
      </c>
      <c r="D23" s="10">
        <f>SUM(D6:D22)</f>
        <v>20</v>
      </c>
      <c r="E23" s="11">
        <f>IFERROR(AVERAGE(E6:E22),"")</f>
        <v>0.31773504273504272</v>
      </c>
      <c r="F23" s="10">
        <f>SUM(F6:F22)</f>
        <v>183</v>
      </c>
      <c r="G23" s="10">
        <f>SUM(G6:G22)</f>
        <v>27</v>
      </c>
      <c r="H23" s="11">
        <f>IFERROR(AVERAGE(H6:H22),"")</f>
        <v>0.13518471982094274</v>
      </c>
      <c r="I23" s="10">
        <f>SUM(I6:I22)</f>
        <v>92</v>
      </c>
      <c r="J23" s="10">
        <f>SUM(J6:J22)</f>
        <v>4</v>
      </c>
      <c r="K23" s="11">
        <f>IFERROR(AVERAGE(K6:K22),"")</f>
        <v>8.2812499999999997E-2</v>
      </c>
      <c r="L23" s="10">
        <f>SUM(L6:L22)</f>
        <v>51</v>
      </c>
      <c r="M23" s="11">
        <f>IFERROR(AVERAGE(M6:M22),"")</f>
        <v>0.15881056867198226</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81" zoomScaleNormal="75" workbookViewId="0">
      <pane ySplit="1" topLeftCell="A2" activePane="bottomLeft" state="frozen"/>
      <selection pane="bottomLeft" activeCell="F3" sqref="F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94.2851562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41</v>
      </c>
      <c r="B2" s="13" t="s">
        <v>42</v>
      </c>
      <c r="C2" s="13"/>
      <c r="D2" s="13"/>
      <c r="E2" s="13"/>
      <c r="F2" s="13"/>
      <c r="G2" s="13"/>
      <c r="H2" s="13"/>
    </row>
    <row r="3" spans="1:8" ht="75" x14ac:dyDescent="0.25">
      <c r="A3" s="14" t="s">
        <v>41</v>
      </c>
      <c r="B3" s="14" t="s">
        <v>42</v>
      </c>
      <c r="C3" s="15" t="s">
        <v>43</v>
      </c>
      <c r="D3" s="16" t="s">
        <v>44</v>
      </c>
      <c r="E3" s="17">
        <v>2</v>
      </c>
      <c r="F3" s="28" t="s">
        <v>1133</v>
      </c>
      <c r="G3" s="29" t="s">
        <v>1000</v>
      </c>
      <c r="H3" s="16"/>
    </row>
    <row r="4" spans="1:8" ht="30" customHeight="1" x14ac:dyDescent="0.25">
      <c r="A4" s="19" t="s">
        <v>41</v>
      </c>
      <c r="B4" s="19" t="s">
        <v>42</v>
      </c>
      <c r="C4" s="20" t="s">
        <v>46</v>
      </c>
      <c r="D4" s="21" t="s">
        <v>47</v>
      </c>
      <c r="E4" s="17">
        <v>2</v>
      </c>
      <c r="F4" s="28" t="s">
        <v>892</v>
      </c>
      <c r="G4" s="30" t="s">
        <v>986</v>
      </c>
      <c r="H4" s="21"/>
    </row>
    <row r="5" spans="1:8" ht="18" customHeight="1" x14ac:dyDescent="0.25">
      <c r="A5" s="13" t="s">
        <v>48</v>
      </c>
      <c r="B5" s="13" t="s">
        <v>49</v>
      </c>
      <c r="C5" s="13"/>
      <c r="D5" s="13"/>
      <c r="E5" s="13"/>
      <c r="F5" s="31"/>
      <c r="G5" s="31"/>
      <c r="H5" s="13"/>
    </row>
    <row r="6" spans="1:8" ht="30" customHeight="1" x14ac:dyDescent="0.25">
      <c r="A6" s="14" t="s">
        <v>48</v>
      </c>
      <c r="B6" s="14" t="s">
        <v>49</v>
      </c>
      <c r="C6" s="15" t="s">
        <v>50</v>
      </c>
      <c r="D6" s="16" t="s">
        <v>51</v>
      </c>
      <c r="E6" s="22">
        <v>1</v>
      </c>
      <c r="F6" s="28" t="s">
        <v>893</v>
      </c>
      <c r="G6" s="29" t="s">
        <v>987</v>
      </c>
      <c r="H6" s="16"/>
    </row>
    <row r="7" spans="1:8" ht="30" customHeight="1" x14ac:dyDescent="0.25">
      <c r="A7" s="19" t="s">
        <v>48</v>
      </c>
      <c r="B7" s="19" t="s">
        <v>49</v>
      </c>
      <c r="C7" s="20" t="s">
        <v>52</v>
      </c>
      <c r="D7" s="21" t="s">
        <v>53</v>
      </c>
      <c r="E7" s="22">
        <v>1</v>
      </c>
      <c r="F7" s="28" t="s">
        <v>45</v>
      </c>
      <c r="G7" s="30"/>
      <c r="H7" s="21"/>
    </row>
    <row r="8" spans="1:8" ht="30" customHeight="1" x14ac:dyDescent="0.25">
      <c r="A8" s="14" t="s">
        <v>48</v>
      </c>
      <c r="B8" s="14" t="s">
        <v>49</v>
      </c>
      <c r="C8" s="15" t="s">
        <v>54</v>
      </c>
      <c r="D8" s="16" t="s">
        <v>55</v>
      </c>
      <c r="E8" s="22">
        <v>1</v>
      </c>
      <c r="F8" s="28" t="s">
        <v>45</v>
      </c>
      <c r="G8" s="29"/>
      <c r="H8" s="16"/>
    </row>
    <row r="9" spans="1:8" ht="30" customHeight="1" x14ac:dyDescent="0.25">
      <c r="A9" s="19" t="s">
        <v>48</v>
      </c>
      <c r="B9" s="19" t="s">
        <v>49</v>
      </c>
      <c r="C9" s="20" t="s">
        <v>56</v>
      </c>
      <c r="D9" s="21" t="s">
        <v>57</v>
      </c>
      <c r="E9" s="22">
        <v>1</v>
      </c>
      <c r="F9" s="28" t="s">
        <v>45</v>
      </c>
      <c r="G9" s="30"/>
      <c r="H9" s="21"/>
    </row>
    <row r="10" spans="1:8" ht="30" customHeight="1" x14ac:dyDescent="0.25">
      <c r="A10" s="14" t="s">
        <v>48</v>
      </c>
      <c r="B10" s="14" t="s">
        <v>49</v>
      </c>
      <c r="C10" s="15" t="s">
        <v>58</v>
      </c>
      <c r="D10" s="16" t="s">
        <v>59</v>
      </c>
      <c r="E10" s="22">
        <v>1</v>
      </c>
      <c r="F10" s="28" t="s">
        <v>893</v>
      </c>
      <c r="G10" s="29" t="s">
        <v>988</v>
      </c>
      <c r="H10" s="16"/>
    </row>
    <row r="11" spans="1:8" ht="30" customHeight="1" x14ac:dyDescent="0.25">
      <c r="A11" s="19" t="s">
        <v>48</v>
      </c>
      <c r="B11" s="19" t="s">
        <v>49</v>
      </c>
      <c r="C11" s="20" t="s">
        <v>60</v>
      </c>
      <c r="D11" s="21" t="s">
        <v>61</v>
      </c>
      <c r="E11" s="17">
        <v>2</v>
      </c>
      <c r="F11" s="28" t="s">
        <v>893</v>
      </c>
      <c r="G11" s="30" t="s">
        <v>989</v>
      </c>
      <c r="H11" s="21"/>
    </row>
    <row r="12" spans="1:8" ht="30" customHeight="1" x14ac:dyDescent="0.25">
      <c r="A12" s="14" t="s">
        <v>48</v>
      </c>
      <c r="B12" s="14" t="s">
        <v>49</v>
      </c>
      <c r="C12" s="15" t="s">
        <v>62</v>
      </c>
      <c r="D12" s="16" t="s">
        <v>63</v>
      </c>
      <c r="E12" s="17">
        <v>2</v>
      </c>
      <c r="F12" s="28" t="s">
        <v>893</v>
      </c>
      <c r="G12" s="29" t="s">
        <v>990</v>
      </c>
      <c r="H12" s="16"/>
    </row>
    <row r="13" spans="1:8" ht="30" customHeight="1" x14ac:dyDescent="0.25">
      <c r="A13" s="19" t="s">
        <v>48</v>
      </c>
      <c r="B13" s="19" t="s">
        <v>49</v>
      </c>
      <c r="C13" s="20" t="s">
        <v>64</v>
      </c>
      <c r="D13" s="21" t="s">
        <v>65</v>
      </c>
      <c r="E13" s="17">
        <v>2</v>
      </c>
      <c r="F13" s="28" t="s">
        <v>893</v>
      </c>
      <c r="G13" s="30" t="s">
        <v>991</v>
      </c>
      <c r="H13" s="21"/>
    </row>
    <row r="14" spans="1:8" ht="30" customHeight="1" x14ac:dyDescent="0.25">
      <c r="A14" s="14" t="s">
        <v>48</v>
      </c>
      <c r="B14" s="14" t="s">
        <v>49</v>
      </c>
      <c r="C14" s="15" t="s">
        <v>66</v>
      </c>
      <c r="D14" s="16" t="s">
        <v>67</v>
      </c>
      <c r="E14" s="17">
        <v>2</v>
      </c>
      <c r="F14" s="28" t="s">
        <v>45</v>
      </c>
      <c r="G14" s="29"/>
      <c r="H14" s="16"/>
    </row>
    <row r="15" spans="1:8" ht="30" customHeight="1" x14ac:dyDescent="0.25">
      <c r="A15" s="19" t="s">
        <v>48</v>
      </c>
      <c r="B15" s="19" t="s">
        <v>49</v>
      </c>
      <c r="C15" s="20" t="s">
        <v>68</v>
      </c>
      <c r="D15" s="21" t="s">
        <v>69</v>
      </c>
      <c r="E15" s="23">
        <v>3</v>
      </c>
      <c r="F15" s="28" t="s">
        <v>893</v>
      </c>
      <c r="G15" s="30" t="s">
        <v>992</v>
      </c>
      <c r="H15" s="21"/>
    </row>
    <row r="16" spans="1:8" ht="18" customHeight="1" x14ac:dyDescent="0.25">
      <c r="A16" s="13" t="s">
        <v>70</v>
      </c>
      <c r="B16" s="13" t="s">
        <v>71</v>
      </c>
      <c r="C16" s="13"/>
      <c r="D16" s="13"/>
      <c r="E16" s="13"/>
      <c r="F16" s="31"/>
      <c r="G16" s="31"/>
      <c r="H16" s="13"/>
    </row>
    <row r="17" spans="1:8" ht="30" customHeight="1" x14ac:dyDescent="0.25">
      <c r="A17" s="14" t="s">
        <v>70</v>
      </c>
      <c r="B17" s="14" t="s">
        <v>71</v>
      </c>
      <c r="C17" s="15" t="s">
        <v>72</v>
      </c>
      <c r="D17" s="16" t="s">
        <v>73</v>
      </c>
      <c r="E17" s="22">
        <v>1</v>
      </c>
      <c r="F17" s="28" t="s">
        <v>893</v>
      </c>
      <c r="G17" s="29" t="s">
        <v>993</v>
      </c>
      <c r="H17" s="16"/>
    </row>
    <row r="18" spans="1:8" ht="30" customHeight="1" x14ac:dyDescent="0.25">
      <c r="A18" s="19" t="s">
        <v>70</v>
      </c>
      <c r="B18" s="19" t="s">
        <v>71</v>
      </c>
      <c r="C18" s="20" t="s">
        <v>74</v>
      </c>
      <c r="D18" s="21" t="s">
        <v>75</v>
      </c>
      <c r="E18" s="22">
        <v>1</v>
      </c>
      <c r="F18" s="28" t="s">
        <v>45</v>
      </c>
      <c r="G18" s="30"/>
      <c r="H18" s="21"/>
    </row>
    <row r="19" spans="1:8" ht="30" customHeight="1" x14ac:dyDescent="0.25">
      <c r="A19" s="14" t="s">
        <v>70</v>
      </c>
      <c r="B19" s="14" t="s">
        <v>71</v>
      </c>
      <c r="C19" s="15" t="s">
        <v>76</v>
      </c>
      <c r="D19" s="16" t="s">
        <v>77</v>
      </c>
      <c r="E19" s="17">
        <v>2</v>
      </c>
      <c r="F19" s="28" t="s">
        <v>45</v>
      </c>
      <c r="G19" s="29"/>
      <c r="H19" s="16"/>
    </row>
    <row r="20" spans="1:8" ht="30" customHeight="1" x14ac:dyDescent="0.25">
      <c r="A20" s="19" t="s">
        <v>70</v>
      </c>
      <c r="B20" s="19" t="s">
        <v>71</v>
      </c>
      <c r="C20" s="20" t="s">
        <v>78</v>
      </c>
      <c r="D20" s="21" t="s">
        <v>79</v>
      </c>
      <c r="E20" s="17">
        <v>2</v>
      </c>
      <c r="F20" s="28" t="s">
        <v>893</v>
      </c>
      <c r="G20" s="30" t="s">
        <v>994</v>
      </c>
      <c r="H20" s="21"/>
    </row>
    <row r="21" spans="1:8" ht="30" customHeight="1" x14ac:dyDescent="0.25">
      <c r="A21" s="14" t="s">
        <v>70</v>
      </c>
      <c r="B21" s="14" t="s">
        <v>71</v>
      </c>
      <c r="C21" s="15" t="s">
        <v>80</v>
      </c>
      <c r="D21" s="16" t="s">
        <v>81</v>
      </c>
      <c r="E21" s="17">
        <v>2</v>
      </c>
      <c r="F21" s="28" t="s">
        <v>893</v>
      </c>
      <c r="G21" s="29" t="s">
        <v>995</v>
      </c>
      <c r="H21" s="16"/>
    </row>
    <row r="22" spans="1:8" ht="30" customHeight="1" x14ac:dyDescent="0.25">
      <c r="A22" s="19" t="s">
        <v>70</v>
      </c>
      <c r="B22" s="19" t="s">
        <v>71</v>
      </c>
      <c r="C22" s="20" t="s">
        <v>82</v>
      </c>
      <c r="D22" s="21" t="s">
        <v>83</v>
      </c>
      <c r="E22" s="17">
        <v>2</v>
      </c>
      <c r="F22" s="28" t="s">
        <v>45</v>
      </c>
      <c r="G22" s="30"/>
      <c r="H22" s="21"/>
    </row>
    <row r="23" spans="1:8" ht="30" customHeight="1" x14ac:dyDescent="0.25">
      <c r="A23" s="14" t="s">
        <v>70</v>
      </c>
      <c r="B23" s="14" t="s">
        <v>71</v>
      </c>
      <c r="C23" s="15" t="s">
        <v>84</v>
      </c>
      <c r="D23" s="16" t="s">
        <v>85</v>
      </c>
      <c r="E23" s="17">
        <v>2</v>
      </c>
      <c r="F23" s="28" t="s">
        <v>45</v>
      </c>
      <c r="G23" s="29"/>
      <c r="H23" s="16"/>
    </row>
    <row r="24" spans="1:8" ht="30" customHeight="1" x14ac:dyDescent="0.25">
      <c r="A24" s="19" t="s">
        <v>70</v>
      </c>
      <c r="B24" s="19" t="s">
        <v>71</v>
      </c>
      <c r="C24" s="20" t="s">
        <v>86</v>
      </c>
      <c r="D24" s="21" t="s">
        <v>87</v>
      </c>
      <c r="E24" s="17">
        <v>2</v>
      </c>
      <c r="F24" s="28" t="s">
        <v>893</v>
      </c>
      <c r="G24" s="30" t="s">
        <v>996</v>
      </c>
      <c r="H24" s="21"/>
    </row>
    <row r="25" spans="1:8" ht="30" customHeight="1" x14ac:dyDescent="0.25">
      <c r="A25" s="14" t="s">
        <v>70</v>
      </c>
      <c r="B25" s="14" t="s">
        <v>71</v>
      </c>
      <c r="C25" s="15" t="s">
        <v>88</v>
      </c>
      <c r="D25" s="16" t="s">
        <v>89</v>
      </c>
      <c r="E25" s="17">
        <v>2</v>
      </c>
      <c r="F25" s="28" t="s">
        <v>893</v>
      </c>
      <c r="G25" s="29" t="s">
        <v>997</v>
      </c>
      <c r="H25" s="16"/>
    </row>
    <row r="26" spans="1:8" ht="30" customHeight="1" x14ac:dyDescent="0.25">
      <c r="A26" s="19" t="s">
        <v>70</v>
      </c>
      <c r="B26" s="19" t="s">
        <v>71</v>
      </c>
      <c r="C26" s="20" t="s">
        <v>90</v>
      </c>
      <c r="D26" s="21" t="s">
        <v>91</v>
      </c>
      <c r="E26" s="17">
        <v>2</v>
      </c>
      <c r="F26" s="28" t="s">
        <v>45</v>
      </c>
      <c r="G26" s="30"/>
      <c r="H26" s="21"/>
    </row>
    <row r="27" spans="1:8" ht="30" customHeight="1" x14ac:dyDescent="0.25">
      <c r="A27" s="14" t="s">
        <v>70</v>
      </c>
      <c r="B27" s="14" t="s">
        <v>71</v>
      </c>
      <c r="C27" s="15" t="s">
        <v>92</v>
      </c>
      <c r="D27" s="16" t="s">
        <v>93</v>
      </c>
      <c r="E27" s="17">
        <v>2</v>
      </c>
      <c r="F27" s="28" t="s">
        <v>893</v>
      </c>
      <c r="G27" s="29" t="s">
        <v>998</v>
      </c>
      <c r="H27" s="16"/>
    </row>
    <row r="28" spans="1:8" ht="30" customHeight="1" x14ac:dyDescent="0.25">
      <c r="A28" s="19" t="s">
        <v>70</v>
      </c>
      <c r="B28" s="19" t="s">
        <v>71</v>
      </c>
      <c r="C28" s="20" t="s">
        <v>94</v>
      </c>
      <c r="D28" s="21" t="s">
        <v>95</v>
      </c>
      <c r="E28" s="23">
        <v>3</v>
      </c>
      <c r="F28" s="28" t="s">
        <v>893</v>
      </c>
      <c r="G28" s="30"/>
      <c r="H28" s="21"/>
    </row>
    <row r="29" spans="1:8" ht="18" customHeight="1" x14ac:dyDescent="0.25">
      <c r="A29" s="13" t="s">
        <v>96</v>
      </c>
      <c r="B29" s="13" t="s">
        <v>97</v>
      </c>
      <c r="C29" s="13"/>
      <c r="D29" s="13"/>
      <c r="E29" s="13"/>
      <c r="F29" s="31"/>
      <c r="G29" s="31"/>
      <c r="H29" s="13"/>
    </row>
    <row r="30" spans="1:8" ht="30" customHeight="1" x14ac:dyDescent="0.25">
      <c r="A30" s="14" t="s">
        <v>96</v>
      </c>
      <c r="B30" s="14" t="s">
        <v>97</v>
      </c>
      <c r="C30" s="15" t="s">
        <v>98</v>
      </c>
      <c r="D30" s="16" t="s">
        <v>99</v>
      </c>
      <c r="E30" s="17">
        <v>2</v>
      </c>
      <c r="F30" s="28" t="s">
        <v>893</v>
      </c>
      <c r="G30" s="29" t="s">
        <v>999</v>
      </c>
      <c r="H30" s="16"/>
    </row>
    <row r="31" spans="1:8" ht="30" customHeight="1" x14ac:dyDescent="0.25">
      <c r="A31" s="19" t="s">
        <v>96</v>
      </c>
      <c r="B31" s="19" t="s">
        <v>97</v>
      </c>
      <c r="C31" s="20" t="s">
        <v>100</v>
      </c>
      <c r="D31" s="21" t="s">
        <v>101</v>
      </c>
      <c r="E31" s="17">
        <v>2</v>
      </c>
      <c r="F31" s="28" t="s">
        <v>45</v>
      </c>
      <c r="G31" s="30"/>
      <c r="H31" s="21"/>
    </row>
    <row r="32" spans="1:8" ht="30" customHeight="1" x14ac:dyDescent="0.25">
      <c r="A32" s="14" t="s">
        <v>96</v>
      </c>
      <c r="B32" s="14" t="s">
        <v>97</v>
      </c>
      <c r="C32" s="15" t="s">
        <v>102</v>
      </c>
      <c r="D32" s="16" t="s">
        <v>103</v>
      </c>
      <c r="E32" s="17">
        <v>2</v>
      </c>
      <c r="F32" s="28" t="s">
        <v>45</v>
      </c>
      <c r="G32" s="29"/>
      <c r="H32" s="16"/>
    </row>
    <row r="33" spans="1:8" ht="18" customHeight="1" x14ac:dyDescent="0.25">
      <c r="A33" s="13" t="s">
        <v>104</v>
      </c>
      <c r="B33" s="13" t="s">
        <v>105</v>
      </c>
      <c r="C33" s="13"/>
      <c r="D33" s="13"/>
      <c r="E33" s="13"/>
      <c r="F33" s="31"/>
      <c r="G33" s="31"/>
      <c r="H33" s="13"/>
    </row>
    <row r="34" spans="1:8" ht="30" customHeight="1" x14ac:dyDescent="0.25">
      <c r="A34" s="14" t="s">
        <v>104</v>
      </c>
      <c r="B34" s="14" t="s">
        <v>105</v>
      </c>
      <c r="C34" s="15" t="s">
        <v>106</v>
      </c>
      <c r="D34" s="16" t="s">
        <v>107</v>
      </c>
      <c r="E34" s="22">
        <v>1</v>
      </c>
      <c r="F34" s="28" t="s">
        <v>45</v>
      </c>
      <c r="G34" s="29"/>
      <c r="H34" s="16"/>
    </row>
    <row r="35" spans="1:8" ht="30" customHeight="1" x14ac:dyDescent="0.25">
      <c r="A35" s="19" t="s">
        <v>104</v>
      </c>
      <c r="B35" s="19" t="s">
        <v>105</v>
      </c>
      <c r="C35" s="20" t="s">
        <v>108</v>
      </c>
      <c r="D35" s="21" t="s">
        <v>109</v>
      </c>
      <c r="E35" s="17">
        <v>2</v>
      </c>
      <c r="F35" s="28" t="s">
        <v>45</v>
      </c>
      <c r="G35" s="30"/>
      <c r="H35" s="21"/>
    </row>
    <row r="36" spans="1:8" ht="30" customHeight="1" x14ac:dyDescent="0.25">
      <c r="A36" s="14" t="s">
        <v>104</v>
      </c>
      <c r="B36" s="14" t="s">
        <v>105</v>
      </c>
      <c r="C36" s="15" t="s">
        <v>110</v>
      </c>
      <c r="D36" s="16" t="s">
        <v>111</v>
      </c>
      <c r="E36" s="23">
        <v>3</v>
      </c>
      <c r="F36" s="28" t="s">
        <v>893</v>
      </c>
      <c r="G36" s="29"/>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F18" sqref="F1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75.710937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112</v>
      </c>
      <c r="B2" s="13" t="s">
        <v>113</v>
      </c>
      <c r="C2" s="13"/>
      <c r="D2" s="13"/>
      <c r="E2" s="13"/>
      <c r="F2" s="13"/>
      <c r="G2" s="13"/>
      <c r="H2" s="13"/>
    </row>
    <row r="3" spans="1:8" ht="75" x14ac:dyDescent="0.25">
      <c r="A3" s="14" t="s">
        <v>112</v>
      </c>
      <c r="B3" s="14" t="s">
        <v>113</v>
      </c>
      <c r="C3" s="15" t="s">
        <v>114</v>
      </c>
      <c r="D3" s="16" t="s">
        <v>115</v>
      </c>
      <c r="E3" s="22">
        <v>1</v>
      </c>
      <c r="F3" s="28" t="s">
        <v>892</v>
      </c>
      <c r="G3" s="29" t="s">
        <v>1001</v>
      </c>
      <c r="H3" s="16"/>
    </row>
    <row r="4" spans="1:8" ht="45" x14ac:dyDescent="0.25">
      <c r="A4" s="19" t="s">
        <v>112</v>
      </c>
      <c r="B4" s="19" t="s">
        <v>113</v>
      </c>
      <c r="C4" s="20" t="s">
        <v>116</v>
      </c>
      <c r="D4" s="21" t="s">
        <v>117</v>
      </c>
      <c r="E4" s="17">
        <v>2</v>
      </c>
      <c r="F4" s="28" t="s">
        <v>892</v>
      </c>
      <c r="G4" s="30" t="s">
        <v>1002</v>
      </c>
      <c r="H4" s="21"/>
    </row>
    <row r="5" spans="1:8" ht="45" x14ac:dyDescent="0.25">
      <c r="A5" s="14" t="s">
        <v>112</v>
      </c>
      <c r="B5" s="14" t="s">
        <v>113</v>
      </c>
      <c r="C5" s="15" t="s">
        <v>118</v>
      </c>
      <c r="D5" s="16" t="s">
        <v>119</v>
      </c>
      <c r="E5" s="17">
        <v>2</v>
      </c>
      <c r="F5" s="28" t="s">
        <v>892</v>
      </c>
      <c r="G5" s="29" t="s">
        <v>1003</v>
      </c>
      <c r="H5" s="16"/>
    </row>
    <row r="6" spans="1:8" ht="18" customHeight="1" x14ac:dyDescent="0.25">
      <c r="A6" s="13" t="s">
        <v>120</v>
      </c>
      <c r="B6" s="13" t="s">
        <v>121</v>
      </c>
      <c r="C6" s="13"/>
      <c r="D6" s="13"/>
      <c r="E6" s="13"/>
      <c r="F6" s="31"/>
      <c r="G6" s="31"/>
      <c r="H6" s="13"/>
    </row>
    <row r="7" spans="1:8" ht="30" customHeight="1" x14ac:dyDescent="0.25">
      <c r="A7" s="14" t="s">
        <v>120</v>
      </c>
      <c r="B7" s="14" t="s">
        <v>121</v>
      </c>
      <c r="C7" s="15" t="s">
        <v>122</v>
      </c>
      <c r="D7" s="16" t="s">
        <v>123</v>
      </c>
      <c r="E7" s="22">
        <v>1</v>
      </c>
      <c r="F7" s="28" t="s">
        <v>45</v>
      </c>
      <c r="G7" s="29"/>
      <c r="H7" s="16"/>
    </row>
    <row r="8" spans="1:8" ht="30" customHeight="1" x14ac:dyDescent="0.25">
      <c r="A8" s="19" t="s">
        <v>120</v>
      </c>
      <c r="B8" s="19" t="s">
        <v>121</v>
      </c>
      <c r="C8" s="20" t="s">
        <v>124</v>
      </c>
      <c r="D8" s="21" t="s">
        <v>125</v>
      </c>
      <c r="E8" s="22">
        <v>1</v>
      </c>
      <c r="F8" s="28" t="s">
        <v>45</v>
      </c>
      <c r="G8" s="30"/>
      <c r="H8" s="21"/>
    </row>
    <row r="9" spans="1:8" ht="30" customHeight="1" x14ac:dyDescent="0.25">
      <c r="A9" s="14" t="s">
        <v>120</v>
      </c>
      <c r="B9" s="14" t="s">
        <v>121</v>
      </c>
      <c r="C9" s="15" t="s">
        <v>126</v>
      </c>
      <c r="D9" s="16" t="s">
        <v>127</v>
      </c>
      <c r="E9" s="17">
        <v>2</v>
      </c>
      <c r="F9" s="28" t="s">
        <v>45</v>
      </c>
      <c r="G9" s="29"/>
      <c r="H9" s="16"/>
    </row>
    <row r="10" spans="1:8" ht="18" customHeight="1" x14ac:dyDescent="0.25">
      <c r="A10" s="13" t="s">
        <v>128</v>
      </c>
      <c r="B10" s="13" t="s">
        <v>129</v>
      </c>
      <c r="C10" s="13"/>
      <c r="D10" s="13"/>
      <c r="E10" s="13"/>
      <c r="F10" s="31"/>
      <c r="G10" s="31"/>
      <c r="H10" s="13"/>
    </row>
    <row r="11" spans="1:8" ht="30" customHeight="1" x14ac:dyDescent="0.25">
      <c r="A11" s="14" t="s">
        <v>128</v>
      </c>
      <c r="B11" s="14" t="s">
        <v>129</v>
      </c>
      <c r="C11" s="15" t="s">
        <v>130</v>
      </c>
      <c r="D11" s="16" t="s">
        <v>131</v>
      </c>
      <c r="E11" s="22">
        <v>1</v>
      </c>
      <c r="F11" s="28" t="s">
        <v>45</v>
      </c>
      <c r="G11" s="29"/>
      <c r="H11" s="16"/>
    </row>
    <row r="12" spans="1:8" ht="30" customHeight="1" x14ac:dyDescent="0.25">
      <c r="A12" s="19" t="s">
        <v>128</v>
      </c>
      <c r="B12" s="19" t="s">
        <v>129</v>
      </c>
      <c r="C12" s="20" t="s">
        <v>132</v>
      </c>
      <c r="D12" s="21" t="s">
        <v>133</v>
      </c>
      <c r="E12" s="17">
        <v>2</v>
      </c>
      <c r="F12" s="28" t="s">
        <v>45</v>
      </c>
      <c r="G12" s="30"/>
      <c r="H12" s="21"/>
    </row>
    <row r="13" spans="1:8" ht="30" customHeight="1" x14ac:dyDescent="0.25">
      <c r="A13" s="14" t="s">
        <v>128</v>
      </c>
      <c r="B13" s="14" t="s">
        <v>129</v>
      </c>
      <c r="C13" s="15" t="s">
        <v>134</v>
      </c>
      <c r="D13" s="16" t="s">
        <v>135</v>
      </c>
      <c r="E13" s="17">
        <v>2</v>
      </c>
      <c r="F13" s="28" t="s">
        <v>45</v>
      </c>
      <c r="G13" s="29"/>
      <c r="H13" s="16"/>
    </row>
    <row r="14" spans="1:8" ht="30" customHeight="1" x14ac:dyDescent="0.25">
      <c r="A14" s="19" t="s">
        <v>128</v>
      </c>
      <c r="B14" s="19" t="s">
        <v>129</v>
      </c>
      <c r="C14" s="20" t="s">
        <v>136</v>
      </c>
      <c r="D14" s="21" t="s">
        <v>137</v>
      </c>
      <c r="E14" s="17">
        <v>2</v>
      </c>
      <c r="F14" s="28" t="s">
        <v>45</v>
      </c>
      <c r="G14" s="30"/>
      <c r="H14" s="21"/>
    </row>
    <row r="15" spans="1:8" ht="75" x14ac:dyDescent="0.25">
      <c r="A15" s="14" t="s">
        <v>128</v>
      </c>
      <c r="B15" s="14" t="s">
        <v>129</v>
      </c>
      <c r="C15" s="15" t="s">
        <v>138</v>
      </c>
      <c r="D15" s="16" t="s">
        <v>139</v>
      </c>
      <c r="E15" s="23">
        <v>3</v>
      </c>
      <c r="F15" s="28" t="s">
        <v>893</v>
      </c>
      <c r="G15" s="29" t="s">
        <v>1004</v>
      </c>
      <c r="H15" s="16"/>
    </row>
    <row r="16" spans="1:8" ht="18" customHeight="1" x14ac:dyDescent="0.25">
      <c r="A16" s="13" t="s">
        <v>140</v>
      </c>
      <c r="B16" s="13" t="s">
        <v>141</v>
      </c>
      <c r="C16" s="13"/>
      <c r="D16" s="13"/>
      <c r="E16" s="13"/>
      <c r="F16" s="31"/>
      <c r="G16" s="31"/>
      <c r="H16" s="13"/>
    </row>
    <row r="17" spans="1:8" ht="30" customHeight="1" x14ac:dyDescent="0.25">
      <c r="A17" s="14" t="s">
        <v>140</v>
      </c>
      <c r="B17" s="14" t="s">
        <v>141</v>
      </c>
      <c r="C17" s="15" t="s">
        <v>142</v>
      </c>
      <c r="D17" s="16" t="s">
        <v>143</v>
      </c>
      <c r="E17" s="17">
        <v>2</v>
      </c>
      <c r="F17" s="28" t="s">
        <v>45</v>
      </c>
      <c r="G17" s="29"/>
      <c r="H17" s="16"/>
    </row>
    <row r="18" spans="1:8" ht="30" customHeight="1" x14ac:dyDescent="0.25">
      <c r="A18" s="19" t="s">
        <v>140</v>
      </c>
      <c r="B18" s="19" t="s">
        <v>141</v>
      </c>
      <c r="C18" s="20" t="s">
        <v>144</v>
      </c>
      <c r="D18" s="21" t="s">
        <v>145</v>
      </c>
      <c r="E18" s="23">
        <v>3</v>
      </c>
      <c r="F18" s="28" t="s">
        <v>893</v>
      </c>
      <c r="G18" s="30"/>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85" zoomScaleNormal="85" workbookViewId="0">
      <pane ySplit="1" topLeftCell="A36" activePane="bottomLeft" state="frozen"/>
      <selection pane="bottomLeft" activeCell="F26" sqref="F26"/>
    </sheetView>
  </sheetViews>
  <sheetFormatPr defaultColWidth="8.5703125" defaultRowHeight="15" x14ac:dyDescent="0.25"/>
  <cols>
    <col min="1" max="1" width="12" customWidth="1"/>
    <col min="2" max="2" width="33" bestFit="1" customWidth="1"/>
    <col min="3" max="3" width="12" customWidth="1"/>
    <col min="4" max="4" width="60" customWidth="1"/>
    <col min="5" max="5" width="8" customWidth="1"/>
    <col min="6" max="6" width="16" customWidth="1"/>
    <col min="7" max="7" width="81.7109375" bestFit="1" customWidth="1"/>
    <col min="8" max="8" width="35" customWidth="1"/>
  </cols>
  <sheetData>
    <row r="1" spans="1:8" ht="39.75" customHeight="1" x14ac:dyDescent="0.25">
      <c r="A1" s="12" t="s">
        <v>894</v>
      </c>
      <c r="B1" s="12" t="s">
        <v>34</v>
      </c>
      <c r="C1" s="12" t="s">
        <v>35</v>
      </c>
      <c r="D1" s="12" t="s">
        <v>36</v>
      </c>
      <c r="E1" s="12" t="s">
        <v>37</v>
      </c>
      <c r="F1" s="12" t="s">
        <v>38</v>
      </c>
      <c r="G1" s="12" t="s">
        <v>39</v>
      </c>
      <c r="H1" s="12" t="s">
        <v>40</v>
      </c>
    </row>
    <row r="2" spans="1:8" x14ac:dyDescent="0.25">
      <c r="A2" s="13" t="s">
        <v>146</v>
      </c>
      <c r="B2" s="13" t="s">
        <v>147</v>
      </c>
      <c r="C2" s="13"/>
      <c r="D2" s="13"/>
      <c r="E2" s="13"/>
      <c r="F2" s="13"/>
      <c r="G2" s="13"/>
      <c r="H2" s="13"/>
    </row>
    <row r="3" spans="1:8" ht="85.15" customHeight="1" x14ac:dyDescent="0.25">
      <c r="A3" s="14" t="s">
        <v>146</v>
      </c>
      <c r="B3" s="14" t="s">
        <v>147</v>
      </c>
      <c r="C3" s="15" t="s">
        <v>148</v>
      </c>
      <c r="D3" s="16" t="s">
        <v>149</v>
      </c>
      <c r="E3" s="23">
        <v>3</v>
      </c>
      <c r="F3" s="18" t="s">
        <v>893</v>
      </c>
      <c r="G3" s="24" t="s">
        <v>895</v>
      </c>
      <c r="H3" s="16"/>
    </row>
    <row r="4" spans="1:8" x14ac:dyDescent="0.25">
      <c r="A4" s="13" t="s">
        <v>150</v>
      </c>
      <c r="B4" s="13" t="s">
        <v>151</v>
      </c>
      <c r="C4" s="13"/>
      <c r="D4" s="13"/>
      <c r="E4" s="13"/>
      <c r="F4" s="13"/>
      <c r="G4" s="13"/>
      <c r="H4" s="13"/>
    </row>
    <row r="5" spans="1:8" ht="127.9" customHeight="1" x14ac:dyDescent="0.25">
      <c r="A5" s="14" t="s">
        <v>150</v>
      </c>
      <c r="B5" s="14" t="s">
        <v>151</v>
      </c>
      <c r="C5" s="15" t="s">
        <v>152</v>
      </c>
      <c r="D5" s="16" t="s">
        <v>153</v>
      </c>
      <c r="E5" s="22">
        <v>1</v>
      </c>
      <c r="F5" s="18" t="s">
        <v>893</v>
      </c>
      <c r="G5" s="25"/>
      <c r="H5" s="16"/>
    </row>
    <row r="6" spans="1:8" ht="85.15" customHeight="1" x14ac:dyDescent="0.25">
      <c r="A6" s="19" t="s">
        <v>150</v>
      </c>
      <c r="B6" s="19" t="s">
        <v>151</v>
      </c>
      <c r="C6" s="20" t="s">
        <v>154</v>
      </c>
      <c r="D6" s="21" t="s">
        <v>155</v>
      </c>
      <c r="E6" s="22">
        <v>1</v>
      </c>
      <c r="F6" s="18" t="s">
        <v>893</v>
      </c>
      <c r="G6" t="s">
        <v>896</v>
      </c>
      <c r="H6" s="21"/>
    </row>
    <row r="7" spans="1:8" ht="85.15" customHeight="1" x14ac:dyDescent="0.25">
      <c r="A7" s="14" t="s">
        <v>150</v>
      </c>
      <c r="B7" s="14" t="s">
        <v>151</v>
      </c>
      <c r="C7" s="15" t="s">
        <v>156</v>
      </c>
      <c r="D7" s="16" t="s">
        <v>157</v>
      </c>
      <c r="E7" s="23">
        <v>3</v>
      </c>
      <c r="F7" s="18" t="s">
        <v>893</v>
      </c>
      <c r="G7" t="s">
        <v>897</v>
      </c>
      <c r="H7" s="16"/>
    </row>
    <row r="8" spans="1:8" x14ac:dyDescent="0.25">
      <c r="A8" s="13" t="s">
        <v>158</v>
      </c>
      <c r="B8" s="13" t="s">
        <v>159</v>
      </c>
      <c r="C8" s="13"/>
      <c r="D8" s="13"/>
      <c r="E8" s="13"/>
      <c r="F8" s="13"/>
      <c r="G8" s="13"/>
      <c r="H8" s="13"/>
    </row>
    <row r="9" spans="1:8" ht="72" customHeight="1" x14ac:dyDescent="0.25">
      <c r="A9" s="14" t="s">
        <v>158</v>
      </c>
      <c r="B9" s="14" t="s">
        <v>159</v>
      </c>
      <c r="C9" s="15" t="s">
        <v>160</v>
      </c>
      <c r="D9" s="16" t="s">
        <v>161</v>
      </c>
      <c r="E9" s="22">
        <v>1</v>
      </c>
      <c r="F9" s="18" t="s">
        <v>893</v>
      </c>
      <c r="G9" s="25" t="s">
        <v>901</v>
      </c>
      <c r="H9" s="16"/>
    </row>
    <row r="10" spans="1:8" ht="72" customHeight="1" x14ac:dyDescent="0.25">
      <c r="A10" s="19" t="s">
        <v>158</v>
      </c>
      <c r="B10" s="19" t="s">
        <v>159</v>
      </c>
      <c r="C10" s="20" t="s">
        <v>162</v>
      </c>
      <c r="D10" s="21" t="s">
        <v>163</v>
      </c>
      <c r="E10" s="17">
        <v>2</v>
      </c>
      <c r="F10" s="18" t="s">
        <v>893</v>
      </c>
      <c r="G10" t="s">
        <v>898</v>
      </c>
      <c r="H10" s="21"/>
    </row>
    <row r="11" spans="1:8" ht="72" customHeight="1" x14ac:dyDescent="0.25">
      <c r="A11" s="14" t="s">
        <v>158</v>
      </c>
      <c r="B11" s="14" t="s">
        <v>159</v>
      </c>
      <c r="C11" s="15" t="s">
        <v>164</v>
      </c>
      <c r="D11" s="16" t="s">
        <v>165</v>
      </c>
      <c r="E11" s="17">
        <v>2</v>
      </c>
      <c r="F11" s="18" t="s">
        <v>893</v>
      </c>
      <c r="G11" t="s">
        <v>898</v>
      </c>
      <c r="H11" s="16"/>
    </row>
    <row r="12" spans="1:8" ht="72" customHeight="1" x14ac:dyDescent="0.25">
      <c r="A12" s="19" t="s">
        <v>158</v>
      </c>
      <c r="B12" s="19" t="s">
        <v>159</v>
      </c>
      <c r="C12" s="20" t="s">
        <v>166</v>
      </c>
      <c r="D12" s="21" t="s">
        <v>167</v>
      </c>
      <c r="E12" s="17">
        <v>2</v>
      </c>
      <c r="F12" s="18" t="s">
        <v>893</v>
      </c>
      <c r="G12" s="26" t="s">
        <v>900</v>
      </c>
      <c r="H12" s="21"/>
    </row>
    <row r="13" spans="1:8" ht="72" customHeight="1" x14ac:dyDescent="0.25">
      <c r="A13" s="14" t="s">
        <v>158</v>
      </c>
      <c r="B13" s="14" t="s">
        <v>159</v>
      </c>
      <c r="C13" s="15" t="s">
        <v>168</v>
      </c>
      <c r="D13" s="16" t="s">
        <v>169</v>
      </c>
      <c r="E13" s="23">
        <v>3</v>
      </c>
      <c r="F13" s="18" t="s">
        <v>893</v>
      </c>
      <c r="G13" t="s">
        <v>899</v>
      </c>
      <c r="H13" s="16"/>
    </row>
    <row r="14" spans="1:8" x14ac:dyDescent="0.25">
      <c r="A14" s="13" t="s">
        <v>170</v>
      </c>
      <c r="B14" s="13" t="s">
        <v>171</v>
      </c>
      <c r="C14" s="13"/>
      <c r="D14" s="13"/>
      <c r="E14" s="13"/>
      <c r="F14" s="13"/>
      <c r="G14" s="13"/>
      <c r="H14" s="13"/>
    </row>
    <row r="15" spans="1:8" ht="72" customHeight="1" x14ac:dyDescent="0.25">
      <c r="A15" s="14" t="s">
        <v>170</v>
      </c>
      <c r="B15" s="14" t="s">
        <v>171</v>
      </c>
      <c r="C15" s="15" t="s">
        <v>172</v>
      </c>
      <c r="D15" s="16" t="s">
        <v>173</v>
      </c>
      <c r="E15" s="22">
        <v>1</v>
      </c>
      <c r="F15" s="18" t="s">
        <v>892</v>
      </c>
      <c r="G15" s="25" t="s">
        <v>1006</v>
      </c>
      <c r="H15" s="16"/>
    </row>
    <row r="16" spans="1:8" ht="104.25" customHeight="1" x14ac:dyDescent="0.25">
      <c r="A16" s="19" t="s">
        <v>170</v>
      </c>
      <c r="B16" s="19" t="s">
        <v>171</v>
      </c>
      <c r="C16" s="20" t="s">
        <v>174</v>
      </c>
      <c r="D16" s="21" t="s">
        <v>175</v>
      </c>
      <c r="E16" s="22">
        <v>1</v>
      </c>
      <c r="F16" s="18" t="s">
        <v>892</v>
      </c>
      <c r="G16" s="26" t="s">
        <v>1007</v>
      </c>
      <c r="H16" s="21"/>
    </row>
    <row r="17" spans="1:8" ht="138" customHeight="1" x14ac:dyDescent="0.25">
      <c r="A17" s="14" t="s">
        <v>170</v>
      </c>
      <c r="B17" s="14" t="s">
        <v>171</v>
      </c>
      <c r="C17" s="15" t="s">
        <v>176</v>
      </c>
      <c r="D17" s="16" t="s">
        <v>177</v>
      </c>
      <c r="E17" s="17">
        <v>2</v>
      </c>
      <c r="F17" s="18" t="s">
        <v>45</v>
      </c>
      <c r="G17" s="25" t="s">
        <v>1008</v>
      </c>
      <c r="H17" s="16"/>
    </row>
    <row r="18" spans="1:8" ht="78" customHeight="1" x14ac:dyDescent="0.25">
      <c r="A18" s="19" t="s">
        <v>170</v>
      </c>
      <c r="B18" s="19" t="s">
        <v>171</v>
      </c>
      <c r="C18" s="20" t="s">
        <v>178</v>
      </c>
      <c r="D18" s="21" t="s">
        <v>179</v>
      </c>
      <c r="E18" s="17">
        <v>2</v>
      </c>
      <c r="F18" s="18" t="s">
        <v>892</v>
      </c>
      <c r="G18" s="26" t="s">
        <v>1009</v>
      </c>
      <c r="H18" s="21"/>
    </row>
    <row r="19" spans="1:8" ht="105" x14ac:dyDescent="0.25">
      <c r="A19" s="14" t="s">
        <v>170</v>
      </c>
      <c r="B19" s="14" t="s">
        <v>171</v>
      </c>
      <c r="C19" s="15" t="s">
        <v>180</v>
      </c>
      <c r="D19" s="16" t="s">
        <v>181</v>
      </c>
      <c r="E19" s="17">
        <v>2</v>
      </c>
      <c r="F19" s="18" t="s">
        <v>893</v>
      </c>
      <c r="G19" s="25" t="s">
        <v>1010</v>
      </c>
      <c r="H19" s="16"/>
    </row>
    <row r="20" spans="1:8" ht="90" x14ac:dyDescent="0.25">
      <c r="A20" s="19" t="s">
        <v>170</v>
      </c>
      <c r="B20" s="19" t="s">
        <v>171</v>
      </c>
      <c r="C20" s="20" t="s">
        <v>182</v>
      </c>
      <c r="D20" s="21" t="s">
        <v>183</v>
      </c>
      <c r="E20" s="17">
        <v>2</v>
      </c>
      <c r="F20" s="18" t="s">
        <v>893</v>
      </c>
      <c r="G20" s="26" t="s">
        <v>1011</v>
      </c>
      <c r="H20" s="21"/>
    </row>
    <row r="21" spans="1:8" ht="72" customHeight="1" x14ac:dyDescent="0.25">
      <c r="A21" s="14" t="s">
        <v>170</v>
      </c>
      <c r="B21" s="14" t="s">
        <v>171</v>
      </c>
      <c r="C21" s="15" t="s">
        <v>184</v>
      </c>
      <c r="D21" s="16" t="s">
        <v>185</v>
      </c>
      <c r="E21" s="23">
        <v>3</v>
      </c>
      <c r="F21" s="18" t="s">
        <v>893</v>
      </c>
      <c r="G21" s="25" t="s">
        <v>1012</v>
      </c>
      <c r="H21" s="16"/>
    </row>
    <row r="22" spans="1:8" ht="90" x14ac:dyDescent="0.25">
      <c r="A22" s="19" t="s">
        <v>170</v>
      </c>
      <c r="B22" s="19" t="s">
        <v>171</v>
      </c>
      <c r="C22" s="20" t="s">
        <v>186</v>
      </c>
      <c r="D22" s="21" t="s">
        <v>187</v>
      </c>
      <c r="E22" s="23">
        <v>3</v>
      </c>
      <c r="F22" s="18" t="s">
        <v>893</v>
      </c>
      <c r="G22" s="26" t="s">
        <v>1013</v>
      </c>
      <c r="H22" s="21"/>
    </row>
    <row r="23" spans="1:8" x14ac:dyDescent="0.25">
      <c r="A23" s="13" t="s">
        <v>188</v>
      </c>
      <c r="B23" s="13" t="s">
        <v>189</v>
      </c>
      <c r="C23" s="13"/>
      <c r="D23" s="13"/>
      <c r="E23" s="13"/>
      <c r="F23" s="13"/>
      <c r="G23" s="13"/>
      <c r="H23" s="13"/>
    </row>
    <row r="24" spans="1:8" ht="120" x14ac:dyDescent="0.25">
      <c r="A24" s="14" t="s">
        <v>188</v>
      </c>
      <c r="B24" s="14" t="s">
        <v>189</v>
      </c>
      <c r="C24" s="15" t="s">
        <v>190</v>
      </c>
      <c r="D24" s="16" t="s">
        <v>191</v>
      </c>
      <c r="E24" s="22">
        <v>1</v>
      </c>
      <c r="F24" s="18" t="s">
        <v>1133</v>
      </c>
      <c r="G24" s="25" t="s">
        <v>1014</v>
      </c>
      <c r="H24" s="16"/>
    </row>
    <row r="25" spans="1:8" ht="105" x14ac:dyDescent="0.25">
      <c r="A25" s="19" t="s">
        <v>188</v>
      </c>
      <c r="B25" s="19" t="s">
        <v>189</v>
      </c>
      <c r="C25" s="20" t="s">
        <v>192</v>
      </c>
      <c r="D25" s="21" t="s">
        <v>193</v>
      </c>
      <c r="E25" s="22">
        <v>1</v>
      </c>
      <c r="F25" s="18" t="s">
        <v>1133</v>
      </c>
      <c r="G25" s="26" t="s">
        <v>1015</v>
      </c>
      <c r="H25" s="21"/>
    </row>
    <row r="26" spans="1:8" ht="120" x14ac:dyDescent="0.25">
      <c r="A26" s="14" t="s">
        <v>188</v>
      </c>
      <c r="B26" s="14" t="s">
        <v>189</v>
      </c>
      <c r="C26" s="15" t="s">
        <v>194</v>
      </c>
      <c r="D26" s="16" t="s">
        <v>195</v>
      </c>
      <c r="E26" s="22">
        <v>1</v>
      </c>
      <c r="F26" s="18" t="s">
        <v>1133</v>
      </c>
      <c r="G26" s="25" t="s">
        <v>1016</v>
      </c>
      <c r="H26" s="16"/>
    </row>
    <row r="27" spans="1:8" ht="75" x14ac:dyDescent="0.25">
      <c r="A27" s="19" t="s">
        <v>188</v>
      </c>
      <c r="B27" s="19" t="s">
        <v>189</v>
      </c>
      <c r="C27" s="20" t="s">
        <v>196</v>
      </c>
      <c r="D27" s="21" t="s">
        <v>197</v>
      </c>
      <c r="E27" s="17">
        <v>2</v>
      </c>
      <c r="F27" s="18" t="s">
        <v>893</v>
      </c>
      <c r="G27" s="26" t="s">
        <v>1017</v>
      </c>
      <c r="H27" s="21"/>
    </row>
    <row r="28" spans="1:8" ht="72" customHeight="1" x14ac:dyDescent="0.25">
      <c r="A28" s="14" t="s">
        <v>188</v>
      </c>
      <c r="B28" s="14" t="s">
        <v>189</v>
      </c>
      <c r="C28" s="15" t="s">
        <v>198</v>
      </c>
      <c r="D28" s="16" t="s">
        <v>199</v>
      </c>
      <c r="E28" s="17">
        <v>2</v>
      </c>
      <c r="F28" s="18" t="s">
        <v>893</v>
      </c>
      <c r="G28" s="25" t="s">
        <v>1018</v>
      </c>
      <c r="H28" s="16"/>
    </row>
    <row r="29" spans="1:8" ht="72" customHeight="1" x14ac:dyDescent="0.25">
      <c r="A29" s="19" t="s">
        <v>188</v>
      </c>
      <c r="B29" s="19" t="s">
        <v>189</v>
      </c>
      <c r="C29" s="20" t="s">
        <v>200</v>
      </c>
      <c r="D29" s="21" t="s">
        <v>201</v>
      </c>
      <c r="E29" s="23">
        <v>3</v>
      </c>
      <c r="F29" s="18" t="s">
        <v>893</v>
      </c>
      <c r="G29" s="26" t="s">
        <v>1019</v>
      </c>
      <c r="H29" s="21"/>
    </row>
    <row r="30" spans="1:8" ht="72" customHeight="1" x14ac:dyDescent="0.25">
      <c r="A30" s="14" t="s">
        <v>188</v>
      </c>
      <c r="B30" s="14" t="s">
        <v>189</v>
      </c>
      <c r="C30" s="15" t="s">
        <v>202</v>
      </c>
      <c r="D30" s="16" t="s">
        <v>203</v>
      </c>
      <c r="E30" s="23">
        <v>3</v>
      </c>
      <c r="F30" s="18" t="s">
        <v>893</v>
      </c>
      <c r="G30" s="25" t="s">
        <v>1020</v>
      </c>
      <c r="H30" s="16"/>
    </row>
    <row r="31" spans="1:8" ht="120.4" customHeight="1" x14ac:dyDescent="0.25">
      <c r="A31" s="19" t="s">
        <v>188</v>
      </c>
      <c r="B31" s="19" t="s">
        <v>189</v>
      </c>
      <c r="C31" s="20" t="s">
        <v>204</v>
      </c>
      <c r="D31" s="21" t="s">
        <v>205</v>
      </c>
      <c r="E31" s="23">
        <v>3</v>
      </c>
      <c r="F31" s="18" t="s">
        <v>893</v>
      </c>
      <c r="G31" s="26"/>
      <c r="H31" s="21"/>
    </row>
    <row r="32" spans="1:8" x14ac:dyDescent="0.25">
      <c r="A32" s="13" t="s">
        <v>206</v>
      </c>
      <c r="B32" s="13" t="s">
        <v>207</v>
      </c>
      <c r="C32" s="13"/>
      <c r="D32" s="13"/>
      <c r="E32" s="13"/>
      <c r="F32" s="13"/>
      <c r="G32" s="13"/>
      <c r="H32" s="13"/>
    </row>
    <row r="33" spans="1:8" ht="106.5" customHeight="1" x14ac:dyDescent="0.25">
      <c r="A33" s="14" t="s">
        <v>206</v>
      </c>
      <c r="B33" s="14" t="s">
        <v>207</v>
      </c>
      <c r="C33" s="15" t="s">
        <v>208</v>
      </c>
      <c r="D33" s="16" t="s">
        <v>209</v>
      </c>
      <c r="E33" s="23">
        <v>3</v>
      </c>
      <c r="F33" s="18" t="s">
        <v>893</v>
      </c>
      <c r="G33" t="s">
        <v>903</v>
      </c>
      <c r="H33" s="16"/>
    </row>
    <row r="34" spans="1:8" x14ac:dyDescent="0.25">
      <c r="A34" s="13" t="s">
        <v>210</v>
      </c>
      <c r="B34" s="13" t="s">
        <v>211</v>
      </c>
      <c r="C34" s="13"/>
      <c r="D34" s="13"/>
      <c r="E34" s="13"/>
      <c r="F34" s="13"/>
      <c r="G34" s="13"/>
      <c r="H34" s="13"/>
    </row>
    <row r="35" spans="1:8" ht="72" customHeight="1" x14ac:dyDescent="0.25">
      <c r="A35" s="14" t="s">
        <v>210</v>
      </c>
      <c r="B35" s="14" t="s">
        <v>211</v>
      </c>
      <c r="C35" s="15" t="s">
        <v>212</v>
      </c>
      <c r="D35" s="16" t="s">
        <v>213</v>
      </c>
      <c r="E35" s="17">
        <v>2</v>
      </c>
      <c r="F35" s="18" t="s">
        <v>893</v>
      </c>
      <c r="G35" t="s">
        <v>1005</v>
      </c>
      <c r="H35" s="16"/>
    </row>
    <row r="36" spans="1:8" ht="72" customHeight="1" x14ac:dyDescent="0.25">
      <c r="A36" s="19" t="s">
        <v>210</v>
      </c>
      <c r="B36" s="19" t="s">
        <v>211</v>
      </c>
      <c r="C36" s="20" t="s">
        <v>214</v>
      </c>
      <c r="D36" s="21" t="s">
        <v>215</v>
      </c>
      <c r="E36" s="17">
        <v>2</v>
      </c>
      <c r="F36" s="18" t="s">
        <v>45</v>
      </c>
      <c r="G36" s="26"/>
      <c r="H36" s="21"/>
    </row>
    <row r="37" spans="1:8" ht="72" customHeight="1" x14ac:dyDescent="0.25">
      <c r="A37" s="14" t="s">
        <v>210</v>
      </c>
      <c r="B37" s="14" t="s">
        <v>211</v>
      </c>
      <c r="C37" s="15" t="s">
        <v>216</v>
      </c>
      <c r="D37" s="16" t="s">
        <v>217</v>
      </c>
      <c r="E37" s="23">
        <v>3</v>
      </c>
      <c r="F37" s="18" t="s">
        <v>893</v>
      </c>
      <c r="G37" t="s">
        <v>933</v>
      </c>
      <c r="H37" s="16"/>
    </row>
    <row r="38" spans="1:8" ht="72" customHeight="1" x14ac:dyDescent="0.25">
      <c r="A38" s="19" t="s">
        <v>210</v>
      </c>
      <c r="B38" s="19" t="s">
        <v>211</v>
      </c>
      <c r="C38" s="20" t="s">
        <v>218</v>
      </c>
      <c r="D38" s="21" t="s">
        <v>219</v>
      </c>
      <c r="E38" s="23">
        <v>3</v>
      </c>
      <c r="F38" s="18" t="s">
        <v>893</v>
      </c>
      <c r="G38" s="26"/>
      <c r="H38" s="21"/>
    </row>
    <row r="39" spans="1:8" ht="72" customHeight="1" x14ac:dyDescent="0.25">
      <c r="A39" s="14" t="s">
        <v>210</v>
      </c>
      <c r="B39" s="14" t="s">
        <v>211</v>
      </c>
      <c r="C39" s="15" t="s">
        <v>220</v>
      </c>
      <c r="D39" s="16" t="s">
        <v>221</v>
      </c>
      <c r="E39" s="23">
        <v>3</v>
      </c>
      <c r="F39" s="18" t="s">
        <v>893</v>
      </c>
      <c r="G39" t="s">
        <v>902</v>
      </c>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87.4257812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222</v>
      </c>
      <c r="B2" s="13" t="s">
        <v>223</v>
      </c>
      <c r="C2" s="13"/>
      <c r="D2" s="13"/>
      <c r="E2" s="13"/>
      <c r="F2" s="13"/>
      <c r="G2" s="13"/>
      <c r="H2" s="13"/>
    </row>
    <row r="3" spans="1:8" ht="75" x14ac:dyDescent="0.25">
      <c r="A3" s="14" t="s">
        <v>222</v>
      </c>
      <c r="B3" s="14" t="s">
        <v>223</v>
      </c>
      <c r="C3" s="15" t="s">
        <v>224</v>
      </c>
      <c r="D3" s="16" t="s">
        <v>225</v>
      </c>
      <c r="E3" s="22">
        <v>1</v>
      </c>
      <c r="F3" s="18" t="s">
        <v>1133</v>
      </c>
      <c r="G3" s="16" t="s">
        <v>1022</v>
      </c>
      <c r="H3" s="16"/>
    </row>
    <row r="4" spans="1:8" ht="105" x14ac:dyDescent="0.25">
      <c r="A4" s="19" t="s">
        <v>222</v>
      </c>
      <c r="B4" s="19" t="s">
        <v>223</v>
      </c>
      <c r="C4" s="20" t="s">
        <v>226</v>
      </c>
      <c r="D4" s="21" t="s">
        <v>227</v>
      </c>
      <c r="E4" s="17">
        <v>2</v>
      </c>
      <c r="F4" s="18" t="s">
        <v>892</v>
      </c>
      <c r="G4" s="21" t="s">
        <v>1021</v>
      </c>
      <c r="H4" s="21"/>
    </row>
    <row r="5" spans="1:8" ht="75" x14ac:dyDescent="0.25">
      <c r="A5" s="14" t="s">
        <v>222</v>
      </c>
      <c r="B5" s="14" t="s">
        <v>223</v>
      </c>
      <c r="C5" s="15" t="s">
        <v>228</v>
      </c>
      <c r="D5" s="16" t="s">
        <v>229</v>
      </c>
      <c r="E5" s="17">
        <v>2</v>
      </c>
      <c r="F5" s="18" t="s">
        <v>892</v>
      </c>
      <c r="G5" s="16" t="s">
        <v>1023</v>
      </c>
      <c r="H5" s="16"/>
    </row>
    <row r="6" spans="1:8" ht="30" customHeight="1" x14ac:dyDescent="0.25">
      <c r="A6" s="19" t="s">
        <v>222</v>
      </c>
      <c r="B6" s="19" t="s">
        <v>223</v>
      </c>
      <c r="C6" s="20" t="s">
        <v>230</v>
      </c>
      <c r="D6" s="21" t="s">
        <v>231</v>
      </c>
      <c r="E6" s="23">
        <v>3</v>
      </c>
      <c r="F6" s="18" t="s">
        <v>893</v>
      </c>
      <c r="G6" s="21"/>
      <c r="H6" s="21"/>
    </row>
    <row r="7" spans="1:8" ht="30" customHeight="1" x14ac:dyDescent="0.25">
      <c r="A7" s="14" t="s">
        <v>222</v>
      </c>
      <c r="B7" s="14" t="s">
        <v>223</v>
      </c>
      <c r="C7" s="15" t="s">
        <v>232</v>
      </c>
      <c r="D7" s="16" t="s">
        <v>233</v>
      </c>
      <c r="E7" s="23">
        <v>3</v>
      </c>
      <c r="F7" s="18" t="s">
        <v>893</v>
      </c>
      <c r="G7" s="16"/>
      <c r="H7" s="16"/>
    </row>
    <row r="8" spans="1:8" ht="18" customHeight="1" x14ac:dyDescent="0.25">
      <c r="A8" s="13" t="s">
        <v>234</v>
      </c>
      <c r="B8" s="13" t="s">
        <v>235</v>
      </c>
      <c r="C8" s="13"/>
      <c r="D8" s="13"/>
      <c r="E8" s="13"/>
      <c r="F8" s="13"/>
      <c r="G8" s="13"/>
      <c r="H8" s="13"/>
    </row>
    <row r="9" spans="1:8" ht="30" customHeight="1" x14ac:dyDescent="0.25">
      <c r="A9" s="14" t="s">
        <v>234</v>
      </c>
      <c r="B9" s="14" t="s">
        <v>235</v>
      </c>
      <c r="C9" s="15" t="s">
        <v>236</v>
      </c>
      <c r="D9" s="16" t="s">
        <v>237</v>
      </c>
      <c r="E9" s="17">
        <v>2</v>
      </c>
      <c r="F9" s="18" t="s">
        <v>1133</v>
      </c>
      <c r="G9" s="16" t="s">
        <v>910</v>
      </c>
      <c r="H9" s="16"/>
    </row>
    <row r="10" spans="1:8" ht="30" customHeight="1" x14ac:dyDescent="0.25">
      <c r="A10" s="19" t="s">
        <v>234</v>
      </c>
      <c r="B10" s="19" t="s">
        <v>235</v>
      </c>
      <c r="C10" s="20" t="s">
        <v>238</v>
      </c>
      <c r="D10" s="21" t="s">
        <v>239</v>
      </c>
      <c r="E10" s="23">
        <v>3</v>
      </c>
      <c r="F10" s="18" t="s">
        <v>893</v>
      </c>
      <c r="G10" s="21"/>
      <c r="H10" s="21"/>
    </row>
    <row r="11" spans="1:8" ht="30" customHeight="1" x14ac:dyDescent="0.25">
      <c r="A11" s="14" t="s">
        <v>234</v>
      </c>
      <c r="B11" s="14" t="s">
        <v>235</v>
      </c>
      <c r="C11" s="15" t="s">
        <v>240</v>
      </c>
      <c r="D11" s="16" t="s">
        <v>241</v>
      </c>
      <c r="E11" s="23">
        <v>3</v>
      </c>
      <c r="F11" s="18" t="s">
        <v>893</v>
      </c>
      <c r="G11" s="16"/>
      <c r="H11" s="16"/>
    </row>
    <row r="12" spans="1:8" ht="30" customHeight="1" x14ac:dyDescent="0.25">
      <c r="A12" s="19" t="s">
        <v>234</v>
      </c>
      <c r="B12" s="19" t="s">
        <v>235</v>
      </c>
      <c r="C12" s="20" t="s">
        <v>242</v>
      </c>
      <c r="D12" s="21" t="s">
        <v>243</v>
      </c>
      <c r="E12" s="23">
        <v>3</v>
      </c>
      <c r="F12" s="18" t="s">
        <v>893</v>
      </c>
      <c r="G12" s="21"/>
      <c r="H12" s="21"/>
    </row>
    <row r="13" spans="1:8" ht="30" customHeight="1" x14ac:dyDescent="0.25">
      <c r="A13" s="14" t="s">
        <v>234</v>
      </c>
      <c r="B13" s="14" t="s">
        <v>235</v>
      </c>
      <c r="C13" s="15" t="s">
        <v>244</v>
      </c>
      <c r="D13" s="16" t="s">
        <v>245</v>
      </c>
      <c r="E13" s="23">
        <v>3</v>
      </c>
      <c r="F13" s="18" t="s">
        <v>893</v>
      </c>
      <c r="G13" s="16"/>
      <c r="H13" s="16"/>
    </row>
    <row r="14" spans="1:8" ht="18" customHeight="1" x14ac:dyDescent="0.25">
      <c r="A14" s="13" t="s">
        <v>246</v>
      </c>
      <c r="B14" s="13" t="s">
        <v>247</v>
      </c>
      <c r="C14" s="13"/>
      <c r="D14" s="13"/>
      <c r="E14" s="13"/>
      <c r="F14" s="13"/>
      <c r="G14" s="13"/>
      <c r="H14" s="13"/>
    </row>
    <row r="15" spans="1:8" ht="60" x14ac:dyDescent="0.25">
      <c r="A15" s="14" t="s">
        <v>246</v>
      </c>
      <c r="B15" s="14" t="s">
        <v>247</v>
      </c>
      <c r="C15" s="15" t="s">
        <v>248</v>
      </c>
      <c r="D15" s="16" t="s">
        <v>249</v>
      </c>
      <c r="E15" s="17">
        <v>2</v>
      </c>
      <c r="F15" s="18" t="s">
        <v>893</v>
      </c>
      <c r="G15" s="16" t="s">
        <v>909</v>
      </c>
      <c r="H15" s="16"/>
    </row>
    <row r="16" spans="1:8" ht="30" customHeight="1" x14ac:dyDescent="0.25">
      <c r="A16" s="19" t="s">
        <v>246</v>
      </c>
      <c r="B16" s="19" t="s">
        <v>247</v>
      </c>
      <c r="C16" s="20" t="s">
        <v>250</v>
      </c>
      <c r="D16" s="21" t="s">
        <v>251</v>
      </c>
      <c r="E16" s="17">
        <v>2</v>
      </c>
      <c r="F16" s="18" t="s">
        <v>893</v>
      </c>
      <c r="G16" s="21" t="s">
        <v>908</v>
      </c>
      <c r="H16" s="21"/>
    </row>
    <row r="17" spans="1:8" ht="18" customHeight="1" x14ac:dyDescent="0.25">
      <c r="A17" s="13" t="s">
        <v>252</v>
      </c>
      <c r="B17" s="13" t="s">
        <v>253</v>
      </c>
      <c r="C17" s="13"/>
      <c r="D17" s="13"/>
      <c r="E17" s="13"/>
      <c r="F17" s="13"/>
      <c r="G17" s="13"/>
      <c r="H17" s="13"/>
    </row>
    <row r="18" spans="1:8" ht="30" customHeight="1" x14ac:dyDescent="0.25">
      <c r="A18" s="14" t="s">
        <v>252</v>
      </c>
      <c r="B18" s="14" t="s">
        <v>253</v>
      </c>
      <c r="C18" s="15" t="s">
        <v>254</v>
      </c>
      <c r="D18" s="16" t="s">
        <v>255</v>
      </c>
      <c r="E18" s="22">
        <v>1</v>
      </c>
      <c r="F18" s="18" t="s">
        <v>893</v>
      </c>
      <c r="G18" s="16" t="s">
        <v>907</v>
      </c>
      <c r="H18" s="16"/>
    </row>
    <row r="19" spans="1:8" ht="30" customHeight="1" x14ac:dyDescent="0.25">
      <c r="A19" s="19" t="s">
        <v>252</v>
      </c>
      <c r="B19" s="19" t="s">
        <v>253</v>
      </c>
      <c r="C19" s="20" t="s">
        <v>256</v>
      </c>
      <c r="D19" s="21" t="s">
        <v>257</v>
      </c>
      <c r="E19" s="17">
        <v>2</v>
      </c>
      <c r="F19" s="18" t="s">
        <v>893</v>
      </c>
      <c r="G19" t="s">
        <v>904</v>
      </c>
      <c r="H19" s="21"/>
    </row>
    <row r="20" spans="1:8" ht="30" customHeight="1" x14ac:dyDescent="0.25">
      <c r="A20" s="14" t="s">
        <v>252</v>
      </c>
      <c r="B20" s="14" t="s">
        <v>253</v>
      </c>
      <c r="C20" s="15" t="s">
        <v>258</v>
      </c>
      <c r="D20" s="16" t="s">
        <v>259</v>
      </c>
      <c r="E20" s="17">
        <v>2</v>
      </c>
      <c r="F20" s="18" t="s">
        <v>893</v>
      </c>
      <c r="G20" t="s">
        <v>905</v>
      </c>
      <c r="H20" s="16"/>
    </row>
    <row r="21" spans="1:8" ht="30" customHeight="1" x14ac:dyDescent="0.25">
      <c r="A21" s="19" t="s">
        <v>252</v>
      </c>
      <c r="B21" s="19" t="s">
        <v>253</v>
      </c>
      <c r="C21" s="20" t="s">
        <v>260</v>
      </c>
      <c r="D21" s="21" t="s">
        <v>261</v>
      </c>
      <c r="E21" s="17">
        <v>2</v>
      </c>
      <c r="F21" s="18" t="s">
        <v>893</v>
      </c>
      <c r="G21" t="s">
        <v>906</v>
      </c>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opLeftCell="B1" zoomScale="70" zoomScaleNormal="70" workbookViewId="0">
      <pane ySplit="1" topLeftCell="A2" activePane="bottomLeft" state="frozen"/>
      <selection pane="bottomLeft" activeCell="F5" sqref="F5"/>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262</v>
      </c>
      <c r="B2" s="13" t="s">
        <v>263</v>
      </c>
      <c r="C2" s="13"/>
      <c r="D2" s="13"/>
      <c r="E2" s="13"/>
      <c r="F2" s="13"/>
      <c r="G2" s="13"/>
      <c r="H2" s="13"/>
    </row>
    <row r="3" spans="1:8" ht="150" x14ac:dyDescent="0.25">
      <c r="A3" s="14" t="s">
        <v>262</v>
      </c>
      <c r="B3" s="14" t="s">
        <v>263</v>
      </c>
      <c r="C3" s="15" t="s">
        <v>264</v>
      </c>
      <c r="D3" s="16" t="s">
        <v>265</v>
      </c>
      <c r="E3" s="17">
        <v>2</v>
      </c>
      <c r="F3" s="18" t="s">
        <v>892</v>
      </c>
      <c r="G3" s="16" t="s">
        <v>932</v>
      </c>
      <c r="H3" s="16"/>
    </row>
    <row r="4" spans="1:8" ht="18" customHeight="1" x14ac:dyDescent="0.25">
      <c r="A4" s="13" t="s">
        <v>266</v>
      </c>
      <c r="B4" s="13" t="s">
        <v>267</v>
      </c>
      <c r="C4" s="13"/>
      <c r="D4" s="13"/>
      <c r="E4" s="13"/>
      <c r="F4" s="13"/>
      <c r="G4" s="13"/>
      <c r="H4" s="13"/>
    </row>
    <row r="5" spans="1:8" ht="30" customHeight="1" x14ac:dyDescent="0.25">
      <c r="A5" s="14" t="s">
        <v>266</v>
      </c>
      <c r="B5" s="14" t="s">
        <v>267</v>
      </c>
      <c r="C5" s="15" t="s">
        <v>268</v>
      </c>
      <c r="D5" s="16" t="s">
        <v>269</v>
      </c>
      <c r="E5" s="22">
        <v>1</v>
      </c>
      <c r="F5" s="18" t="s">
        <v>1133</v>
      </c>
      <c r="G5" s="16" t="s">
        <v>928</v>
      </c>
      <c r="H5" s="16"/>
    </row>
    <row r="6" spans="1:8" ht="150" x14ac:dyDescent="0.25">
      <c r="A6" s="19" t="s">
        <v>266</v>
      </c>
      <c r="B6" s="19" t="s">
        <v>267</v>
      </c>
      <c r="C6" s="20" t="s">
        <v>270</v>
      </c>
      <c r="D6" s="21" t="s">
        <v>271</v>
      </c>
      <c r="E6" s="22">
        <v>1</v>
      </c>
      <c r="F6" s="18" t="s">
        <v>892</v>
      </c>
      <c r="G6" s="21" t="s">
        <v>929</v>
      </c>
      <c r="H6" s="21"/>
    </row>
    <row r="7" spans="1:8" ht="45" x14ac:dyDescent="0.25">
      <c r="A7" s="14" t="s">
        <v>266</v>
      </c>
      <c r="B7" s="14" t="s">
        <v>267</v>
      </c>
      <c r="C7" s="15" t="s">
        <v>272</v>
      </c>
      <c r="D7" s="16" t="s">
        <v>273</v>
      </c>
      <c r="E7" s="17">
        <v>2</v>
      </c>
      <c r="F7" s="18" t="s">
        <v>893</v>
      </c>
      <c r="G7" s="16" t="s">
        <v>931</v>
      </c>
      <c r="H7" s="16"/>
    </row>
    <row r="8" spans="1:8" ht="30" customHeight="1" x14ac:dyDescent="0.25">
      <c r="A8" s="19" t="s">
        <v>266</v>
      </c>
      <c r="B8" s="19" t="s">
        <v>267</v>
      </c>
      <c r="C8" s="20" t="s">
        <v>274</v>
      </c>
      <c r="D8" s="21" t="s">
        <v>275</v>
      </c>
      <c r="E8" s="23">
        <v>3</v>
      </c>
      <c r="F8" s="18" t="s">
        <v>893</v>
      </c>
      <c r="G8" s="21"/>
      <c r="H8" s="21"/>
    </row>
    <row r="9" spans="1:8" ht="60" x14ac:dyDescent="0.25">
      <c r="A9" s="14" t="s">
        <v>266</v>
      </c>
      <c r="B9" s="14" t="s">
        <v>267</v>
      </c>
      <c r="C9" s="15" t="s">
        <v>276</v>
      </c>
      <c r="D9" s="16" t="s">
        <v>277</v>
      </c>
      <c r="E9" s="23">
        <v>3</v>
      </c>
      <c r="F9" s="18" t="s">
        <v>893</v>
      </c>
      <c r="G9" s="16" t="s">
        <v>930</v>
      </c>
      <c r="H9" s="16"/>
    </row>
    <row r="10" spans="1:8" ht="30" customHeight="1" x14ac:dyDescent="0.25">
      <c r="A10" s="19" t="s">
        <v>266</v>
      </c>
      <c r="B10" s="19" t="s">
        <v>267</v>
      </c>
      <c r="C10" s="20" t="s">
        <v>278</v>
      </c>
      <c r="D10" s="21" t="s">
        <v>279</v>
      </c>
      <c r="E10" s="23">
        <v>3</v>
      </c>
      <c r="F10" s="18" t="s">
        <v>893</v>
      </c>
      <c r="G10" s="21"/>
      <c r="H10" s="21"/>
    </row>
    <row r="11" spans="1:8" ht="18" customHeight="1" x14ac:dyDescent="0.25">
      <c r="A11" s="13" t="s">
        <v>280</v>
      </c>
      <c r="B11" s="13" t="s">
        <v>281</v>
      </c>
      <c r="C11" s="13"/>
      <c r="D11" s="13"/>
      <c r="E11" s="13"/>
      <c r="F11" s="13"/>
      <c r="G11" s="13"/>
      <c r="H11" s="13"/>
    </row>
    <row r="12" spans="1:8" ht="30" customHeight="1" x14ac:dyDescent="0.25">
      <c r="A12" s="14" t="s">
        <v>280</v>
      </c>
      <c r="B12" s="14" t="s">
        <v>281</v>
      </c>
      <c r="C12" s="15" t="s">
        <v>282</v>
      </c>
      <c r="D12" s="16" t="s">
        <v>283</v>
      </c>
      <c r="E12" s="22">
        <v>1</v>
      </c>
      <c r="F12" s="18" t="s">
        <v>45</v>
      </c>
      <c r="G12" s="16"/>
      <c r="H12" s="16"/>
    </row>
    <row r="13" spans="1:8" ht="30" customHeight="1" x14ac:dyDescent="0.25">
      <c r="A13" s="19" t="s">
        <v>280</v>
      </c>
      <c r="B13" s="19" t="s">
        <v>281</v>
      </c>
      <c r="C13" s="20" t="s">
        <v>284</v>
      </c>
      <c r="D13" s="21" t="s">
        <v>285</v>
      </c>
      <c r="E13" s="22">
        <v>1</v>
      </c>
      <c r="F13" s="18" t="s">
        <v>45</v>
      </c>
      <c r="G13" s="21"/>
      <c r="H13" s="21"/>
    </row>
    <row r="14" spans="1:8" ht="60" x14ac:dyDescent="0.25">
      <c r="A14" s="14" t="s">
        <v>280</v>
      </c>
      <c r="B14" s="14" t="s">
        <v>281</v>
      </c>
      <c r="C14" s="15" t="s">
        <v>286</v>
      </c>
      <c r="D14" s="16" t="s">
        <v>287</v>
      </c>
      <c r="E14" s="23">
        <v>3</v>
      </c>
      <c r="F14" s="18" t="s">
        <v>893</v>
      </c>
      <c r="G14" s="16" t="s">
        <v>927</v>
      </c>
      <c r="H14" s="16"/>
    </row>
    <row r="15" spans="1:8" ht="18" customHeight="1" x14ac:dyDescent="0.25">
      <c r="A15" s="13" t="s">
        <v>288</v>
      </c>
      <c r="B15" s="13" t="s">
        <v>289</v>
      </c>
      <c r="C15" s="13"/>
      <c r="D15" s="13"/>
      <c r="E15" s="13"/>
      <c r="F15" s="13"/>
      <c r="G15" s="13"/>
      <c r="H15" s="13"/>
    </row>
    <row r="16" spans="1:8" ht="30" customHeight="1" x14ac:dyDescent="0.25">
      <c r="A16" s="14" t="s">
        <v>288</v>
      </c>
      <c r="B16" s="14" t="s">
        <v>289</v>
      </c>
      <c r="C16" s="15" t="s">
        <v>290</v>
      </c>
      <c r="D16" s="16" t="s">
        <v>291</v>
      </c>
      <c r="E16" s="17">
        <v>2</v>
      </c>
      <c r="F16" s="18" t="s">
        <v>45</v>
      </c>
      <c r="G16" s="16"/>
      <c r="H16" s="16"/>
    </row>
    <row r="17" spans="1:8" ht="30" customHeight="1" x14ac:dyDescent="0.25">
      <c r="A17" s="19" t="s">
        <v>288</v>
      </c>
      <c r="B17" s="19" t="s">
        <v>289</v>
      </c>
      <c r="C17" s="20" t="s">
        <v>292</v>
      </c>
      <c r="D17" s="21" t="s">
        <v>293</v>
      </c>
      <c r="E17" s="17">
        <v>2</v>
      </c>
      <c r="F17" s="18" t="s">
        <v>45</v>
      </c>
      <c r="G17" s="21"/>
      <c r="H17" s="21"/>
    </row>
    <row r="18" spans="1:8" ht="30" customHeight="1" x14ac:dyDescent="0.25">
      <c r="A18" s="14" t="s">
        <v>288</v>
      </c>
      <c r="B18" s="14" t="s">
        <v>289</v>
      </c>
      <c r="C18" s="15" t="s">
        <v>294</v>
      </c>
      <c r="D18" s="16" t="s">
        <v>295</v>
      </c>
      <c r="E18" s="17">
        <v>2</v>
      </c>
      <c r="F18" s="18" t="s">
        <v>45</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0" zoomScaleNormal="70" workbookViewId="0">
      <pane ySplit="1" topLeftCell="A39" activePane="bottomLeft" state="frozen"/>
      <selection pane="bottomLeft" activeCell="F54" sqref="F5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ht="18" customHeight="1" x14ac:dyDescent="0.25">
      <c r="A2" s="13" t="s">
        <v>296</v>
      </c>
      <c r="B2" s="13" t="s">
        <v>297</v>
      </c>
      <c r="C2" s="13"/>
      <c r="D2" s="13"/>
      <c r="E2" s="13"/>
      <c r="F2" s="13"/>
      <c r="G2" s="13"/>
      <c r="H2" s="13"/>
    </row>
    <row r="3" spans="1:8" ht="90" x14ac:dyDescent="0.25">
      <c r="A3" s="14" t="s">
        <v>296</v>
      </c>
      <c r="B3" s="14" t="s">
        <v>297</v>
      </c>
      <c r="C3" s="15" t="s">
        <v>298</v>
      </c>
      <c r="D3" s="16" t="s">
        <v>299</v>
      </c>
      <c r="E3" s="22">
        <v>1</v>
      </c>
      <c r="F3" s="18" t="s">
        <v>892</v>
      </c>
      <c r="G3" s="16" t="s">
        <v>1041</v>
      </c>
      <c r="H3" s="16"/>
    </row>
    <row r="4" spans="1:8" ht="75" x14ac:dyDescent="0.25">
      <c r="A4" s="19" t="s">
        <v>296</v>
      </c>
      <c r="B4" s="19" t="s">
        <v>297</v>
      </c>
      <c r="C4" s="20" t="s">
        <v>300</v>
      </c>
      <c r="D4" s="21" t="s">
        <v>301</v>
      </c>
      <c r="E4" s="17">
        <v>2</v>
      </c>
      <c r="F4" s="18" t="s">
        <v>892</v>
      </c>
      <c r="G4" s="21" t="s">
        <v>1040</v>
      </c>
      <c r="H4" s="21"/>
    </row>
    <row r="5" spans="1:8" ht="120" x14ac:dyDescent="0.25">
      <c r="A5" s="14" t="s">
        <v>296</v>
      </c>
      <c r="B5" s="14" t="s">
        <v>297</v>
      </c>
      <c r="C5" s="15" t="s">
        <v>302</v>
      </c>
      <c r="D5" s="16" t="s">
        <v>303</v>
      </c>
      <c r="E5" s="17">
        <v>2</v>
      </c>
      <c r="F5" s="18" t="s">
        <v>892</v>
      </c>
      <c r="G5" s="16" t="s">
        <v>1037</v>
      </c>
      <c r="H5" s="16"/>
    </row>
    <row r="6" spans="1:8" ht="18" customHeight="1" x14ac:dyDescent="0.25">
      <c r="A6" s="13" t="s">
        <v>304</v>
      </c>
      <c r="B6" s="13" t="s">
        <v>305</v>
      </c>
      <c r="C6" s="13"/>
      <c r="D6" s="13"/>
      <c r="E6" s="13"/>
      <c r="F6" s="13"/>
      <c r="G6" s="13"/>
      <c r="H6" s="13"/>
    </row>
    <row r="7" spans="1:8" ht="60" x14ac:dyDescent="0.25">
      <c r="A7" s="14" t="s">
        <v>304</v>
      </c>
      <c r="B7" s="14" t="s">
        <v>305</v>
      </c>
      <c r="C7" s="15" t="s">
        <v>306</v>
      </c>
      <c r="D7" s="16" t="s">
        <v>307</v>
      </c>
      <c r="E7" s="22">
        <v>1</v>
      </c>
      <c r="F7" s="18" t="s">
        <v>892</v>
      </c>
      <c r="G7" s="16" t="s">
        <v>1038</v>
      </c>
      <c r="H7" s="16"/>
    </row>
    <row r="8" spans="1:8" ht="60" x14ac:dyDescent="0.25">
      <c r="A8" s="19" t="s">
        <v>304</v>
      </c>
      <c r="B8" s="19" t="s">
        <v>305</v>
      </c>
      <c r="C8" s="20" t="s">
        <v>308</v>
      </c>
      <c r="D8" s="21" t="s">
        <v>309</v>
      </c>
      <c r="E8" s="22">
        <v>1</v>
      </c>
      <c r="F8" s="18" t="s">
        <v>892</v>
      </c>
      <c r="G8" s="21" t="s">
        <v>1039</v>
      </c>
      <c r="H8" s="21"/>
    </row>
    <row r="9" spans="1:8" ht="60" x14ac:dyDescent="0.25">
      <c r="A9" s="14" t="s">
        <v>304</v>
      </c>
      <c r="B9" s="14" t="s">
        <v>305</v>
      </c>
      <c r="C9" s="15" t="s">
        <v>310</v>
      </c>
      <c r="D9" s="16" t="s">
        <v>311</v>
      </c>
      <c r="E9" s="22">
        <v>1</v>
      </c>
      <c r="F9" s="18" t="s">
        <v>892</v>
      </c>
      <c r="G9" s="16" t="s">
        <v>1042</v>
      </c>
      <c r="H9" s="16"/>
    </row>
    <row r="10" spans="1:8" ht="105" x14ac:dyDescent="0.25">
      <c r="A10" s="19" t="s">
        <v>304</v>
      </c>
      <c r="B10" s="19" t="s">
        <v>305</v>
      </c>
      <c r="C10" s="20" t="s">
        <v>312</v>
      </c>
      <c r="D10" s="21" t="s">
        <v>313</v>
      </c>
      <c r="E10" s="22">
        <v>1</v>
      </c>
      <c r="F10" s="18" t="s">
        <v>892</v>
      </c>
      <c r="G10" s="21" t="s">
        <v>1043</v>
      </c>
      <c r="H10" s="21"/>
    </row>
    <row r="11" spans="1:8" ht="90" x14ac:dyDescent="0.25">
      <c r="A11" s="14" t="s">
        <v>304</v>
      </c>
      <c r="B11" s="14" t="s">
        <v>305</v>
      </c>
      <c r="C11" s="15" t="s">
        <v>314</v>
      </c>
      <c r="D11" s="16" t="s">
        <v>315</v>
      </c>
      <c r="E11" s="22">
        <v>1</v>
      </c>
      <c r="F11" s="18" t="s">
        <v>892</v>
      </c>
      <c r="G11" s="16" t="s">
        <v>1044</v>
      </c>
      <c r="H11" s="16"/>
    </row>
    <row r="12" spans="1:8" ht="60" x14ac:dyDescent="0.25">
      <c r="A12" s="19" t="s">
        <v>304</v>
      </c>
      <c r="B12" s="19" t="s">
        <v>305</v>
      </c>
      <c r="C12" s="20" t="s">
        <v>316</v>
      </c>
      <c r="D12" s="21" t="s">
        <v>317</v>
      </c>
      <c r="E12" s="22">
        <v>1</v>
      </c>
      <c r="F12" s="18" t="s">
        <v>893</v>
      </c>
      <c r="G12" s="21" t="s">
        <v>1045</v>
      </c>
      <c r="H12" s="21"/>
    </row>
    <row r="13" spans="1:8" ht="60" x14ac:dyDescent="0.25">
      <c r="A13" s="14" t="s">
        <v>304</v>
      </c>
      <c r="B13" s="14" t="s">
        <v>305</v>
      </c>
      <c r="C13" s="15" t="s">
        <v>318</v>
      </c>
      <c r="D13" s="16" t="s">
        <v>319</v>
      </c>
      <c r="E13" s="22">
        <v>1</v>
      </c>
      <c r="F13" s="18" t="s">
        <v>893</v>
      </c>
      <c r="G13" s="16" t="s">
        <v>1046</v>
      </c>
      <c r="H13" s="16"/>
    </row>
    <row r="14" spans="1:8" ht="75" x14ac:dyDescent="0.25">
      <c r="A14" s="19" t="s">
        <v>304</v>
      </c>
      <c r="B14" s="19" t="s">
        <v>305</v>
      </c>
      <c r="C14" s="20" t="s">
        <v>320</v>
      </c>
      <c r="D14" s="21" t="s">
        <v>321</v>
      </c>
      <c r="E14" s="22">
        <v>1</v>
      </c>
      <c r="F14" s="18" t="s">
        <v>1133</v>
      </c>
      <c r="G14" s="21" t="s">
        <v>1047</v>
      </c>
      <c r="H14" s="21"/>
    </row>
    <row r="15" spans="1:8" ht="60" x14ac:dyDescent="0.25">
      <c r="A15" s="14" t="s">
        <v>304</v>
      </c>
      <c r="B15" s="14" t="s">
        <v>305</v>
      </c>
      <c r="C15" s="15" t="s">
        <v>322</v>
      </c>
      <c r="D15" s="16" t="s">
        <v>323</v>
      </c>
      <c r="E15" s="17">
        <v>2</v>
      </c>
      <c r="F15" s="18" t="s">
        <v>892</v>
      </c>
      <c r="G15" s="16" t="s">
        <v>1048</v>
      </c>
      <c r="H15" s="16"/>
    </row>
    <row r="16" spans="1:8" ht="60" x14ac:dyDescent="0.25">
      <c r="A16" s="19" t="s">
        <v>304</v>
      </c>
      <c r="B16" s="19" t="s">
        <v>305</v>
      </c>
      <c r="C16" s="20" t="s">
        <v>324</v>
      </c>
      <c r="D16" s="21" t="s">
        <v>325</v>
      </c>
      <c r="E16" s="17">
        <v>2</v>
      </c>
      <c r="F16" s="18" t="s">
        <v>892</v>
      </c>
      <c r="G16" s="21" t="s">
        <v>1049</v>
      </c>
      <c r="H16" s="21"/>
    </row>
    <row r="17" spans="1:8" ht="90" x14ac:dyDescent="0.25">
      <c r="A17" s="14" t="s">
        <v>304</v>
      </c>
      <c r="B17" s="14" t="s">
        <v>305</v>
      </c>
      <c r="C17" s="15" t="s">
        <v>326</v>
      </c>
      <c r="D17" s="16" t="s">
        <v>327</v>
      </c>
      <c r="E17" s="17">
        <v>2</v>
      </c>
      <c r="F17" s="18" t="s">
        <v>892</v>
      </c>
      <c r="G17" s="16" t="s">
        <v>1051</v>
      </c>
      <c r="H17" s="16"/>
    </row>
    <row r="18" spans="1:8" ht="105" x14ac:dyDescent="0.25">
      <c r="A18" s="19" t="s">
        <v>304</v>
      </c>
      <c r="B18" s="19" t="s">
        <v>305</v>
      </c>
      <c r="C18" s="20" t="s">
        <v>328</v>
      </c>
      <c r="D18" s="21" t="s">
        <v>329</v>
      </c>
      <c r="E18" s="17">
        <v>2</v>
      </c>
      <c r="F18" s="18" t="s">
        <v>892</v>
      </c>
      <c r="G18" s="21" t="s">
        <v>1050</v>
      </c>
      <c r="H18" s="21"/>
    </row>
    <row r="19" spans="1:8" ht="18" customHeight="1" x14ac:dyDescent="0.25">
      <c r="A19" s="13" t="s">
        <v>330</v>
      </c>
      <c r="B19" s="13" t="s">
        <v>331</v>
      </c>
      <c r="C19" s="13"/>
      <c r="D19" s="13"/>
      <c r="E19" s="13"/>
      <c r="F19" s="13"/>
      <c r="G19" s="13"/>
      <c r="H19" s="13"/>
    </row>
    <row r="20" spans="1:8" ht="75" x14ac:dyDescent="0.25">
      <c r="A20" s="14" t="s">
        <v>330</v>
      </c>
      <c r="B20" s="14" t="s">
        <v>331</v>
      </c>
      <c r="C20" s="15" t="s">
        <v>332</v>
      </c>
      <c r="D20" s="16" t="s">
        <v>333</v>
      </c>
      <c r="E20" s="22">
        <v>1</v>
      </c>
      <c r="F20" s="18" t="s">
        <v>1133</v>
      </c>
      <c r="G20" s="16" t="s">
        <v>1052</v>
      </c>
      <c r="H20" s="16"/>
    </row>
    <row r="21" spans="1:8" ht="105" x14ac:dyDescent="0.25">
      <c r="A21" s="19" t="s">
        <v>330</v>
      </c>
      <c r="B21" s="19" t="s">
        <v>331</v>
      </c>
      <c r="C21" s="20" t="s">
        <v>334</v>
      </c>
      <c r="D21" s="21" t="s">
        <v>335</v>
      </c>
      <c r="E21" s="22">
        <v>1</v>
      </c>
      <c r="F21" s="18" t="s">
        <v>1133</v>
      </c>
      <c r="G21" s="21" t="s">
        <v>1053</v>
      </c>
      <c r="H21" s="21"/>
    </row>
    <row r="22" spans="1:8" ht="165" x14ac:dyDescent="0.25">
      <c r="A22" s="14" t="s">
        <v>330</v>
      </c>
      <c r="B22" s="14" t="s">
        <v>331</v>
      </c>
      <c r="C22" s="15" t="s">
        <v>336</v>
      </c>
      <c r="D22" s="16" t="s">
        <v>337</v>
      </c>
      <c r="E22" s="17">
        <v>2</v>
      </c>
      <c r="F22" s="18" t="s">
        <v>892</v>
      </c>
      <c r="G22" s="16" t="s">
        <v>1054</v>
      </c>
      <c r="H22" s="16"/>
    </row>
    <row r="23" spans="1:8" ht="75" x14ac:dyDescent="0.25">
      <c r="A23" s="19" t="s">
        <v>330</v>
      </c>
      <c r="B23" s="19" t="s">
        <v>331</v>
      </c>
      <c r="C23" s="20" t="s">
        <v>338</v>
      </c>
      <c r="D23" s="21" t="s">
        <v>339</v>
      </c>
      <c r="E23" s="17">
        <v>2</v>
      </c>
      <c r="F23" s="18" t="s">
        <v>892</v>
      </c>
      <c r="G23" s="21" t="s">
        <v>1055</v>
      </c>
      <c r="H23" s="21"/>
    </row>
    <row r="24" spans="1:8" ht="30" customHeight="1" x14ac:dyDescent="0.25">
      <c r="A24" s="14" t="s">
        <v>330</v>
      </c>
      <c r="B24" s="14" t="s">
        <v>331</v>
      </c>
      <c r="C24" s="15" t="s">
        <v>340</v>
      </c>
      <c r="D24" s="16" t="s">
        <v>341</v>
      </c>
      <c r="E24" s="23">
        <v>3</v>
      </c>
      <c r="F24" s="18" t="s">
        <v>893</v>
      </c>
      <c r="G24" s="16"/>
      <c r="H24" s="16"/>
    </row>
    <row r="25" spans="1:8" ht="30" customHeight="1" x14ac:dyDescent="0.25">
      <c r="A25" s="19" t="s">
        <v>330</v>
      </c>
      <c r="B25" s="19" t="s">
        <v>331</v>
      </c>
      <c r="C25" s="20" t="s">
        <v>342</v>
      </c>
      <c r="D25" s="21" t="s">
        <v>343</v>
      </c>
      <c r="E25" s="23">
        <v>3</v>
      </c>
      <c r="F25" s="18" t="s">
        <v>893</v>
      </c>
      <c r="G25" s="21"/>
      <c r="H25" s="21"/>
    </row>
    <row r="26" spans="1:8" ht="30" customHeight="1" x14ac:dyDescent="0.25">
      <c r="A26" s="14" t="s">
        <v>330</v>
      </c>
      <c r="B26" s="14" t="s">
        <v>331</v>
      </c>
      <c r="C26" s="15" t="s">
        <v>344</v>
      </c>
      <c r="D26" s="16" t="s">
        <v>345</v>
      </c>
      <c r="E26" s="23">
        <v>3</v>
      </c>
      <c r="F26" s="18" t="s">
        <v>893</v>
      </c>
      <c r="G26" s="16"/>
      <c r="H26" s="16"/>
    </row>
    <row r="27" spans="1:8" ht="30" customHeight="1" x14ac:dyDescent="0.25">
      <c r="A27" s="19" t="s">
        <v>330</v>
      </c>
      <c r="B27" s="19" t="s">
        <v>331</v>
      </c>
      <c r="C27" s="20" t="s">
        <v>346</v>
      </c>
      <c r="D27" s="21" t="s">
        <v>347</v>
      </c>
      <c r="E27" s="23">
        <v>3</v>
      </c>
      <c r="F27" s="18" t="s">
        <v>893</v>
      </c>
      <c r="G27" s="21"/>
      <c r="H27" s="21"/>
    </row>
    <row r="28" spans="1:8" ht="18" customHeight="1" x14ac:dyDescent="0.25">
      <c r="A28" s="13" t="s">
        <v>348</v>
      </c>
      <c r="B28" s="13" t="s">
        <v>349</v>
      </c>
      <c r="C28" s="13"/>
      <c r="D28" s="13"/>
      <c r="E28" s="13"/>
      <c r="F28" s="13"/>
      <c r="G28" s="13"/>
      <c r="H28" s="13"/>
    </row>
    <row r="29" spans="1:8" ht="90" x14ac:dyDescent="0.25">
      <c r="A29" s="14" t="s">
        <v>348</v>
      </c>
      <c r="B29" s="14" t="s">
        <v>349</v>
      </c>
      <c r="C29" s="15" t="s">
        <v>350</v>
      </c>
      <c r="D29" s="16" t="s">
        <v>351</v>
      </c>
      <c r="E29" s="22">
        <v>1</v>
      </c>
      <c r="F29" s="18" t="s">
        <v>892</v>
      </c>
      <c r="G29" s="16" t="s">
        <v>1056</v>
      </c>
      <c r="H29" s="16"/>
    </row>
    <row r="30" spans="1:8" ht="90" x14ac:dyDescent="0.25">
      <c r="A30" s="19" t="s">
        <v>348</v>
      </c>
      <c r="B30" s="19" t="s">
        <v>349</v>
      </c>
      <c r="C30" s="20" t="s">
        <v>352</v>
      </c>
      <c r="D30" s="21" t="s">
        <v>353</v>
      </c>
      <c r="E30" s="22">
        <v>1</v>
      </c>
      <c r="F30" s="18" t="s">
        <v>1133</v>
      </c>
      <c r="G30" s="21" t="s">
        <v>1057</v>
      </c>
      <c r="H30" s="21"/>
    </row>
    <row r="31" spans="1:8" ht="90" x14ac:dyDescent="0.25">
      <c r="A31" s="14" t="s">
        <v>348</v>
      </c>
      <c r="B31" s="14" t="s">
        <v>349</v>
      </c>
      <c r="C31" s="15" t="s">
        <v>354</v>
      </c>
      <c r="D31" s="16" t="s">
        <v>355</v>
      </c>
      <c r="E31" s="17">
        <v>2</v>
      </c>
      <c r="F31" s="18" t="s">
        <v>892</v>
      </c>
      <c r="G31" s="16" t="s">
        <v>1058</v>
      </c>
      <c r="H31" s="16"/>
    </row>
    <row r="32" spans="1:8" ht="60" x14ac:dyDescent="0.25">
      <c r="A32" s="19" t="s">
        <v>348</v>
      </c>
      <c r="B32" s="19" t="s">
        <v>349</v>
      </c>
      <c r="C32" s="20" t="s">
        <v>356</v>
      </c>
      <c r="D32" s="21" t="s">
        <v>357</v>
      </c>
      <c r="E32" s="17">
        <v>2</v>
      </c>
      <c r="F32" s="18" t="s">
        <v>892</v>
      </c>
      <c r="G32" s="21" t="s">
        <v>1059</v>
      </c>
      <c r="H32" s="21"/>
    </row>
    <row r="33" spans="1:8" ht="30" customHeight="1" x14ac:dyDescent="0.25">
      <c r="A33" s="14" t="s">
        <v>348</v>
      </c>
      <c r="B33" s="14" t="s">
        <v>349</v>
      </c>
      <c r="C33" s="15" t="s">
        <v>358</v>
      </c>
      <c r="D33" s="16" t="s">
        <v>359</v>
      </c>
      <c r="E33" s="23">
        <v>3</v>
      </c>
      <c r="F33" s="18" t="s">
        <v>893</v>
      </c>
      <c r="G33" s="16"/>
      <c r="H33" s="16"/>
    </row>
    <row r="34" spans="1:8" ht="30" customHeight="1" x14ac:dyDescent="0.25">
      <c r="A34" s="19" t="s">
        <v>348</v>
      </c>
      <c r="B34" s="19" t="s">
        <v>349</v>
      </c>
      <c r="C34" s="20" t="s">
        <v>360</v>
      </c>
      <c r="D34" s="21" t="s">
        <v>361</v>
      </c>
      <c r="E34" s="23">
        <v>3</v>
      </c>
      <c r="F34" s="18" t="s">
        <v>893</v>
      </c>
      <c r="G34" s="21"/>
      <c r="H34" s="21"/>
    </row>
    <row r="35" spans="1:8" ht="18" customHeight="1" x14ac:dyDescent="0.25">
      <c r="A35" s="13" t="s">
        <v>362</v>
      </c>
      <c r="B35" s="13" t="s">
        <v>363</v>
      </c>
      <c r="C35" s="13"/>
      <c r="D35" s="13"/>
      <c r="E35" s="13"/>
      <c r="F35" s="13"/>
      <c r="G35" s="13"/>
      <c r="H35" s="13"/>
    </row>
    <row r="36" spans="1:8" ht="75" x14ac:dyDescent="0.25">
      <c r="A36" s="14" t="s">
        <v>362</v>
      </c>
      <c r="B36" s="14" t="s">
        <v>363</v>
      </c>
      <c r="C36" s="15" t="s">
        <v>364</v>
      </c>
      <c r="D36" s="16" t="s">
        <v>365</v>
      </c>
      <c r="E36" s="17">
        <v>2</v>
      </c>
      <c r="F36" s="18" t="s">
        <v>892</v>
      </c>
      <c r="G36" s="16" t="s">
        <v>1063</v>
      </c>
      <c r="H36" s="16"/>
    </row>
    <row r="37" spans="1:8" ht="90" x14ac:dyDescent="0.25">
      <c r="A37" s="19" t="s">
        <v>362</v>
      </c>
      <c r="B37" s="19" t="s">
        <v>363</v>
      </c>
      <c r="C37" s="20" t="s">
        <v>366</v>
      </c>
      <c r="D37" s="21" t="s">
        <v>367</v>
      </c>
      <c r="E37" s="17">
        <v>2</v>
      </c>
      <c r="F37" s="18" t="s">
        <v>892</v>
      </c>
      <c r="G37" s="21" t="s">
        <v>1060</v>
      </c>
      <c r="H37" s="21"/>
    </row>
    <row r="38" spans="1:8" ht="105" x14ac:dyDescent="0.25">
      <c r="A38" s="14" t="s">
        <v>362</v>
      </c>
      <c r="B38" s="14" t="s">
        <v>363</v>
      </c>
      <c r="C38" s="15" t="s">
        <v>368</v>
      </c>
      <c r="D38" s="16" t="s">
        <v>369</v>
      </c>
      <c r="E38" s="17">
        <v>2</v>
      </c>
      <c r="F38" s="18" t="s">
        <v>892</v>
      </c>
      <c r="G38" s="16" t="s">
        <v>1061</v>
      </c>
      <c r="H38" s="16"/>
    </row>
    <row r="39" spans="1:8" ht="105" x14ac:dyDescent="0.25">
      <c r="A39" s="19" t="s">
        <v>362</v>
      </c>
      <c r="B39" s="19" t="s">
        <v>363</v>
      </c>
      <c r="C39" s="20" t="s">
        <v>370</v>
      </c>
      <c r="D39" s="21" t="s">
        <v>371</v>
      </c>
      <c r="E39" s="17">
        <v>2</v>
      </c>
      <c r="F39" s="18" t="s">
        <v>892</v>
      </c>
      <c r="G39" s="21" t="s">
        <v>1066</v>
      </c>
      <c r="H39" s="21"/>
    </row>
    <row r="40" spans="1:8" ht="75" x14ac:dyDescent="0.25">
      <c r="A40" s="14" t="s">
        <v>362</v>
      </c>
      <c r="B40" s="14" t="s">
        <v>363</v>
      </c>
      <c r="C40" s="15" t="s">
        <v>372</v>
      </c>
      <c r="D40" s="16" t="s">
        <v>373</v>
      </c>
      <c r="E40" s="17">
        <v>2</v>
      </c>
      <c r="F40" s="18" t="s">
        <v>892</v>
      </c>
      <c r="G40" s="16" t="s">
        <v>1062</v>
      </c>
      <c r="H40" s="16"/>
    </row>
    <row r="41" spans="1:8" ht="30" customHeight="1" x14ac:dyDescent="0.25">
      <c r="A41" s="19" t="s">
        <v>362</v>
      </c>
      <c r="B41" s="19" t="s">
        <v>363</v>
      </c>
      <c r="C41" s="20" t="s">
        <v>374</v>
      </c>
      <c r="D41" s="21" t="s">
        <v>375</v>
      </c>
      <c r="E41" s="23">
        <v>3</v>
      </c>
      <c r="F41" s="18" t="s">
        <v>893</v>
      </c>
      <c r="G41" s="21"/>
      <c r="H41" s="21"/>
    </row>
    <row r="42" spans="1:8" ht="30" customHeight="1" x14ac:dyDescent="0.25">
      <c r="A42" s="14" t="s">
        <v>362</v>
      </c>
      <c r="B42" s="14" t="s">
        <v>363</v>
      </c>
      <c r="C42" s="15" t="s">
        <v>376</v>
      </c>
      <c r="D42" s="16" t="s">
        <v>377</v>
      </c>
      <c r="E42" s="23">
        <v>3</v>
      </c>
      <c r="F42" s="18" t="s">
        <v>893</v>
      </c>
      <c r="G42" s="16"/>
      <c r="H42" s="16"/>
    </row>
    <row r="43" spans="1:8" ht="30" customHeight="1" x14ac:dyDescent="0.25">
      <c r="A43" s="19" t="s">
        <v>362</v>
      </c>
      <c r="B43" s="19" t="s">
        <v>363</v>
      </c>
      <c r="C43" s="20" t="s">
        <v>378</v>
      </c>
      <c r="D43" s="21" t="s">
        <v>379</v>
      </c>
      <c r="E43" s="23">
        <v>3</v>
      </c>
      <c r="F43" s="18" t="s">
        <v>893</v>
      </c>
      <c r="G43" s="21"/>
      <c r="H43" s="21"/>
    </row>
    <row r="44" spans="1:8" ht="18" customHeight="1" x14ac:dyDescent="0.25">
      <c r="A44" s="13" t="s">
        <v>380</v>
      </c>
      <c r="B44" s="13" t="s">
        <v>381</v>
      </c>
      <c r="C44" s="13"/>
      <c r="D44" s="13"/>
      <c r="E44" s="13"/>
      <c r="F44" s="13"/>
      <c r="G44" s="13"/>
      <c r="H44" s="13"/>
    </row>
    <row r="45" spans="1:8" ht="30" customHeight="1" x14ac:dyDescent="0.25">
      <c r="A45" s="14" t="s">
        <v>380</v>
      </c>
      <c r="B45" s="14" t="s">
        <v>381</v>
      </c>
      <c r="C45" s="15" t="s">
        <v>382</v>
      </c>
      <c r="D45" s="16" t="s">
        <v>383</v>
      </c>
      <c r="E45" s="17">
        <v>2</v>
      </c>
      <c r="F45" s="18" t="s">
        <v>893</v>
      </c>
      <c r="G45" s="16" t="s">
        <v>1064</v>
      </c>
      <c r="H45" s="16"/>
    </row>
    <row r="46" spans="1:8" ht="30" customHeight="1" x14ac:dyDescent="0.25">
      <c r="A46" s="19" t="s">
        <v>380</v>
      </c>
      <c r="B46" s="19" t="s">
        <v>381</v>
      </c>
      <c r="C46" s="20" t="s">
        <v>384</v>
      </c>
      <c r="D46" s="21" t="s">
        <v>385</v>
      </c>
      <c r="E46" s="17">
        <v>2</v>
      </c>
      <c r="F46" s="18" t="s">
        <v>892</v>
      </c>
      <c r="G46" s="21" t="s">
        <v>1065</v>
      </c>
      <c r="H46" s="21"/>
    </row>
    <row r="47" spans="1:8" ht="72" customHeight="1" x14ac:dyDescent="0.25">
      <c r="A47" s="14" t="s">
        <v>380</v>
      </c>
      <c r="B47" s="14" t="s">
        <v>381</v>
      </c>
      <c r="C47" s="15" t="s">
        <v>386</v>
      </c>
      <c r="D47" s="16" t="s">
        <v>387</v>
      </c>
      <c r="E47" s="17">
        <v>2</v>
      </c>
      <c r="F47" s="18" t="s">
        <v>892</v>
      </c>
      <c r="G47" s="16" t="s">
        <v>1067</v>
      </c>
      <c r="H47" s="16"/>
    </row>
    <row r="48" spans="1:8" ht="30" customHeight="1" x14ac:dyDescent="0.25">
      <c r="A48" s="19" t="s">
        <v>380</v>
      </c>
      <c r="B48" s="19" t="s">
        <v>381</v>
      </c>
      <c r="C48" s="20" t="s">
        <v>388</v>
      </c>
      <c r="D48" s="21" t="s">
        <v>389</v>
      </c>
      <c r="E48" s="23">
        <v>3</v>
      </c>
      <c r="F48" s="18" t="s">
        <v>893</v>
      </c>
      <c r="G48" s="21"/>
      <c r="H48" s="21"/>
    </row>
    <row r="49" spans="1:8" ht="18" customHeight="1" x14ac:dyDescent="0.25">
      <c r="A49" s="13" t="s">
        <v>390</v>
      </c>
      <c r="B49" s="13" t="s">
        <v>391</v>
      </c>
      <c r="C49" s="13"/>
      <c r="D49" s="13"/>
      <c r="E49" s="13"/>
      <c r="F49" s="13"/>
      <c r="G49" s="13"/>
      <c r="H49" s="13"/>
    </row>
    <row r="50" spans="1:8" ht="30" customHeight="1" x14ac:dyDescent="0.25">
      <c r="A50" s="14" t="s">
        <v>390</v>
      </c>
      <c r="B50" s="14" t="s">
        <v>391</v>
      </c>
      <c r="C50" s="15" t="s">
        <v>392</v>
      </c>
      <c r="D50" s="16" t="s">
        <v>393</v>
      </c>
      <c r="E50" s="23">
        <v>3</v>
      </c>
      <c r="F50" s="18" t="s">
        <v>893</v>
      </c>
      <c r="G50" s="16"/>
      <c r="H50" s="16"/>
    </row>
    <row r="51" spans="1:8" ht="30" customHeight="1" x14ac:dyDescent="0.25">
      <c r="A51" s="19" t="s">
        <v>390</v>
      </c>
      <c r="B51" s="19" t="s">
        <v>391</v>
      </c>
      <c r="C51" s="20" t="s">
        <v>394</v>
      </c>
      <c r="D51" s="21" t="s">
        <v>395</v>
      </c>
      <c r="E51" s="23">
        <v>3</v>
      </c>
      <c r="F51" s="18" t="s">
        <v>893</v>
      </c>
      <c r="G51" s="21"/>
      <c r="H51" s="21"/>
    </row>
    <row r="52" spans="1:8" ht="18" customHeight="1" x14ac:dyDescent="0.25">
      <c r="A52" s="13" t="s">
        <v>396</v>
      </c>
      <c r="B52" s="13" t="s">
        <v>397</v>
      </c>
      <c r="C52" s="13"/>
      <c r="D52" s="13"/>
      <c r="E52" s="13"/>
      <c r="F52" s="13"/>
      <c r="G52" s="13"/>
      <c r="H52" s="13"/>
    </row>
    <row r="53" spans="1:8" ht="90" x14ac:dyDescent="0.25">
      <c r="A53" s="14" t="s">
        <v>396</v>
      </c>
      <c r="B53" s="14" t="s">
        <v>397</v>
      </c>
      <c r="C53" s="15" t="s">
        <v>398</v>
      </c>
      <c r="D53" s="16" t="s">
        <v>399</v>
      </c>
      <c r="E53" s="17">
        <v>2</v>
      </c>
      <c r="F53" s="18" t="s">
        <v>893</v>
      </c>
      <c r="G53" s="16" t="s">
        <v>1068</v>
      </c>
      <c r="H53" s="16"/>
    </row>
    <row r="54" spans="1:8" ht="90" x14ac:dyDescent="0.25">
      <c r="A54" s="19" t="s">
        <v>396</v>
      </c>
      <c r="B54" s="19" t="s">
        <v>397</v>
      </c>
      <c r="C54" s="20" t="s">
        <v>400</v>
      </c>
      <c r="D54" s="21" t="s">
        <v>401</v>
      </c>
      <c r="E54" s="17">
        <v>2</v>
      </c>
      <c r="F54" s="18" t="s">
        <v>1133</v>
      </c>
      <c r="G54" s="21" t="s">
        <v>1069</v>
      </c>
      <c r="H54" s="21"/>
    </row>
    <row r="55" spans="1:8" ht="75" x14ac:dyDescent="0.25">
      <c r="A55" s="14" t="s">
        <v>396</v>
      </c>
      <c r="B55" s="14" t="s">
        <v>397</v>
      </c>
      <c r="C55" s="15" t="s">
        <v>402</v>
      </c>
      <c r="D55" s="16" t="s">
        <v>403</v>
      </c>
      <c r="E55" s="17">
        <v>2</v>
      </c>
      <c r="F55" s="18" t="s">
        <v>892</v>
      </c>
      <c r="G55" s="16" t="s">
        <v>1070</v>
      </c>
      <c r="H55" s="16"/>
    </row>
    <row r="56" spans="1:8" ht="150" x14ac:dyDescent="0.25">
      <c r="A56" s="19" t="s">
        <v>396</v>
      </c>
      <c r="B56" s="19" t="s">
        <v>397</v>
      </c>
      <c r="C56" s="20" t="s">
        <v>404</v>
      </c>
      <c r="D56" s="21" t="s">
        <v>405</v>
      </c>
      <c r="E56" s="17">
        <v>2</v>
      </c>
      <c r="F56" s="18" t="s">
        <v>893</v>
      </c>
      <c r="G56" s="21" t="s">
        <v>1071</v>
      </c>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activeCell="F23" sqref="F2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406</v>
      </c>
      <c r="B2" s="13" t="s">
        <v>407</v>
      </c>
      <c r="C2" s="13"/>
      <c r="D2" s="13"/>
      <c r="E2" s="13"/>
      <c r="F2" s="13"/>
      <c r="G2" s="13"/>
      <c r="H2" s="13"/>
    </row>
    <row r="3" spans="1:8" ht="30" customHeight="1" x14ac:dyDescent="0.25">
      <c r="A3" s="14" t="s">
        <v>406</v>
      </c>
      <c r="B3" s="14" t="s">
        <v>407</v>
      </c>
      <c r="C3" s="15" t="s">
        <v>408</v>
      </c>
      <c r="D3" s="16" t="s">
        <v>409</v>
      </c>
      <c r="E3" s="17">
        <v>2</v>
      </c>
      <c r="F3" s="18" t="s">
        <v>892</v>
      </c>
      <c r="G3" s="16" t="s">
        <v>1024</v>
      </c>
      <c r="H3" s="16"/>
    </row>
    <row r="4" spans="1:8" ht="30" customHeight="1" x14ac:dyDescent="0.25">
      <c r="A4" s="19" t="s">
        <v>406</v>
      </c>
      <c r="B4" s="19" t="s">
        <v>407</v>
      </c>
      <c r="C4" s="20" t="s">
        <v>410</v>
      </c>
      <c r="D4" s="21" t="s">
        <v>411</v>
      </c>
      <c r="E4" s="17">
        <v>2</v>
      </c>
      <c r="F4" s="18" t="s">
        <v>892</v>
      </c>
      <c r="G4" s="21" t="s">
        <v>1025</v>
      </c>
      <c r="H4" s="21"/>
    </row>
    <row r="5" spans="1:8" ht="30" customHeight="1" x14ac:dyDescent="0.25">
      <c r="A5" s="14" t="s">
        <v>406</v>
      </c>
      <c r="B5" s="14" t="s">
        <v>407</v>
      </c>
      <c r="C5" s="15" t="s">
        <v>412</v>
      </c>
      <c r="D5" s="16" t="s">
        <v>413</v>
      </c>
      <c r="E5" s="17">
        <v>2</v>
      </c>
      <c r="F5" s="18" t="s">
        <v>892</v>
      </c>
      <c r="G5" s="16" t="s">
        <v>1026</v>
      </c>
      <c r="H5" s="16"/>
    </row>
    <row r="6" spans="1:8" ht="18" customHeight="1" x14ac:dyDescent="0.25">
      <c r="A6" s="13" t="s">
        <v>414</v>
      </c>
      <c r="B6" s="13" t="s">
        <v>415</v>
      </c>
      <c r="C6" s="13"/>
      <c r="D6" s="13"/>
      <c r="E6" s="13"/>
      <c r="F6" s="13"/>
      <c r="G6" s="13"/>
      <c r="H6" s="13"/>
    </row>
    <row r="7" spans="1:8" ht="30" customHeight="1" x14ac:dyDescent="0.25">
      <c r="A7" s="14" t="s">
        <v>414</v>
      </c>
      <c r="B7" s="14" t="s">
        <v>415</v>
      </c>
      <c r="C7" s="15" t="s">
        <v>416</v>
      </c>
      <c r="D7" s="16" t="s">
        <v>417</v>
      </c>
      <c r="E7" s="22">
        <v>1</v>
      </c>
      <c r="F7" s="18" t="s">
        <v>45</v>
      </c>
      <c r="G7" s="16"/>
      <c r="H7" s="16"/>
    </row>
    <row r="8" spans="1:8" ht="30" customHeight="1" x14ac:dyDescent="0.25">
      <c r="A8" s="19" t="s">
        <v>414</v>
      </c>
      <c r="B8" s="19" t="s">
        <v>415</v>
      </c>
      <c r="C8" s="20" t="s">
        <v>418</v>
      </c>
      <c r="D8" s="21" t="s">
        <v>419</v>
      </c>
      <c r="E8" s="22">
        <v>1</v>
      </c>
      <c r="F8" s="18" t="s">
        <v>45</v>
      </c>
      <c r="G8" s="21"/>
      <c r="H8" s="21"/>
    </row>
    <row r="9" spans="1:8" ht="30" customHeight="1" x14ac:dyDescent="0.25">
      <c r="A9" s="14" t="s">
        <v>414</v>
      </c>
      <c r="B9" s="14" t="s">
        <v>415</v>
      </c>
      <c r="C9" s="15" t="s">
        <v>420</v>
      </c>
      <c r="D9" s="16" t="s">
        <v>421</v>
      </c>
      <c r="E9" s="22">
        <v>1</v>
      </c>
      <c r="F9" s="18" t="s">
        <v>45</v>
      </c>
      <c r="G9" s="16"/>
      <c r="H9" s="16"/>
    </row>
    <row r="10" spans="1:8" ht="30" customHeight="1" x14ac:dyDescent="0.25">
      <c r="A10" s="19" t="s">
        <v>414</v>
      </c>
      <c r="B10" s="19" t="s">
        <v>415</v>
      </c>
      <c r="C10" s="20" t="s">
        <v>422</v>
      </c>
      <c r="D10" s="21" t="s">
        <v>423</v>
      </c>
      <c r="E10" s="22">
        <v>1</v>
      </c>
      <c r="F10" s="18" t="s">
        <v>45</v>
      </c>
      <c r="G10" s="21"/>
      <c r="H10" s="21"/>
    </row>
    <row r="11" spans="1:8" ht="18" customHeight="1" x14ac:dyDescent="0.25">
      <c r="A11" s="13" t="s">
        <v>424</v>
      </c>
      <c r="B11" s="13" t="s">
        <v>425</v>
      </c>
      <c r="C11" s="13"/>
      <c r="D11" s="13"/>
      <c r="E11" s="13"/>
      <c r="F11" s="13"/>
      <c r="G11" s="13"/>
      <c r="H11" s="13"/>
    </row>
    <row r="12" spans="1:8" ht="30" customHeight="1" x14ac:dyDescent="0.25">
      <c r="A12" s="14" t="s">
        <v>424</v>
      </c>
      <c r="B12" s="14" t="s">
        <v>425</v>
      </c>
      <c r="C12" s="15" t="s">
        <v>426</v>
      </c>
      <c r="D12" s="16" t="s">
        <v>427</v>
      </c>
      <c r="E12" s="17">
        <v>2</v>
      </c>
      <c r="F12" s="18" t="s">
        <v>45</v>
      </c>
      <c r="G12" s="16"/>
      <c r="H12" s="16"/>
    </row>
    <row r="13" spans="1:8" ht="30" customHeight="1" x14ac:dyDescent="0.25">
      <c r="A13" s="19" t="s">
        <v>424</v>
      </c>
      <c r="B13" s="19" t="s">
        <v>425</v>
      </c>
      <c r="C13" s="20" t="s">
        <v>428</v>
      </c>
      <c r="D13" s="21" t="s">
        <v>429</v>
      </c>
      <c r="E13" s="17">
        <v>2</v>
      </c>
      <c r="F13" s="18" t="s">
        <v>45</v>
      </c>
      <c r="G13" s="21"/>
      <c r="H13" s="21"/>
    </row>
    <row r="14" spans="1:8" ht="18" customHeight="1" x14ac:dyDescent="0.25">
      <c r="A14" s="13" t="s">
        <v>430</v>
      </c>
      <c r="B14" s="13" t="s">
        <v>431</v>
      </c>
      <c r="C14" s="13"/>
      <c r="D14" s="13"/>
      <c r="E14" s="13"/>
      <c r="F14" s="13"/>
      <c r="G14" s="13"/>
      <c r="H14" s="13"/>
    </row>
    <row r="15" spans="1:8" ht="30" customHeight="1" x14ac:dyDescent="0.25">
      <c r="A15" s="14" t="s">
        <v>430</v>
      </c>
      <c r="B15" s="14" t="s">
        <v>431</v>
      </c>
      <c r="C15" s="15" t="s">
        <v>432</v>
      </c>
      <c r="D15" s="16" t="s">
        <v>433</v>
      </c>
      <c r="E15" s="22">
        <v>1</v>
      </c>
      <c r="F15" s="18" t="s">
        <v>45</v>
      </c>
      <c r="G15" s="16"/>
      <c r="H15" s="16"/>
    </row>
    <row r="16" spans="1:8" ht="30" customHeight="1" x14ac:dyDescent="0.25">
      <c r="A16" s="19" t="s">
        <v>430</v>
      </c>
      <c r="B16" s="19" t="s">
        <v>431</v>
      </c>
      <c r="C16" s="20" t="s">
        <v>434</v>
      </c>
      <c r="D16" s="21" t="s">
        <v>435</v>
      </c>
      <c r="E16" s="22">
        <v>1</v>
      </c>
      <c r="F16" s="18" t="s">
        <v>45</v>
      </c>
      <c r="G16" s="21"/>
      <c r="H16" s="21"/>
    </row>
    <row r="17" spans="1:8" ht="30" customHeight="1" x14ac:dyDescent="0.25">
      <c r="A17" s="14" t="s">
        <v>430</v>
      </c>
      <c r="B17" s="14" t="s">
        <v>431</v>
      </c>
      <c r="C17" s="15" t="s">
        <v>436</v>
      </c>
      <c r="D17" s="16" t="s">
        <v>437</v>
      </c>
      <c r="E17" s="17">
        <v>2</v>
      </c>
      <c r="F17" s="18" t="s">
        <v>45</v>
      </c>
      <c r="G17" s="16"/>
      <c r="H17" s="16"/>
    </row>
    <row r="18" spans="1:8" ht="30" customHeight="1" x14ac:dyDescent="0.25">
      <c r="A18" s="19" t="s">
        <v>430</v>
      </c>
      <c r="B18" s="19" t="s">
        <v>431</v>
      </c>
      <c r="C18" s="20" t="s">
        <v>438</v>
      </c>
      <c r="D18" s="21" t="s">
        <v>439</v>
      </c>
      <c r="E18" s="17">
        <v>2</v>
      </c>
      <c r="F18" s="18" t="s">
        <v>45</v>
      </c>
      <c r="G18" s="21"/>
      <c r="H18" s="21"/>
    </row>
    <row r="19" spans="1:8" ht="30" customHeight="1" x14ac:dyDescent="0.25">
      <c r="A19" s="14" t="s">
        <v>430</v>
      </c>
      <c r="B19" s="14" t="s">
        <v>431</v>
      </c>
      <c r="C19" s="15" t="s">
        <v>440</v>
      </c>
      <c r="D19" s="16" t="s">
        <v>441</v>
      </c>
      <c r="E19" s="17">
        <v>2</v>
      </c>
      <c r="F19" s="18" t="s">
        <v>45</v>
      </c>
      <c r="G19" s="16"/>
      <c r="H19" s="16"/>
    </row>
    <row r="20" spans="1:8" ht="18" customHeight="1" x14ac:dyDescent="0.25">
      <c r="A20" s="13" t="s">
        <v>442</v>
      </c>
      <c r="B20" s="13" t="s">
        <v>443</v>
      </c>
      <c r="C20" s="13"/>
      <c r="D20" s="13"/>
      <c r="E20" s="13"/>
      <c r="F20" s="13"/>
      <c r="G20" s="13"/>
      <c r="H20" s="13"/>
    </row>
    <row r="21" spans="1:8" ht="30" customHeight="1" x14ac:dyDescent="0.25">
      <c r="A21" s="14" t="s">
        <v>442</v>
      </c>
      <c r="B21" s="14" t="s">
        <v>443</v>
      </c>
      <c r="C21" s="15" t="s">
        <v>444</v>
      </c>
      <c r="D21" s="16" t="s">
        <v>445</v>
      </c>
      <c r="E21" s="17">
        <v>2</v>
      </c>
      <c r="F21" s="18" t="s">
        <v>45</v>
      </c>
      <c r="G21" s="16"/>
      <c r="H21" s="16"/>
    </row>
    <row r="22" spans="1:8" ht="30" customHeight="1" x14ac:dyDescent="0.25">
      <c r="A22" s="19" t="s">
        <v>442</v>
      </c>
      <c r="B22" s="19" t="s">
        <v>443</v>
      </c>
      <c r="C22" s="20" t="s">
        <v>446</v>
      </c>
      <c r="D22" s="21" t="s">
        <v>447</v>
      </c>
      <c r="E22" s="17">
        <v>2</v>
      </c>
      <c r="F22" s="18" t="s">
        <v>45</v>
      </c>
      <c r="G22" s="21"/>
      <c r="H22" s="21"/>
    </row>
    <row r="23" spans="1:8" ht="30" customHeight="1" x14ac:dyDescent="0.25">
      <c r="A23" s="14" t="s">
        <v>442</v>
      </c>
      <c r="B23" s="14" t="s">
        <v>443</v>
      </c>
      <c r="C23" s="15" t="s">
        <v>448</v>
      </c>
      <c r="D23" s="16" t="s">
        <v>449</v>
      </c>
      <c r="E23" s="23">
        <v>3</v>
      </c>
      <c r="F23" s="18" t="s">
        <v>893</v>
      </c>
      <c r="G23" s="16"/>
      <c r="H23" s="16"/>
    </row>
    <row r="24" spans="1:8" ht="18" customHeight="1" x14ac:dyDescent="0.25">
      <c r="A24" s="13" t="s">
        <v>450</v>
      </c>
      <c r="B24" s="13" t="s">
        <v>451</v>
      </c>
      <c r="C24" s="13"/>
      <c r="D24" s="13"/>
      <c r="E24" s="13"/>
      <c r="F24" s="13"/>
      <c r="G24" s="13"/>
      <c r="H24" s="13"/>
    </row>
    <row r="25" spans="1:8" ht="30" customHeight="1" x14ac:dyDescent="0.25">
      <c r="A25" s="14" t="s">
        <v>450</v>
      </c>
      <c r="B25" s="14" t="s">
        <v>451</v>
      </c>
      <c r="C25" s="15" t="s">
        <v>452</v>
      </c>
      <c r="D25" s="16" t="s">
        <v>453</v>
      </c>
      <c r="E25" s="17">
        <v>2</v>
      </c>
      <c r="F25" s="18" t="s">
        <v>45</v>
      </c>
      <c r="G25" s="16"/>
      <c r="H25" s="16"/>
    </row>
    <row r="26" spans="1:8" ht="30" customHeight="1" x14ac:dyDescent="0.25">
      <c r="A26" s="19" t="s">
        <v>450</v>
      </c>
      <c r="B26" s="19" t="s">
        <v>451</v>
      </c>
      <c r="C26" s="20" t="s">
        <v>454</v>
      </c>
      <c r="D26" s="21" t="s">
        <v>455</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F9" sqref="F9:F10"/>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456</v>
      </c>
      <c r="B2" s="13" t="s">
        <v>457</v>
      </c>
      <c r="C2" s="13"/>
      <c r="D2" s="13"/>
      <c r="E2" s="13"/>
      <c r="F2" s="13"/>
      <c r="G2" s="13"/>
      <c r="H2" s="13"/>
    </row>
    <row r="3" spans="1:8" ht="30" customHeight="1" x14ac:dyDescent="0.25">
      <c r="A3" s="14" t="s">
        <v>456</v>
      </c>
      <c r="B3" s="14" t="s">
        <v>457</v>
      </c>
      <c r="C3" s="15" t="s">
        <v>458</v>
      </c>
      <c r="D3" s="16" t="s">
        <v>459</v>
      </c>
      <c r="E3" s="22">
        <v>1</v>
      </c>
      <c r="F3" s="18" t="s">
        <v>892</v>
      </c>
      <c r="G3" s="16" t="s">
        <v>1027</v>
      </c>
      <c r="H3" s="16"/>
    </row>
    <row r="4" spans="1:8" ht="30" customHeight="1" x14ac:dyDescent="0.25">
      <c r="A4" s="19" t="s">
        <v>456</v>
      </c>
      <c r="B4" s="19" t="s">
        <v>457</v>
      </c>
      <c r="C4" s="20" t="s">
        <v>460</v>
      </c>
      <c r="D4" s="21" t="s">
        <v>461</v>
      </c>
      <c r="E4" s="17">
        <v>2</v>
      </c>
      <c r="F4" s="18" t="s">
        <v>892</v>
      </c>
      <c r="G4" s="21" t="s">
        <v>1028</v>
      </c>
      <c r="H4" s="21"/>
    </row>
    <row r="5" spans="1:8" ht="30" customHeight="1" x14ac:dyDescent="0.25">
      <c r="A5" s="14" t="s">
        <v>456</v>
      </c>
      <c r="B5" s="14" t="s">
        <v>457</v>
      </c>
      <c r="C5" s="15" t="s">
        <v>462</v>
      </c>
      <c r="D5" s="16" t="s">
        <v>463</v>
      </c>
      <c r="E5" s="23">
        <v>3</v>
      </c>
      <c r="F5" s="18" t="s">
        <v>893</v>
      </c>
      <c r="G5" s="16" t="s">
        <v>1029</v>
      </c>
      <c r="H5" s="16"/>
    </row>
    <row r="6" spans="1:8" ht="90" x14ac:dyDescent="0.25">
      <c r="A6" s="19" t="s">
        <v>456</v>
      </c>
      <c r="B6" s="19" t="s">
        <v>457</v>
      </c>
      <c r="C6" s="20" t="s">
        <v>464</v>
      </c>
      <c r="D6" s="21" t="s">
        <v>465</v>
      </c>
      <c r="E6" s="23">
        <v>3</v>
      </c>
      <c r="F6" s="18" t="s">
        <v>893</v>
      </c>
      <c r="G6" s="21" t="s">
        <v>1030</v>
      </c>
      <c r="H6" s="21"/>
    </row>
    <row r="7" spans="1:8" ht="18" customHeight="1" x14ac:dyDescent="0.25">
      <c r="A7" s="13" t="s">
        <v>466</v>
      </c>
      <c r="B7" s="13" t="s">
        <v>467</v>
      </c>
      <c r="C7" s="13"/>
      <c r="D7" s="13"/>
      <c r="E7" s="13"/>
      <c r="F7" s="13"/>
      <c r="G7" s="13"/>
      <c r="H7" s="13"/>
    </row>
    <row r="8" spans="1:8" ht="30" customHeight="1" x14ac:dyDescent="0.25">
      <c r="A8" s="14" t="s">
        <v>466</v>
      </c>
      <c r="B8" s="14" t="s">
        <v>467</v>
      </c>
      <c r="C8" s="15" t="s">
        <v>468</v>
      </c>
      <c r="D8" s="16" t="s">
        <v>469</v>
      </c>
      <c r="E8" s="22">
        <v>1</v>
      </c>
      <c r="F8" s="18" t="s">
        <v>1133</v>
      </c>
      <c r="G8" s="16" t="s">
        <v>1031</v>
      </c>
      <c r="H8" s="16"/>
    </row>
    <row r="9" spans="1:8" ht="30" customHeight="1" x14ac:dyDescent="0.25">
      <c r="A9" s="19" t="s">
        <v>466</v>
      </c>
      <c r="B9" s="19" t="s">
        <v>467</v>
      </c>
      <c r="C9" s="20" t="s">
        <v>470</v>
      </c>
      <c r="D9" s="21" t="s">
        <v>471</v>
      </c>
      <c r="E9" s="22">
        <v>1</v>
      </c>
      <c r="F9" s="18" t="s">
        <v>1133</v>
      </c>
      <c r="G9" s="21" t="s">
        <v>1032</v>
      </c>
      <c r="H9" s="21"/>
    </row>
    <row r="10" spans="1:8" ht="30" customHeight="1" x14ac:dyDescent="0.25">
      <c r="A10" s="14" t="s">
        <v>466</v>
      </c>
      <c r="B10" s="14" t="s">
        <v>467</v>
      </c>
      <c r="C10" s="15" t="s">
        <v>472</v>
      </c>
      <c r="D10" s="16" t="s">
        <v>473</v>
      </c>
      <c r="E10" s="17">
        <v>2</v>
      </c>
      <c r="F10" s="18" t="s">
        <v>1133</v>
      </c>
      <c r="G10" s="16" t="s">
        <v>1033</v>
      </c>
      <c r="H10" s="16"/>
    </row>
    <row r="11" spans="1:8" ht="105" x14ac:dyDescent="0.25">
      <c r="A11" s="19" t="s">
        <v>466</v>
      </c>
      <c r="B11" s="19" t="s">
        <v>467</v>
      </c>
      <c r="C11" s="20" t="s">
        <v>474</v>
      </c>
      <c r="D11" s="21" t="s">
        <v>475</v>
      </c>
      <c r="E11" s="23">
        <v>3</v>
      </c>
      <c r="F11" s="18" t="s">
        <v>893</v>
      </c>
      <c r="G11" s="21" t="s">
        <v>1034</v>
      </c>
      <c r="H11" s="21"/>
    </row>
    <row r="12" spans="1:8" ht="18" customHeight="1" x14ac:dyDescent="0.25">
      <c r="A12" s="13" t="s">
        <v>476</v>
      </c>
      <c r="B12" s="13" t="s">
        <v>477</v>
      </c>
      <c r="C12" s="13"/>
      <c r="D12" s="13"/>
      <c r="E12" s="13"/>
      <c r="F12" s="13"/>
      <c r="G12" s="13"/>
      <c r="H12" s="13"/>
    </row>
    <row r="13" spans="1:8" ht="30" customHeight="1" x14ac:dyDescent="0.25">
      <c r="A13" s="14" t="s">
        <v>476</v>
      </c>
      <c r="B13" s="14" t="s">
        <v>477</v>
      </c>
      <c r="C13" s="15" t="s">
        <v>478</v>
      </c>
      <c r="D13" s="16" t="s">
        <v>479</v>
      </c>
      <c r="E13" s="22">
        <v>1</v>
      </c>
      <c r="F13" s="18" t="s">
        <v>45</v>
      </c>
      <c r="G13" s="16"/>
      <c r="H13" s="16"/>
    </row>
    <row r="14" spans="1:8" ht="30" customHeight="1" x14ac:dyDescent="0.25">
      <c r="A14" s="19" t="s">
        <v>476</v>
      </c>
      <c r="B14" s="19" t="s">
        <v>477</v>
      </c>
      <c r="C14" s="20" t="s">
        <v>480</v>
      </c>
      <c r="D14" s="21" t="s">
        <v>481</v>
      </c>
      <c r="E14" s="23">
        <v>3</v>
      </c>
      <c r="F14" s="18" t="s">
        <v>893</v>
      </c>
      <c r="G14" s="21"/>
      <c r="H14" s="21"/>
    </row>
    <row r="15" spans="1:8" ht="30" customHeight="1" x14ac:dyDescent="0.25">
      <c r="A15" s="14" t="s">
        <v>476</v>
      </c>
      <c r="B15" s="14" t="s">
        <v>477</v>
      </c>
      <c r="C15" s="15" t="s">
        <v>482</v>
      </c>
      <c r="D15" s="16" t="s">
        <v>483</v>
      </c>
      <c r="E15" s="23">
        <v>3</v>
      </c>
      <c r="F15" s="18" t="s">
        <v>893</v>
      </c>
      <c r="G15" s="16" t="s">
        <v>1035</v>
      </c>
      <c r="H15" s="16"/>
    </row>
    <row r="16" spans="1:8" ht="18" customHeight="1" x14ac:dyDescent="0.25">
      <c r="A16" s="13" t="s">
        <v>484</v>
      </c>
      <c r="B16" s="13" t="s">
        <v>485</v>
      </c>
      <c r="C16" s="13"/>
      <c r="D16" s="13"/>
      <c r="E16" s="13"/>
      <c r="F16" s="13"/>
      <c r="G16" s="13"/>
      <c r="H16" s="13"/>
    </row>
    <row r="17" spans="1:8" ht="30" customHeight="1" x14ac:dyDescent="0.25">
      <c r="A17" s="14" t="s">
        <v>484</v>
      </c>
      <c r="B17" s="14" t="s">
        <v>485</v>
      </c>
      <c r="C17" s="15" t="s">
        <v>486</v>
      </c>
      <c r="D17" s="16" t="s">
        <v>487</v>
      </c>
      <c r="E17" s="17">
        <v>2</v>
      </c>
      <c r="F17" s="18" t="s">
        <v>893</v>
      </c>
      <c r="G17" s="16" t="s">
        <v>1036</v>
      </c>
      <c r="H17" s="16"/>
    </row>
    <row r="18" spans="1:8" ht="30" customHeight="1" x14ac:dyDescent="0.25">
      <c r="A18" s="19" t="s">
        <v>484</v>
      </c>
      <c r="B18" s="19" t="s">
        <v>485</v>
      </c>
      <c r="C18" s="20" t="s">
        <v>488</v>
      </c>
      <c r="D18" s="21" t="s">
        <v>489</v>
      </c>
      <c r="E18" s="23">
        <v>3</v>
      </c>
      <c r="F18" s="18" t="s">
        <v>893</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9" zoomScaleNormal="75" workbookViewId="0">
      <pane ySplit="1" topLeftCell="A2" activePane="bottomLeft" state="frozen"/>
      <selection pane="bottomLeft" activeCell="F7" sqref="F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490</v>
      </c>
      <c r="B2" s="13" t="s">
        <v>491</v>
      </c>
      <c r="C2" s="13"/>
      <c r="D2" s="13"/>
      <c r="E2" s="13"/>
      <c r="F2" s="13"/>
      <c r="G2" s="13"/>
      <c r="H2" s="13"/>
    </row>
    <row r="3" spans="1:8" ht="90" x14ac:dyDescent="0.25">
      <c r="A3" s="14" t="s">
        <v>490</v>
      </c>
      <c r="B3" s="14" t="s">
        <v>491</v>
      </c>
      <c r="C3" s="15" t="s">
        <v>492</v>
      </c>
      <c r="D3" s="16" t="s">
        <v>493</v>
      </c>
      <c r="E3" s="22">
        <v>1</v>
      </c>
      <c r="F3" s="18" t="s">
        <v>1133</v>
      </c>
      <c r="G3" s="16" t="s">
        <v>920</v>
      </c>
      <c r="H3" s="16"/>
    </row>
    <row r="4" spans="1:8" ht="105" x14ac:dyDescent="0.25">
      <c r="A4" s="19" t="s">
        <v>490</v>
      </c>
      <c r="B4" s="19" t="s">
        <v>491</v>
      </c>
      <c r="C4" s="20" t="s">
        <v>494</v>
      </c>
      <c r="D4" s="21" t="s">
        <v>495</v>
      </c>
      <c r="E4" s="22">
        <v>1</v>
      </c>
      <c r="F4" s="18" t="s">
        <v>1133</v>
      </c>
      <c r="G4" s="21" t="s">
        <v>921</v>
      </c>
      <c r="H4" s="21"/>
    </row>
    <row r="5" spans="1:8" ht="105" x14ac:dyDescent="0.25">
      <c r="A5" s="14" t="s">
        <v>490</v>
      </c>
      <c r="B5" s="14" t="s">
        <v>491</v>
      </c>
      <c r="C5" s="15" t="s">
        <v>496</v>
      </c>
      <c r="D5" s="16" t="s">
        <v>497</v>
      </c>
      <c r="E5" s="22">
        <v>1</v>
      </c>
      <c r="F5" s="18" t="s">
        <v>1133</v>
      </c>
      <c r="G5" s="16" t="s">
        <v>924</v>
      </c>
      <c r="H5" s="16"/>
    </row>
    <row r="6" spans="1:8" ht="18" customHeight="1" x14ac:dyDescent="0.25">
      <c r="A6" s="13" t="s">
        <v>498</v>
      </c>
      <c r="B6" s="13" t="s">
        <v>499</v>
      </c>
      <c r="C6" s="13"/>
      <c r="D6" s="13"/>
      <c r="E6" s="13"/>
      <c r="F6" s="13"/>
      <c r="G6" s="13"/>
      <c r="H6" s="13"/>
    </row>
    <row r="7" spans="1:8" ht="75" x14ac:dyDescent="0.25">
      <c r="A7" s="14" t="s">
        <v>498</v>
      </c>
      <c r="B7" s="14" t="s">
        <v>499</v>
      </c>
      <c r="C7" s="15" t="s">
        <v>500</v>
      </c>
      <c r="D7" s="16" t="s">
        <v>501</v>
      </c>
      <c r="E7" s="22">
        <v>1</v>
      </c>
      <c r="F7" s="18" t="s">
        <v>1133</v>
      </c>
      <c r="G7" s="16" t="s">
        <v>925</v>
      </c>
      <c r="H7" s="16"/>
    </row>
    <row r="8" spans="1:8" ht="75" x14ac:dyDescent="0.25">
      <c r="A8" s="19" t="s">
        <v>498</v>
      </c>
      <c r="B8" s="19" t="s">
        <v>499</v>
      </c>
      <c r="C8" s="20" t="s">
        <v>502</v>
      </c>
      <c r="D8" s="21" t="s">
        <v>503</v>
      </c>
      <c r="E8" s="17">
        <v>2</v>
      </c>
      <c r="F8" s="18" t="s">
        <v>892</v>
      </c>
      <c r="G8" s="21" t="s">
        <v>926</v>
      </c>
      <c r="H8" s="21"/>
    </row>
    <row r="9" spans="1:8" ht="75" x14ac:dyDescent="0.25">
      <c r="A9" s="14" t="s">
        <v>498</v>
      </c>
      <c r="B9" s="14" t="s">
        <v>499</v>
      </c>
      <c r="C9" s="15" t="s">
        <v>504</v>
      </c>
      <c r="D9" s="16" t="s">
        <v>505</v>
      </c>
      <c r="E9" s="17">
        <v>2</v>
      </c>
      <c r="F9" s="18" t="s">
        <v>892</v>
      </c>
      <c r="G9" s="16" t="s">
        <v>923</v>
      </c>
      <c r="H9" s="16"/>
    </row>
    <row r="10" spans="1:8" ht="120" x14ac:dyDescent="0.25">
      <c r="A10" s="19" t="s">
        <v>498</v>
      </c>
      <c r="B10" s="19" t="s">
        <v>499</v>
      </c>
      <c r="C10" s="20" t="s">
        <v>506</v>
      </c>
      <c r="D10" s="21" t="s">
        <v>507</v>
      </c>
      <c r="E10" s="17">
        <v>2</v>
      </c>
      <c r="F10" s="18" t="s">
        <v>892</v>
      </c>
      <c r="G10" s="21" t="s">
        <v>922</v>
      </c>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Normal="100" workbookViewId="0">
      <pane ySplit="1" topLeftCell="A34" activePane="bottomLeft" state="frozen"/>
      <selection pane="bottomLeft" activeCell="F12" sqref="F12"/>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508</v>
      </c>
      <c r="B2" s="13" t="s">
        <v>509</v>
      </c>
      <c r="C2" s="13"/>
      <c r="D2" s="13"/>
      <c r="E2" s="13"/>
      <c r="F2" s="13"/>
      <c r="G2" s="13"/>
      <c r="H2" s="13"/>
    </row>
    <row r="3" spans="1:8" ht="75" x14ac:dyDescent="0.25">
      <c r="A3" s="14" t="s">
        <v>508</v>
      </c>
      <c r="B3" s="14" t="s">
        <v>509</v>
      </c>
      <c r="C3" s="15" t="s">
        <v>510</v>
      </c>
      <c r="D3" s="16" t="s">
        <v>511</v>
      </c>
      <c r="E3" s="17">
        <v>2</v>
      </c>
      <c r="F3" s="18" t="s">
        <v>1133</v>
      </c>
      <c r="G3" s="16" t="s">
        <v>1098</v>
      </c>
      <c r="H3" s="16"/>
    </row>
    <row r="4" spans="1:8" ht="135" x14ac:dyDescent="0.25">
      <c r="A4" s="19" t="s">
        <v>508</v>
      </c>
      <c r="B4" s="19" t="s">
        <v>509</v>
      </c>
      <c r="C4" s="20" t="s">
        <v>512</v>
      </c>
      <c r="D4" s="21" t="s">
        <v>513</v>
      </c>
      <c r="E4" s="17">
        <v>2</v>
      </c>
      <c r="F4" s="18" t="s">
        <v>1133</v>
      </c>
      <c r="G4" s="21" t="s">
        <v>1099</v>
      </c>
      <c r="H4" s="21"/>
    </row>
    <row r="5" spans="1:8" ht="18" customHeight="1" x14ac:dyDescent="0.25">
      <c r="A5" s="13" t="s">
        <v>514</v>
      </c>
      <c r="B5" s="13" t="s">
        <v>515</v>
      </c>
      <c r="C5" s="13"/>
      <c r="D5" s="13"/>
      <c r="E5" s="13"/>
      <c r="F5" s="13"/>
      <c r="G5" s="13"/>
      <c r="H5" s="13"/>
    </row>
    <row r="6" spans="1:8" ht="105" x14ac:dyDescent="0.25">
      <c r="A6" s="14" t="s">
        <v>514</v>
      </c>
      <c r="B6" s="14" t="s">
        <v>515</v>
      </c>
      <c r="C6" s="15" t="s">
        <v>516</v>
      </c>
      <c r="D6" s="16" t="s">
        <v>517</v>
      </c>
      <c r="E6" s="17">
        <v>2</v>
      </c>
      <c r="F6" s="18" t="s">
        <v>893</v>
      </c>
      <c r="G6" s="16" t="s">
        <v>1100</v>
      </c>
      <c r="H6" s="16"/>
    </row>
    <row r="7" spans="1:8" ht="75" x14ac:dyDescent="0.25">
      <c r="A7" s="19" t="s">
        <v>514</v>
      </c>
      <c r="B7" s="19" t="s">
        <v>515</v>
      </c>
      <c r="C7" s="20" t="s">
        <v>518</v>
      </c>
      <c r="D7" s="21" t="s">
        <v>519</v>
      </c>
      <c r="E7" s="17">
        <v>2</v>
      </c>
      <c r="F7" s="18" t="s">
        <v>893</v>
      </c>
      <c r="G7" s="21" t="s">
        <v>1101</v>
      </c>
      <c r="H7" s="21"/>
    </row>
    <row r="8" spans="1:8" ht="45" x14ac:dyDescent="0.25">
      <c r="A8" s="14" t="s">
        <v>514</v>
      </c>
      <c r="B8" s="14" t="s">
        <v>515</v>
      </c>
      <c r="C8" s="15" t="s">
        <v>520</v>
      </c>
      <c r="D8" s="16" t="s">
        <v>521</v>
      </c>
      <c r="E8" s="23">
        <v>3</v>
      </c>
      <c r="F8" s="18" t="s">
        <v>893</v>
      </c>
      <c r="G8" s="16"/>
      <c r="H8" s="16"/>
    </row>
    <row r="9" spans="1:8" ht="18" customHeight="1" x14ac:dyDescent="0.25">
      <c r="A9" s="13" t="s">
        <v>522</v>
      </c>
      <c r="B9" s="13" t="s">
        <v>523</v>
      </c>
      <c r="C9" s="13"/>
      <c r="D9" s="13"/>
      <c r="E9" s="13"/>
      <c r="F9" s="13"/>
      <c r="G9" s="13"/>
      <c r="H9" s="13"/>
    </row>
    <row r="10" spans="1:8" ht="90" x14ac:dyDescent="0.25">
      <c r="A10" s="14" t="s">
        <v>522</v>
      </c>
      <c r="B10" s="14" t="s">
        <v>523</v>
      </c>
      <c r="C10" s="15" t="s">
        <v>524</v>
      </c>
      <c r="D10" s="16" t="s">
        <v>525</v>
      </c>
      <c r="E10" s="17">
        <v>2</v>
      </c>
      <c r="F10" s="18" t="s">
        <v>892</v>
      </c>
      <c r="G10" s="16" t="s">
        <v>1102</v>
      </c>
      <c r="H10" s="16"/>
    </row>
    <row r="11" spans="1:8" ht="106.5" customHeight="1" x14ac:dyDescent="0.25">
      <c r="A11" s="19" t="s">
        <v>522</v>
      </c>
      <c r="B11" s="19" t="s">
        <v>523</v>
      </c>
      <c r="C11" s="20" t="s">
        <v>526</v>
      </c>
      <c r="D11" s="21" t="s">
        <v>527</v>
      </c>
      <c r="E11" s="17">
        <v>2</v>
      </c>
      <c r="F11" s="18" t="s">
        <v>1133</v>
      </c>
      <c r="G11" s="21" t="s">
        <v>1103</v>
      </c>
      <c r="H11" s="21"/>
    </row>
    <row r="12" spans="1:8" ht="87" customHeight="1" x14ac:dyDescent="0.25">
      <c r="A12" s="14" t="s">
        <v>522</v>
      </c>
      <c r="B12" s="14" t="s">
        <v>523</v>
      </c>
      <c r="C12" s="15" t="s">
        <v>528</v>
      </c>
      <c r="D12" s="16" t="s">
        <v>529</v>
      </c>
      <c r="E12" s="17">
        <v>2</v>
      </c>
      <c r="F12" s="18" t="s">
        <v>1133</v>
      </c>
      <c r="G12" s="16" t="s">
        <v>1104</v>
      </c>
      <c r="H12" s="16"/>
    </row>
    <row r="13" spans="1:8" ht="73.150000000000006" customHeight="1" x14ac:dyDescent="0.25">
      <c r="A13" s="19" t="s">
        <v>522</v>
      </c>
      <c r="B13" s="19" t="s">
        <v>523</v>
      </c>
      <c r="C13" s="20" t="s">
        <v>530</v>
      </c>
      <c r="D13" s="21" t="s">
        <v>531</v>
      </c>
      <c r="E13" s="17">
        <v>2</v>
      </c>
      <c r="F13" s="18" t="s">
        <v>893</v>
      </c>
      <c r="G13" s="21" t="s">
        <v>1105</v>
      </c>
      <c r="H13" s="21"/>
    </row>
    <row r="14" spans="1:8" ht="100.5" customHeight="1" x14ac:dyDescent="0.25">
      <c r="A14" s="14" t="s">
        <v>522</v>
      </c>
      <c r="B14" s="14" t="s">
        <v>523</v>
      </c>
      <c r="C14" s="15" t="s">
        <v>532</v>
      </c>
      <c r="D14" s="16" t="s">
        <v>533</v>
      </c>
      <c r="E14" s="23">
        <v>3</v>
      </c>
      <c r="F14" s="18" t="s">
        <v>893</v>
      </c>
      <c r="G14" s="16" t="s">
        <v>1106</v>
      </c>
      <c r="H14" s="16"/>
    </row>
    <row r="15" spans="1:8" ht="18" customHeight="1" x14ac:dyDescent="0.25">
      <c r="A15" s="13" t="s">
        <v>534</v>
      </c>
      <c r="B15" s="13" t="s">
        <v>535</v>
      </c>
      <c r="C15" s="13"/>
      <c r="D15" s="13"/>
      <c r="E15" s="13"/>
      <c r="F15" s="13"/>
      <c r="G15" s="13"/>
      <c r="H15" s="13"/>
    </row>
    <row r="16" spans="1:8" ht="60" x14ac:dyDescent="0.25">
      <c r="A16" s="14" t="s">
        <v>534</v>
      </c>
      <c r="B16" s="14" t="s">
        <v>535</v>
      </c>
      <c r="C16" s="15" t="s">
        <v>536</v>
      </c>
      <c r="D16" s="16" t="s">
        <v>537</v>
      </c>
      <c r="E16" s="22">
        <v>1</v>
      </c>
      <c r="F16" s="18" t="s">
        <v>892</v>
      </c>
      <c r="G16" s="16" t="s">
        <v>1107</v>
      </c>
      <c r="H16" s="16"/>
    </row>
    <row r="17" spans="1:8" ht="90" x14ac:dyDescent="0.25">
      <c r="A17" s="19" t="s">
        <v>534</v>
      </c>
      <c r="B17" s="19" t="s">
        <v>535</v>
      </c>
      <c r="C17" s="20" t="s">
        <v>538</v>
      </c>
      <c r="D17" s="21" t="s">
        <v>539</v>
      </c>
      <c r="E17" s="22">
        <v>1</v>
      </c>
      <c r="F17" s="18" t="s">
        <v>892</v>
      </c>
      <c r="G17" s="21" t="s">
        <v>1108</v>
      </c>
      <c r="H17" s="21"/>
    </row>
    <row r="18" spans="1:8" ht="45" x14ac:dyDescent="0.25">
      <c r="A18" s="14" t="s">
        <v>534</v>
      </c>
      <c r="B18" s="14" t="s">
        <v>535</v>
      </c>
      <c r="C18" s="15" t="s">
        <v>540</v>
      </c>
      <c r="D18" s="16" t="s">
        <v>541</v>
      </c>
      <c r="E18" s="22">
        <v>1</v>
      </c>
      <c r="F18" s="18" t="s">
        <v>892</v>
      </c>
      <c r="G18" s="16" t="s">
        <v>1109</v>
      </c>
      <c r="H18" s="16"/>
    </row>
    <row r="19" spans="1:8" ht="105.75" customHeight="1" x14ac:dyDescent="0.25">
      <c r="A19" s="19" t="s">
        <v>534</v>
      </c>
      <c r="B19" s="19" t="s">
        <v>535</v>
      </c>
      <c r="C19" s="20" t="s">
        <v>542</v>
      </c>
      <c r="D19" s="21" t="s">
        <v>543</v>
      </c>
      <c r="E19" s="22">
        <v>1</v>
      </c>
      <c r="F19" s="18" t="s">
        <v>892</v>
      </c>
      <c r="G19" s="21" t="s">
        <v>1110</v>
      </c>
      <c r="H19" s="21"/>
    </row>
    <row r="20" spans="1:8" ht="135" x14ac:dyDescent="0.25">
      <c r="A20" s="14" t="s">
        <v>534</v>
      </c>
      <c r="B20" s="14" t="s">
        <v>535</v>
      </c>
      <c r="C20" s="15" t="s">
        <v>544</v>
      </c>
      <c r="D20" s="16" t="s">
        <v>545</v>
      </c>
      <c r="E20" s="22">
        <v>1</v>
      </c>
      <c r="F20" s="18" t="s">
        <v>892</v>
      </c>
      <c r="G20" s="16" t="s">
        <v>1111</v>
      </c>
      <c r="H20" s="16"/>
    </row>
    <row r="21" spans="1:8" ht="105" x14ac:dyDescent="0.25">
      <c r="A21" s="19" t="s">
        <v>534</v>
      </c>
      <c r="B21" s="19" t="s">
        <v>535</v>
      </c>
      <c r="C21" s="20" t="s">
        <v>546</v>
      </c>
      <c r="D21" s="21" t="s">
        <v>547</v>
      </c>
      <c r="E21" s="17">
        <v>2</v>
      </c>
      <c r="F21" s="18" t="s">
        <v>892</v>
      </c>
      <c r="G21" s="21" t="s">
        <v>1112</v>
      </c>
      <c r="H21" s="21"/>
    </row>
    <row r="22" spans="1:8" ht="90" x14ac:dyDescent="0.25">
      <c r="A22" s="14" t="s">
        <v>534</v>
      </c>
      <c r="B22" s="14" t="s">
        <v>535</v>
      </c>
      <c r="C22" s="15" t="s">
        <v>548</v>
      </c>
      <c r="D22" s="16" t="s">
        <v>549</v>
      </c>
      <c r="E22" s="17">
        <v>2</v>
      </c>
      <c r="F22" s="18" t="s">
        <v>893</v>
      </c>
      <c r="G22" s="16" t="s">
        <v>1113</v>
      </c>
      <c r="H22" s="16"/>
    </row>
    <row r="23" spans="1:8" ht="73.900000000000006" customHeight="1" x14ac:dyDescent="0.25">
      <c r="A23" s="19" t="s">
        <v>534</v>
      </c>
      <c r="B23" s="19" t="s">
        <v>535</v>
      </c>
      <c r="C23" s="20" t="s">
        <v>550</v>
      </c>
      <c r="D23" s="21" t="s">
        <v>551</v>
      </c>
      <c r="E23" s="17">
        <v>2</v>
      </c>
      <c r="F23" s="18" t="s">
        <v>892</v>
      </c>
      <c r="G23" s="21" t="s">
        <v>1114</v>
      </c>
      <c r="H23" s="21"/>
    </row>
    <row r="24" spans="1:8" ht="107.25" customHeight="1" x14ac:dyDescent="0.25">
      <c r="A24" s="14" t="s">
        <v>534</v>
      </c>
      <c r="B24" s="14" t="s">
        <v>535</v>
      </c>
      <c r="C24" s="15" t="s">
        <v>552</v>
      </c>
      <c r="D24" s="16" t="s">
        <v>553</v>
      </c>
      <c r="E24" s="17">
        <v>2</v>
      </c>
      <c r="F24" s="18" t="s">
        <v>892</v>
      </c>
      <c r="G24" s="16" t="s">
        <v>1115</v>
      </c>
      <c r="H24" s="16"/>
    </row>
    <row r="25" spans="1:8" ht="90" x14ac:dyDescent="0.25">
      <c r="A25" s="19" t="s">
        <v>534</v>
      </c>
      <c r="B25" s="19" t="s">
        <v>535</v>
      </c>
      <c r="C25" s="20" t="s">
        <v>554</v>
      </c>
      <c r="D25" s="21" t="s">
        <v>555</v>
      </c>
      <c r="E25" s="17">
        <v>2</v>
      </c>
      <c r="F25" s="18" t="s">
        <v>892</v>
      </c>
      <c r="G25" s="21" t="s">
        <v>1116</v>
      </c>
      <c r="H25" s="21"/>
    </row>
    <row r="26" spans="1:8" ht="100.5" customHeight="1" x14ac:dyDescent="0.25">
      <c r="A26" s="14" t="s">
        <v>534</v>
      </c>
      <c r="B26" s="14" t="s">
        <v>535</v>
      </c>
      <c r="C26" s="15" t="s">
        <v>556</v>
      </c>
      <c r="D26" s="16" t="s">
        <v>557</v>
      </c>
      <c r="E26" s="17">
        <v>2</v>
      </c>
      <c r="F26" s="18" t="s">
        <v>892</v>
      </c>
      <c r="G26" s="16" t="s">
        <v>1117</v>
      </c>
      <c r="H26" s="16"/>
    </row>
    <row r="27" spans="1:8" ht="75" x14ac:dyDescent="0.25">
      <c r="A27" s="19" t="s">
        <v>534</v>
      </c>
      <c r="B27" s="19" t="s">
        <v>535</v>
      </c>
      <c r="C27" s="20" t="s">
        <v>558</v>
      </c>
      <c r="D27" s="21" t="s">
        <v>559</v>
      </c>
      <c r="E27" s="23">
        <v>3</v>
      </c>
      <c r="F27" s="18" t="s">
        <v>893</v>
      </c>
      <c r="G27" s="21" t="s">
        <v>1118</v>
      </c>
      <c r="H27" s="21"/>
    </row>
    <row r="28" spans="1:8" ht="30" x14ac:dyDescent="0.25">
      <c r="A28" s="14" t="s">
        <v>534</v>
      </c>
      <c r="B28" s="14" t="s">
        <v>535</v>
      </c>
      <c r="C28" s="15" t="s">
        <v>560</v>
      </c>
      <c r="D28" s="16" t="s">
        <v>561</v>
      </c>
      <c r="E28" s="23">
        <v>3</v>
      </c>
      <c r="F28" s="18" t="s">
        <v>893</v>
      </c>
      <c r="G28" s="16" t="s">
        <v>1119</v>
      </c>
      <c r="H28" s="16"/>
    </row>
    <row r="29" spans="1:8" ht="60" x14ac:dyDescent="0.25">
      <c r="A29" s="19" t="s">
        <v>534</v>
      </c>
      <c r="B29" s="19" t="s">
        <v>535</v>
      </c>
      <c r="C29" s="20" t="s">
        <v>562</v>
      </c>
      <c r="D29" s="21" t="s">
        <v>563</v>
      </c>
      <c r="E29" s="23">
        <v>3</v>
      </c>
      <c r="F29" s="18" t="s">
        <v>893</v>
      </c>
      <c r="G29" s="21" t="s">
        <v>1120</v>
      </c>
      <c r="H29" s="21"/>
    </row>
    <row r="30" spans="1:8" ht="90" x14ac:dyDescent="0.25">
      <c r="A30" s="14" t="s">
        <v>534</v>
      </c>
      <c r="B30" s="14" t="s">
        <v>535</v>
      </c>
      <c r="C30" s="15" t="s">
        <v>564</v>
      </c>
      <c r="D30" s="16" t="s">
        <v>565</v>
      </c>
      <c r="E30" s="23">
        <v>3</v>
      </c>
      <c r="F30" s="18" t="s">
        <v>893</v>
      </c>
      <c r="G30" s="16" t="s">
        <v>1121</v>
      </c>
      <c r="H30" s="16"/>
    </row>
    <row r="31" spans="1:8" ht="75" x14ac:dyDescent="0.25">
      <c r="A31" s="19" t="s">
        <v>534</v>
      </c>
      <c r="B31" s="19" t="s">
        <v>535</v>
      </c>
      <c r="C31" s="20" t="s">
        <v>566</v>
      </c>
      <c r="D31" s="21" t="s">
        <v>567</v>
      </c>
      <c r="E31" s="23">
        <v>3</v>
      </c>
      <c r="F31" s="18" t="s">
        <v>893</v>
      </c>
      <c r="G31" s="21" t="s">
        <v>1122</v>
      </c>
      <c r="H31" s="21"/>
    </row>
    <row r="32" spans="1:8" ht="18" customHeight="1" x14ac:dyDescent="0.25">
      <c r="A32" s="13" t="s">
        <v>568</v>
      </c>
      <c r="B32" s="13" t="s">
        <v>569</v>
      </c>
      <c r="C32" s="13"/>
      <c r="D32" s="13"/>
      <c r="E32" s="13"/>
      <c r="F32" s="13"/>
      <c r="G32" s="13"/>
      <c r="H32" s="13"/>
    </row>
    <row r="33" spans="1:8" ht="90" x14ac:dyDescent="0.25">
      <c r="A33" s="14" t="s">
        <v>568</v>
      </c>
      <c r="B33" s="14" t="s">
        <v>569</v>
      </c>
      <c r="C33" s="15" t="s">
        <v>570</v>
      </c>
      <c r="D33" s="16" t="s">
        <v>571</v>
      </c>
      <c r="E33" s="17">
        <v>2</v>
      </c>
      <c r="F33" s="18" t="s">
        <v>892</v>
      </c>
      <c r="G33" s="16" t="s">
        <v>1124</v>
      </c>
      <c r="H33" s="16"/>
    </row>
    <row r="34" spans="1:8" ht="86.25" customHeight="1" x14ac:dyDescent="0.25">
      <c r="A34" s="19" t="s">
        <v>568</v>
      </c>
      <c r="B34" s="19" t="s">
        <v>569</v>
      </c>
      <c r="C34" s="20" t="s">
        <v>572</v>
      </c>
      <c r="D34" s="21" t="s">
        <v>573</v>
      </c>
      <c r="E34" s="17">
        <v>2</v>
      </c>
      <c r="F34" s="18" t="s">
        <v>1133</v>
      </c>
      <c r="G34" s="21" t="s">
        <v>1123</v>
      </c>
      <c r="H34" s="21"/>
    </row>
    <row r="35" spans="1:8" ht="120" customHeight="1" x14ac:dyDescent="0.25">
      <c r="A35" s="14" t="s">
        <v>568</v>
      </c>
      <c r="B35" s="14" t="s">
        <v>569</v>
      </c>
      <c r="C35" s="15" t="s">
        <v>574</v>
      </c>
      <c r="D35" s="16" t="s">
        <v>575</v>
      </c>
      <c r="E35" s="17">
        <v>2</v>
      </c>
      <c r="F35" s="18" t="s">
        <v>1133</v>
      </c>
      <c r="G35" s="16" t="s">
        <v>1125</v>
      </c>
      <c r="H35" s="16"/>
    </row>
    <row r="36" spans="1:8" ht="96" customHeight="1" x14ac:dyDescent="0.25">
      <c r="A36" s="19" t="s">
        <v>568</v>
      </c>
      <c r="B36" s="19" t="s">
        <v>569</v>
      </c>
      <c r="C36" s="20" t="s">
        <v>576</v>
      </c>
      <c r="D36" s="21" t="s">
        <v>577</v>
      </c>
      <c r="E36" s="17">
        <v>2</v>
      </c>
      <c r="F36" s="18" t="s">
        <v>892</v>
      </c>
      <c r="G36" s="21" t="s">
        <v>1126</v>
      </c>
      <c r="H36" s="21"/>
    </row>
    <row r="37" spans="1:8" ht="105" x14ac:dyDescent="0.25">
      <c r="A37" s="14" t="s">
        <v>568</v>
      </c>
      <c r="B37" s="14" t="s">
        <v>569</v>
      </c>
      <c r="C37" s="15" t="s">
        <v>578</v>
      </c>
      <c r="D37" s="16" t="s">
        <v>579</v>
      </c>
      <c r="E37" s="17">
        <v>2</v>
      </c>
      <c r="F37" s="18" t="s">
        <v>893</v>
      </c>
      <c r="G37" s="16" t="s">
        <v>1127</v>
      </c>
      <c r="H37" s="16"/>
    </row>
    <row r="38" spans="1:8" ht="18" customHeight="1" x14ac:dyDescent="0.25">
      <c r="A38" s="13" t="s">
        <v>580</v>
      </c>
      <c r="B38" s="13" t="s">
        <v>581</v>
      </c>
      <c r="C38" s="13"/>
      <c r="D38" s="13"/>
      <c r="E38" s="13"/>
      <c r="F38" s="13"/>
      <c r="G38" s="13"/>
      <c r="H38" s="13"/>
    </row>
    <row r="39" spans="1:8" ht="75" x14ac:dyDescent="0.25">
      <c r="A39" s="14" t="s">
        <v>580</v>
      </c>
      <c r="B39" s="14" t="s">
        <v>581</v>
      </c>
      <c r="C39" s="15" t="s">
        <v>582</v>
      </c>
      <c r="D39" s="16" t="s">
        <v>583</v>
      </c>
      <c r="E39" s="17">
        <v>2</v>
      </c>
      <c r="F39" s="18" t="s">
        <v>892</v>
      </c>
      <c r="G39" s="16" t="s">
        <v>1128</v>
      </c>
      <c r="H39" s="16"/>
    </row>
    <row r="40" spans="1:8" ht="106.5" customHeight="1" x14ac:dyDescent="0.25">
      <c r="A40" s="19" t="s">
        <v>580</v>
      </c>
      <c r="B40" s="19" t="s">
        <v>581</v>
      </c>
      <c r="C40" s="20" t="s">
        <v>584</v>
      </c>
      <c r="D40" s="21" t="s">
        <v>585</v>
      </c>
      <c r="E40" s="17">
        <v>2</v>
      </c>
      <c r="F40" s="18" t="s">
        <v>892</v>
      </c>
      <c r="G40" s="21" t="s">
        <v>1129</v>
      </c>
      <c r="H40" s="21"/>
    </row>
    <row r="41" spans="1:8" ht="18" customHeight="1" x14ac:dyDescent="0.25">
      <c r="A41" s="13" t="s">
        <v>586</v>
      </c>
      <c r="B41" s="13" t="s">
        <v>587</v>
      </c>
      <c r="C41" s="13"/>
      <c r="D41" s="13"/>
      <c r="E41" s="13"/>
      <c r="F41" s="13"/>
      <c r="G41" s="13"/>
      <c r="H41" s="13"/>
    </row>
    <row r="42" spans="1:8" ht="138" customHeight="1" x14ac:dyDescent="0.25">
      <c r="A42" s="14" t="s">
        <v>586</v>
      </c>
      <c r="B42" s="14" t="s">
        <v>587</v>
      </c>
      <c r="C42" s="15" t="s">
        <v>588</v>
      </c>
      <c r="D42" s="16" t="s">
        <v>589</v>
      </c>
      <c r="E42" s="17">
        <v>2</v>
      </c>
      <c r="F42" s="18" t="s">
        <v>892</v>
      </c>
      <c r="G42" s="16" t="s">
        <v>1130</v>
      </c>
      <c r="H42" s="16"/>
    </row>
    <row r="43" spans="1:8" ht="105" x14ac:dyDescent="0.25">
      <c r="A43" s="19" t="s">
        <v>586</v>
      </c>
      <c r="B43" s="19" t="s">
        <v>587</v>
      </c>
      <c r="C43" s="20" t="s">
        <v>590</v>
      </c>
      <c r="D43" s="21" t="s">
        <v>591</v>
      </c>
      <c r="E43" s="17">
        <v>2</v>
      </c>
      <c r="F43" s="18" t="s">
        <v>892</v>
      </c>
      <c r="G43" s="21" t="s">
        <v>1131</v>
      </c>
      <c r="H43" s="21"/>
    </row>
    <row r="44" spans="1:8" ht="111" customHeight="1" x14ac:dyDescent="0.25">
      <c r="A44" s="14" t="s">
        <v>586</v>
      </c>
      <c r="B44" s="14" t="s">
        <v>587</v>
      </c>
      <c r="C44" s="15" t="s">
        <v>592</v>
      </c>
      <c r="D44" s="16" t="s">
        <v>593</v>
      </c>
      <c r="E44" s="17">
        <v>2</v>
      </c>
      <c r="F44" s="18" t="s">
        <v>892</v>
      </c>
      <c r="G44" s="16" t="s">
        <v>1132</v>
      </c>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5" activePane="bottomLeft" state="frozen"/>
      <selection pane="bottomLeft" activeCell="F28" sqref="F2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x14ac:dyDescent="0.25">
      <c r="A2" s="13" t="s">
        <v>594</v>
      </c>
      <c r="B2" s="13" t="s">
        <v>595</v>
      </c>
      <c r="C2" s="13"/>
      <c r="D2" s="13"/>
      <c r="E2" s="13"/>
      <c r="F2" s="13"/>
      <c r="G2" s="13"/>
      <c r="H2" s="13"/>
    </row>
    <row r="3" spans="1:8" ht="210" x14ac:dyDescent="0.25">
      <c r="A3" s="14" t="s">
        <v>594</v>
      </c>
      <c r="B3" s="14" t="s">
        <v>595</v>
      </c>
      <c r="C3" s="15" t="s">
        <v>596</v>
      </c>
      <c r="D3" s="16" t="s">
        <v>597</v>
      </c>
      <c r="E3" s="17">
        <v>2</v>
      </c>
      <c r="F3" s="18" t="s">
        <v>892</v>
      </c>
      <c r="G3" s="16" t="s">
        <v>937</v>
      </c>
      <c r="H3" s="16"/>
    </row>
    <row r="4" spans="1:8" ht="180" x14ac:dyDescent="0.25">
      <c r="A4" s="19" t="s">
        <v>594</v>
      </c>
      <c r="B4" s="19" t="s">
        <v>595</v>
      </c>
      <c r="C4" s="20" t="s">
        <v>598</v>
      </c>
      <c r="D4" s="21" t="s">
        <v>599</v>
      </c>
      <c r="E4" s="17">
        <v>2</v>
      </c>
      <c r="F4" s="18" t="s">
        <v>892</v>
      </c>
      <c r="G4" s="16" t="s">
        <v>938</v>
      </c>
      <c r="H4" s="21"/>
    </row>
    <row r="5" spans="1:8" ht="45" x14ac:dyDescent="0.25">
      <c r="A5" s="14" t="s">
        <v>594</v>
      </c>
      <c r="B5" s="14" t="s">
        <v>595</v>
      </c>
      <c r="C5" s="15" t="s">
        <v>600</v>
      </c>
      <c r="D5" s="16" t="s">
        <v>601</v>
      </c>
      <c r="E5" s="23">
        <v>3</v>
      </c>
      <c r="F5" s="18" t="s">
        <v>893</v>
      </c>
      <c r="G5" s="21"/>
      <c r="H5" s="16"/>
    </row>
    <row r="6" spans="1:8" ht="60" x14ac:dyDescent="0.25">
      <c r="A6" s="19" t="s">
        <v>594</v>
      </c>
      <c r="B6" s="19" t="s">
        <v>595</v>
      </c>
      <c r="C6" s="20" t="s">
        <v>602</v>
      </c>
      <c r="D6" s="21" t="s">
        <v>603</v>
      </c>
      <c r="E6" s="23">
        <v>3</v>
      </c>
      <c r="F6" s="18" t="s">
        <v>893</v>
      </c>
      <c r="G6" s="16"/>
      <c r="H6" s="21"/>
    </row>
    <row r="7" spans="1:8" x14ac:dyDescent="0.25">
      <c r="A7" s="13" t="s">
        <v>604</v>
      </c>
      <c r="B7" s="13" t="s">
        <v>605</v>
      </c>
      <c r="C7" s="13"/>
      <c r="D7" s="13"/>
      <c r="E7" s="13"/>
      <c r="F7" s="13"/>
      <c r="G7" s="13"/>
      <c r="H7" s="13"/>
    </row>
    <row r="8" spans="1:8" ht="165" x14ac:dyDescent="0.25">
      <c r="A8" s="14" t="s">
        <v>604</v>
      </c>
      <c r="B8" s="14" t="s">
        <v>605</v>
      </c>
      <c r="C8" s="15" t="s">
        <v>606</v>
      </c>
      <c r="D8" s="16" t="s">
        <v>607</v>
      </c>
      <c r="E8" s="17">
        <v>2</v>
      </c>
      <c r="F8" s="18" t="s">
        <v>1133</v>
      </c>
      <c r="G8" s="16" t="s">
        <v>939</v>
      </c>
      <c r="H8" s="16"/>
    </row>
    <row r="9" spans="1:8" ht="225" x14ac:dyDescent="0.25">
      <c r="A9" s="19" t="s">
        <v>604</v>
      </c>
      <c r="B9" s="19" t="s">
        <v>605</v>
      </c>
      <c r="C9" s="20" t="s">
        <v>608</v>
      </c>
      <c r="D9" s="21" t="s">
        <v>609</v>
      </c>
      <c r="E9" s="17">
        <v>2</v>
      </c>
      <c r="F9" s="18" t="s">
        <v>892</v>
      </c>
      <c r="G9" s="21" t="s">
        <v>940</v>
      </c>
      <c r="H9" s="21"/>
    </row>
    <row r="10" spans="1:8" ht="150" x14ac:dyDescent="0.25">
      <c r="A10" s="14" t="s">
        <v>604</v>
      </c>
      <c r="B10" s="14" t="s">
        <v>605</v>
      </c>
      <c r="C10" s="15" t="s">
        <v>610</v>
      </c>
      <c r="D10" s="16" t="s">
        <v>611</v>
      </c>
      <c r="E10" s="17">
        <v>2</v>
      </c>
      <c r="F10" s="18" t="s">
        <v>1133</v>
      </c>
      <c r="G10" s="16" t="s">
        <v>941</v>
      </c>
      <c r="H10" s="16"/>
    </row>
    <row r="11" spans="1:8" ht="240" x14ac:dyDescent="0.25">
      <c r="A11" s="19" t="s">
        <v>604</v>
      </c>
      <c r="B11" s="19" t="s">
        <v>605</v>
      </c>
      <c r="C11" s="20" t="s">
        <v>612</v>
      </c>
      <c r="D11" s="21" t="s">
        <v>613</v>
      </c>
      <c r="E11" s="23">
        <v>3</v>
      </c>
      <c r="F11" s="18" t="s">
        <v>1133</v>
      </c>
      <c r="G11" s="21" t="s">
        <v>942</v>
      </c>
      <c r="H11" s="21"/>
    </row>
    <row r="12" spans="1:8" ht="195" x14ac:dyDescent="0.25">
      <c r="A12" s="14" t="s">
        <v>604</v>
      </c>
      <c r="B12" s="14" t="s">
        <v>605</v>
      </c>
      <c r="C12" s="15" t="s">
        <v>614</v>
      </c>
      <c r="D12" s="16" t="s">
        <v>615</v>
      </c>
      <c r="E12" s="23">
        <v>3</v>
      </c>
      <c r="F12" s="18" t="s">
        <v>893</v>
      </c>
      <c r="G12" s="16" t="s">
        <v>943</v>
      </c>
      <c r="H12" s="16"/>
    </row>
    <row r="13" spans="1:8" x14ac:dyDescent="0.25">
      <c r="A13" s="13" t="s">
        <v>616</v>
      </c>
      <c r="B13" s="13" t="s">
        <v>617</v>
      </c>
      <c r="C13" s="13"/>
      <c r="D13" s="13"/>
      <c r="E13" s="13"/>
      <c r="F13" s="13"/>
      <c r="G13" s="13"/>
      <c r="H13" s="13"/>
    </row>
    <row r="14" spans="1:8" ht="150" x14ac:dyDescent="0.25">
      <c r="A14" s="14" t="s">
        <v>616</v>
      </c>
      <c r="B14" s="14" t="s">
        <v>617</v>
      </c>
      <c r="C14" s="15" t="s">
        <v>618</v>
      </c>
      <c r="D14" s="16" t="s">
        <v>619</v>
      </c>
      <c r="E14" s="22">
        <v>1</v>
      </c>
      <c r="F14" s="18" t="s">
        <v>1133</v>
      </c>
      <c r="G14" s="16" t="s">
        <v>944</v>
      </c>
      <c r="H14" s="16"/>
    </row>
    <row r="15" spans="1:8" ht="150" x14ac:dyDescent="0.25">
      <c r="A15" s="19" t="s">
        <v>616</v>
      </c>
      <c r="B15" s="19" t="s">
        <v>617</v>
      </c>
      <c r="C15" s="20" t="s">
        <v>620</v>
      </c>
      <c r="D15" s="21" t="s">
        <v>621</v>
      </c>
      <c r="E15" s="22">
        <v>1</v>
      </c>
      <c r="F15" s="18" t="s">
        <v>1133</v>
      </c>
      <c r="G15" s="21" t="s">
        <v>945</v>
      </c>
      <c r="H15" s="21"/>
    </row>
    <row r="16" spans="1:8" ht="150" x14ac:dyDescent="0.25">
      <c r="A16" s="14" t="s">
        <v>616</v>
      </c>
      <c r="B16" s="14" t="s">
        <v>617</v>
      </c>
      <c r="C16" s="15" t="s">
        <v>622</v>
      </c>
      <c r="D16" s="16" t="s">
        <v>623</v>
      </c>
      <c r="E16" s="17">
        <v>2</v>
      </c>
      <c r="F16" s="18" t="s">
        <v>1133</v>
      </c>
      <c r="G16" s="16" t="s">
        <v>946</v>
      </c>
      <c r="H16" s="16"/>
    </row>
    <row r="17" spans="1:8" ht="60" x14ac:dyDescent="0.25">
      <c r="A17" s="19" t="s">
        <v>616</v>
      </c>
      <c r="B17" s="19" t="s">
        <v>617</v>
      </c>
      <c r="C17" s="20" t="s">
        <v>624</v>
      </c>
      <c r="D17" s="21" t="s">
        <v>625</v>
      </c>
      <c r="E17" s="23">
        <v>3</v>
      </c>
      <c r="F17" s="18" t="s">
        <v>893</v>
      </c>
      <c r="G17" s="21"/>
      <c r="H17" s="21"/>
    </row>
    <row r="18" spans="1:8" ht="195" x14ac:dyDescent="0.25">
      <c r="A18" s="14" t="s">
        <v>616</v>
      </c>
      <c r="B18" s="14" t="s">
        <v>617</v>
      </c>
      <c r="C18" s="15" t="s">
        <v>626</v>
      </c>
      <c r="D18" s="16" t="s">
        <v>627</v>
      </c>
      <c r="E18" s="23">
        <v>3</v>
      </c>
      <c r="F18" s="18" t="s">
        <v>893</v>
      </c>
      <c r="G18" s="21" t="s">
        <v>947</v>
      </c>
      <c r="H18" s="16"/>
    </row>
    <row r="19" spans="1:8" x14ac:dyDescent="0.25">
      <c r="A19" s="13" t="s">
        <v>628</v>
      </c>
      <c r="B19" s="13" t="s">
        <v>629</v>
      </c>
      <c r="C19" s="13"/>
      <c r="D19" s="13"/>
      <c r="E19" s="13"/>
      <c r="F19" s="13"/>
      <c r="G19" s="13"/>
      <c r="H19" s="13"/>
    </row>
    <row r="20" spans="1:8" ht="135" x14ac:dyDescent="0.25">
      <c r="A20" s="14" t="s">
        <v>628</v>
      </c>
      <c r="B20" s="14" t="s">
        <v>629</v>
      </c>
      <c r="C20" s="15" t="s">
        <v>630</v>
      </c>
      <c r="D20" s="16" t="s">
        <v>631</v>
      </c>
      <c r="E20" s="22">
        <v>1</v>
      </c>
      <c r="F20" s="18" t="s">
        <v>1133</v>
      </c>
      <c r="G20" s="27" t="s">
        <v>948</v>
      </c>
      <c r="H20" s="16"/>
    </row>
    <row r="21" spans="1:8" ht="195" x14ac:dyDescent="0.25">
      <c r="A21" s="19" t="s">
        <v>628</v>
      </c>
      <c r="B21" s="19" t="s">
        <v>629</v>
      </c>
      <c r="C21" s="20" t="s">
        <v>632</v>
      </c>
      <c r="D21" s="21" t="s">
        <v>633</v>
      </c>
      <c r="E21" s="17">
        <v>2</v>
      </c>
      <c r="F21" s="18" t="s">
        <v>1133</v>
      </c>
      <c r="G21" s="27" t="s">
        <v>949</v>
      </c>
      <c r="H21" s="21"/>
    </row>
    <row r="22" spans="1:8" ht="180" x14ac:dyDescent="0.25">
      <c r="A22" s="14" t="s">
        <v>628</v>
      </c>
      <c r="B22" s="14" t="s">
        <v>629</v>
      </c>
      <c r="C22" s="15" t="s">
        <v>634</v>
      </c>
      <c r="D22" s="16" t="s">
        <v>635</v>
      </c>
      <c r="E22" s="17">
        <v>2</v>
      </c>
      <c r="F22" s="18" t="s">
        <v>1133</v>
      </c>
      <c r="G22" s="27" t="s">
        <v>950</v>
      </c>
      <c r="H22" s="16"/>
    </row>
    <row r="23" spans="1:8" ht="180" x14ac:dyDescent="0.25">
      <c r="A23" s="19" t="s">
        <v>628</v>
      </c>
      <c r="B23" s="19" t="s">
        <v>629</v>
      </c>
      <c r="C23" s="20" t="s">
        <v>636</v>
      </c>
      <c r="D23" s="21" t="s">
        <v>637</v>
      </c>
      <c r="E23" s="17">
        <v>2</v>
      </c>
      <c r="F23" s="18" t="s">
        <v>1133</v>
      </c>
      <c r="G23" s="21" t="s">
        <v>951</v>
      </c>
      <c r="H23" s="21"/>
    </row>
    <row r="24" spans="1:8" x14ac:dyDescent="0.25">
      <c r="A24" s="13" t="s">
        <v>638</v>
      </c>
      <c r="B24" s="13" t="s">
        <v>639</v>
      </c>
      <c r="C24" s="13"/>
      <c r="D24" s="13"/>
      <c r="E24" s="13"/>
      <c r="F24" s="13"/>
      <c r="G24" s="13"/>
      <c r="H24" s="13"/>
    </row>
    <row r="25" spans="1:8" ht="210" x14ac:dyDescent="0.25">
      <c r="A25" s="14" t="s">
        <v>638</v>
      </c>
      <c r="B25" s="14" t="s">
        <v>639</v>
      </c>
      <c r="C25" s="15" t="s">
        <v>640</v>
      </c>
      <c r="D25" s="16" t="s">
        <v>641</v>
      </c>
      <c r="E25" s="17">
        <v>2</v>
      </c>
      <c r="F25" s="18" t="s">
        <v>892</v>
      </c>
      <c r="G25" s="16" t="s">
        <v>952</v>
      </c>
      <c r="H25" s="16"/>
    </row>
    <row r="26" spans="1:8" ht="210" x14ac:dyDescent="0.25">
      <c r="A26" s="19" t="s">
        <v>638</v>
      </c>
      <c r="B26" s="19" t="s">
        <v>639</v>
      </c>
      <c r="C26" s="20" t="s">
        <v>642</v>
      </c>
      <c r="D26" s="21" t="s">
        <v>643</v>
      </c>
      <c r="E26" s="23">
        <v>3</v>
      </c>
      <c r="F26" s="18" t="s">
        <v>1133</v>
      </c>
      <c r="G26" s="21" t="s">
        <v>953</v>
      </c>
      <c r="H26" s="21"/>
    </row>
    <row r="27" spans="1:8" x14ac:dyDescent="0.25">
      <c r="A27" s="13" t="s">
        <v>644</v>
      </c>
      <c r="B27" s="13" t="s">
        <v>645</v>
      </c>
      <c r="C27" s="13"/>
      <c r="D27" s="13"/>
      <c r="E27" s="13"/>
      <c r="F27" s="13"/>
      <c r="G27" s="13"/>
      <c r="H27" s="13"/>
    </row>
    <row r="28" spans="1:8" ht="210" x14ac:dyDescent="0.25">
      <c r="A28" s="14" t="s">
        <v>644</v>
      </c>
      <c r="B28" s="14" t="s">
        <v>645</v>
      </c>
      <c r="C28" s="15" t="s">
        <v>646</v>
      </c>
      <c r="D28" s="16" t="s">
        <v>647</v>
      </c>
      <c r="E28" s="17">
        <v>2</v>
      </c>
      <c r="F28" s="18" t="s">
        <v>1133</v>
      </c>
      <c r="G28" s="16" t="s">
        <v>954</v>
      </c>
      <c r="H28" s="16"/>
    </row>
    <row r="29" spans="1:8" ht="150" x14ac:dyDescent="0.25">
      <c r="A29" s="19" t="s">
        <v>644</v>
      </c>
      <c r="B29" s="19" t="s">
        <v>645</v>
      </c>
      <c r="C29" s="20" t="s">
        <v>648</v>
      </c>
      <c r="D29" s="21" t="s">
        <v>649</v>
      </c>
      <c r="E29" s="23">
        <v>3</v>
      </c>
      <c r="F29" s="18" t="s">
        <v>893</v>
      </c>
      <c r="G29" s="21" t="s">
        <v>955</v>
      </c>
      <c r="H29" s="21"/>
    </row>
    <row r="30" spans="1:8" x14ac:dyDescent="0.25">
      <c r="A30" s="13" t="s">
        <v>650</v>
      </c>
      <c r="B30" s="13" t="s">
        <v>651</v>
      </c>
      <c r="C30" s="13"/>
      <c r="D30" s="13"/>
      <c r="E30" s="13"/>
      <c r="F30" s="13"/>
      <c r="G30" s="13"/>
      <c r="H30" s="13"/>
    </row>
    <row r="31" spans="1:8" ht="210" x14ac:dyDescent="0.25">
      <c r="A31" s="14" t="s">
        <v>650</v>
      </c>
      <c r="B31" s="14" t="s">
        <v>651</v>
      </c>
      <c r="C31" s="15" t="s">
        <v>652</v>
      </c>
      <c r="D31" s="16" t="s">
        <v>653</v>
      </c>
      <c r="E31" s="23">
        <v>3</v>
      </c>
      <c r="F31" s="18" t="s">
        <v>893</v>
      </c>
      <c r="G31" s="16" t="s">
        <v>956</v>
      </c>
      <c r="H31" s="16"/>
    </row>
    <row r="32" spans="1:8" ht="45" x14ac:dyDescent="0.25">
      <c r="A32" s="19" t="s">
        <v>650</v>
      </c>
      <c r="B32" s="19" t="s">
        <v>651</v>
      </c>
      <c r="C32" s="20" t="s">
        <v>654</v>
      </c>
      <c r="D32" s="21" t="s">
        <v>655</v>
      </c>
      <c r="E32" s="23">
        <v>3</v>
      </c>
      <c r="F32" s="18" t="s">
        <v>893</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85" zoomScaleNormal="85" workbookViewId="0">
      <pane ySplit="1" topLeftCell="A2"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656</v>
      </c>
      <c r="B2" s="13" t="s">
        <v>657</v>
      </c>
      <c r="C2" s="13"/>
      <c r="D2" s="13"/>
      <c r="E2" s="13"/>
      <c r="F2" s="13"/>
      <c r="G2" s="13"/>
      <c r="H2" s="13"/>
    </row>
    <row r="3" spans="1:8" ht="90" x14ac:dyDescent="0.25">
      <c r="A3" s="14" t="s">
        <v>656</v>
      </c>
      <c r="B3" s="14" t="s">
        <v>657</v>
      </c>
      <c r="C3" s="15" t="s">
        <v>658</v>
      </c>
      <c r="D3" s="16" t="s">
        <v>659</v>
      </c>
      <c r="E3" s="22">
        <v>1</v>
      </c>
      <c r="F3" s="18" t="s">
        <v>892</v>
      </c>
      <c r="G3" s="16" t="s">
        <v>918</v>
      </c>
      <c r="H3" s="16"/>
    </row>
    <row r="4" spans="1:8" ht="90" x14ac:dyDescent="0.25">
      <c r="A4" s="19" t="s">
        <v>656</v>
      </c>
      <c r="B4" s="19" t="s">
        <v>657</v>
      </c>
      <c r="C4" s="20" t="s">
        <v>660</v>
      </c>
      <c r="D4" s="21" t="s">
        <v>661</v>
      </c>
      <c r="E4" s="17">
        <v>2</v>
      </c>
      <c r="F4" s="18" t="s">
        <v>892</v>
      </c>
      <c r="G4" s="21" t="s">
        <v>1072</v>
      </c>
      <c r="H4" s="21"/>
    </row>
    <row r="5" spans="1:8" ht="60" x14ac:dyDescent="0.25">
      <c r="A5" s="14" t="s">
        <v>656</v>
      </c>
      <c r="B5" s="14" t="s">
        <v>657</v>
      </c>
      <c r="C5" s="15" t="s">
        <v>662</v>
      </c>
      <c r="D5" s="16" t="s">
        <v>663</v>
      </c>
      <c r="E5" s="17">
        <v>2</v>
      </c>
      <c r="F5" s="18" t="s">
        <v>893</v>
      </c>
      <c r="G5" s="16" t="s">
        <v>919</v>
      </c>
      <c r="H5" s="16"/>
    </row>
    <row r="6" spans="1:8" ht="30" customHeight="1" x14ac:dyDescent="0.25">
      <c r="A6" s="19" t="s">
        <v>656</v>
      </c>
      <c r="B6" s="19" t="s">
        <v>657</v>
      </c>
      <c r="C6" s="20" t="s">
        <v>664</v>
      </c>
      <c r="D6" s="21" t="s">
        <v>665</v>
      </c>
      <c r="E6" s="23">
        <v>3</v>
      </c>
      <c r="F6" s="18" t="s">
        <v>893</v>
      </c>
      <c r="G6" s="21"/>
      <c r="H6" s="21"/>
    </row>
    <row r="7" spans="1:8" ht="30" customHeight="1" x14ac:dyDescent="0.25">
      <c r="A7" s="14" t="s">
        <v>656</v>
      </c>
      <c r="B7" s="14" t="s">
        <v>657</v>
      </c>
      <c r="C7" s="15" t="s">
        <v>666</v>
      </c>
      <c r="D7" s="16" t="s">
        <v>667</v>
      </c>
      <c r="E7" s="23">
        <v>3</v>
      </c>
      <c r="F7" s="18" t="s">
        <v>893</v>
      </c>
      <c r="G7" s="16"/>
      <c r="H7" s="16"/>
    </row>
    <row r="8" spans="1:8" ht="18" customHeight="1" x14ac:dyDescent="0.25">
      <c r="A8" s="13" t="s">
        <v>668</v>
      </c>
      <c r="B8" s="13" t="s">
        <v>669</v>
      </c>
      <c r="C8" s="13"/>
      <c r="D8" s="13"/>
      <c r="E8" s="13"/>
      <c r="F8" s="13"/>
      <c r="G8" s="13"/>
      <c r="H8" s="13"/>
    </row>
    <row r="9" spans="1:8" ht="90" x14ac:dyDescent="0.25">
      <c r="A9" s="14" t="s">
        <v>668</v>
      </c>
      <c r="B9" s="14" t="s">
        <v>669</v>
      </c>
      <c r="C9" s="15" t="s">
        <v>670</v>
      </c>
      <c r="D9" s="16" t="s">
        <v>671</v>
      </c>
      <c r="E9" s="22">
        <v>1</v>
      </c>
      <c r="F9" s="18" t="s">
        <v>892</v>
      </c>
      <c r="G9" s="16" t="s">
        <v>1073</v>
      </c>
      <c r="H9" s="16"/>
    </row>
    <row r="10" spans="1:8" ht="90" x14ac:dyDescent="0.25">
      <c r="A10" s="19" t="s">
        <v>668</v>
      </c>
      <c r="B10" s="19" t="s">
        <v>669</v>
      </c>
      <c r="C10" s="20" t="s">
        <v>672</v>
      </c>
      <c r="D10" s="21" t="s">
        <v>673</v>
      </c>
      <c r="E10" s="22">
        <v>1</v>
      </c>
      <c r="F10" s="18" t="s">
        <v>892</v>
      </c>
      <c r="G10" s="21" t="s">
        <v>1074</v>
      </c>
      <c r="H10" s="21"/>
    </row>
    <row r="11" spans="1:8" ht="18" customHeight="1" x14ac:dyDescent="0.25">
      <c r="A11" s="13" t="s">
        <v>674</v>
      </c>
      <c r="B11" s="13" t="s">
        <v>675</v>
      </c>
      <c r="C11" s="13"/>
      <c r="D11" s="13"/>
      <c r="E11" s="13"/>
      <c r="F11" s="13"/>
      <c r="G11" s="13"/>
      <c r="H11" s="13"/>
    </row>
    <row r="12" spans="1:8" ht="30" customHeight="1" x14ac:dyDescent="0.25">
      <c r="A12" s="14" t="s">
        <v>674</v>
      </c>
      <c r="B12" s="14" t="s">
        <v>675</v>
      </c>
      <c r="C12" s="15" t="s">
        <v>676</v>
      </c>
      <c r="D12" s="16" t="s">
        <v>677</v>
      </c>
      <c r="E12" s="17">
        <v>2</v>
      </c>
      <c r="F12" s="18" t="s">
        <v>892</v>
      </c>
      <c r="G12" s="16" t="s">
        <v>1076</v>
      </c>
      <c r="H12" s="16"/>
    </row>
    <row r="13" spans="1:8" ht="30" customHeight="1" x14ac:dyDescent="0.25">
      <c r="A13" s="19" t="s">
        <v>674</v>
      </c>
      <c r="B13" s="19" t="s">
        <v>675</v>
      </c>
      <c r="C13" s="20" t="s">
        <v>678</v>
      </c>
      <c r="D13" s="21" t="s">
        <v>679</v>
      </c>
      <c r="E13" s="17">
        <v>2</v>
      </c>
      <c r="F13" s="18" t="s">
        <v>892</v>
      </c>
      <c r="G13" s="21" t="s">
        <v>1077</v>
      </c>
      <c r="H13" s="21"/>
    </row>
    <row r="14" spans="1:8" ht="30" customHeight="1" x14ac:dyDescent="0.25">
      <c r="A14" s="14" t="s">
        <v>674</v>
      </c>
      <c r="B14" s="14" t="s">
        <v>675</v>
      </c>
      <c r="C14" s="15" t="s">
        <v>680</v>
      </c>
      <c r="D14" s="16" t="s">
        <v>681</v>
      </c>
      <c r="E14" s="17">
        <v>2</v>
      </c>
      <c r="F14" s="18" t="s">
        <v>892</v>
      </c>
      <c r="G14" s="16" t="s">
        <v>1075</v>
      </c>
      <c r="H14" s="16"/>
    </row>
    <row r="15" spans="1:8" ht="75" x14ac:dyDescent="0.25">
      <c r="A15" s="19" t="s">
        <v>674</v>
      </c>
      <c r="B15" s="19" t="s">
        <v>675</v>
      </c>
      <c r="C15" s="20" t="s">
        <v>682</v>
      </c>
      <c r="D15" s="21" t="s">
        <v>683</v>
      </c>
      <c r="E15" s="17">
        <v>2</v>
      </c>
      <c r="F15" s="18" t="s">
        <v>892</v>
      </c>
      <c r="G15" s="21" t="s">
        <v>1078</v>
      </c>
      <c r="H15" s="21"/>
    </row>
    <row r="16" spans="1:8" ht="30" customHeight="1" x14ac:dyDescent="0.25">
      <c r="A16" s="14" t="s">
        <v>674</v>
      </c>
      <c r="B16" s="14" t="s">
        <v>675</v>
      </c>
      <c r="C16" s="15" t="s">
        <v>684</v>
      </c>
      <c r="D16" s="16" t="s">
        <v>685</v>
      </c>
      <c r="E16" s="23">
        <v>3</v>
      </c>
      <c r="F16" s="18" t="s">
        <v>893</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 activePane="bottomLeft" state="frozen"/>
      <selection pane="bottomLeft" activeCell="G24" sqref="G2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686</v>
      </c>
      <c r="B2" s="13" t="s">
        <v>687</v>
      </c>
      <c r="C2" s="13"/>
      <c r="D2" s="13"/>
      <c r="E2" s="13"/>
      <c r="F2" s="13"/>
      <c r="G2" s="13"/>
      <c r="H2" s="13"/>
    </row>
    <row r="3" spans="1:8" ht="30" customHeight="1" x14ac:dyDescent="0.25">
      <c r="A3" s="14" t="s">
        <v>686</v>
      </c>
      <c r="B3" s="14" t="s">
        <v>687</v>
      </c>
      <c r="C3" s="15" t="s">
        <v>688</v>
      </c>
      <c r="D3" s="16" t="s">
        <v>689</v>
      </c>
      <c r="E3" s="17">
        <v>2</v>
      </c>
      <c r="F3" s="18" t="s">
        <v>892</v>
      </c>
      <c r="G3" s="16" t="s">
        <v>1079</v>
      </c>
      <c r="H3" s="16"/>
    </row>
    <row r="4" spans="1:8" ht="30" customHeight="1" x14ac:dyDescent="0.25">
      <c r="A4" s="19" t="s">
        <v>686</v>
      </c>
      <c r="B4" s="19" t="s">
        <v>687</v>
      </c>
      <c r="C4" s="20" t="s">
        <v>690</v>
      </c>
      <c r="D4" s="21" t="s">
        <v>691</v>
      </c>
      <c r="E4" s="23">
        <v>3</v>
      </c>
      <c r="F4" s="18" t="s">
        <v>893</v>
      </c>
      <c r="G4" s="21"/>
      <c r="H4" s="21"/>
    </row>
    <row r="5" spans="1:8" ht="30" customHeight="1" x14ac:dyDescent="0.25">
      <c r="A5" s="14" t="s">
        <v>686</v>
      </c>
      <c r="B5" s="14" t="s">
        <v>687</v>
      </c>
      <c r="C5" s="15" t="s">
        <v>692</v>
      </c>
      <c r="D5" s="16" t="s">
        <v>693</v>
      </c>
      <c r="E5" s="23">
        <v>3</v>
      </c>
      <c r="F5" s="18" t="s">
        <v>893</v>
      </c>
      <c r="G5" s="16"/>
      <c r="H5" s="16"/>
    </row>
    <row r="6" spans="1:8" ht="30" customHeight="1" x14ac:dyDescent="0.25">
      <c r="A6" s="19" t="s">
        <v>686</v>
      </c>
      <c r="B6" s="19" t="s">
        <v>687</v>
      </c>
      <c r="C6" s="20" t="s">
        <v>694</v>
      </c>
      <c r="D6" s="21" t="s">
        <v>695</v>
      </c>
      <c r="E6" s="23">
        <v>3</v>
      </c>
      <c r="F6" s="18" t="s">
        <v>893</v>
      </c>
      <c r="G6" s="21"/>
      <c r="H6" s="21"/>
    </row>
    <row r="7" spans="1:8" ht="18" customHeight="1" x14ac:dyDescent="0.25">
      <c r="A7" s="13" t="s">
        <v>696</v>
      </c>
      <c r="B7" s="13" t="s">
        <v>697</v>
      </c>
      <c r="C7" s="13"/>
      <c r="D7" s="13"/>
      <c r="E7" s="13"/>
      <c r="F7" s="13"/>
      <c r="G7" s="13"/>
      <c r="H7" s="13"/>
    </row>
    <row r="8" spans="1:8" ht="30" customHeight="1" x14ac:dyDescent="0.25">
      <c r="A8" s="14" t="s">
        <v>696</v>
      </c>
      <c r="B8" s="14" t="s">
        <v>697</v>
      </c>
      <c r="C8" s="15" t="s">
        <v>698</v>
      </c>
      <c r="D8" s="16" t="s">
        <v>699</v>
      </c>
      <c r="E8" s="17">
        <v>2</v>
      </c>
      <c r="F8" s="18" t="s">
        <v>45</v>
      </c>
      <c r="G8" s="16"/>
      <c r="H8" s="16"/>
    </row>
    <row r="9" spans="1:8" ht="30" customHeight="1" x14ac:dyDescent="0.25">
      <c r="A9" s="19" t="s">
        <v>696</v>
      </c>
      <c r="B9" s="19" t="s">
        <v>697</v>
      </c>
      <c r="C9" s="20" t="s">
        <v>700</v>
      </c>
      <c r="D9" s="21" t="s">
        <v>701</v>
      </c>
      <c r="E9" s="17">
        <v>2</v>
      </c>
      <c r="F9" s="18" t="s">
        <v>45</v>
      </c>
      <c r="G9" s="21"/>
      <c r="H9" s="21"/>
    </row>
    <row r="10" spans="1:8" ht="30" customHeight="1" x14ac:dyDescent="0.25">
      <c r="A10" s="14" t="s">
        <v>696</v>
      </c>
      <c r="B10" s="14" t="s">
        <v>697</v>
      </c>
      <c r="C10" s="15" t="s">
        <v>702</v>
      </c>
      <c r="D10" s="16" t="s">
        <v>703</v>
      </c>
      <c r="E10" s="17">
        <v>2</v>
      </c>
      <c r="F10" s="18" t="s">
        <v>893</v>
      </c>
      <c r="G10" s="16" t="s">
        <v>1080</v>
      </c>
      <c r="H10" s="16"/>
    </row>
    <row r="11" spans="1:8" ht="30" customHeight="1" x14ac:dyDescent="0.25">
      <c r="A11" s="19" t="s">
        <v>696</v>
      </c>
      <c r="B11" s="19" t="s">
        <v>697</v>
      </c>
      <c r="C11" s="20" t="s">
        <v>704</v>
      </c>
      <c r="D11" s="21" t="s">
        <v>705</v>
      </c>
      <c r="E11" s="17">
        <v>2</v>
      </c>
      <c r="F11" s="18" t="s">
        <v>45</v>
      </c>
      <c r="G11" s="21"/>
      <c r="H11" s="21"/>
    </row>
    <row r="12" spans="1:8" ht="30" customHeight="1" x14ac:dyDescent="0.25">
      <c r="A12" s="14" t="s">
        <v>696</v>
      </c>
      <c r="B12" s="14" t="s">
        <v>697</v>
      </c>
      <c r="C12" s="15" t="s">
        <v>706</v>
      </c>
      <c r="D12" s="16" t="s">
        <v>707</v>
      </c>
      <c r="E12" s="17">
        <v>2</v>
      </c>
      <c r="F12" s="18" t="s">
        <v>893</v>
      </c>
      <c r="G12" s="16" t="s">
        <v>1081</v>
      </c>
      <c r="H12" s="16"/>
    </row>
    <row r="13" spans="1:8" ht="30" customHeight="1" x14ac:dyDescent="0.25">
      <c r="A13" s="19" t="s">
        <v>696</v>
      </c>
      <c r="B13" s="19" t="s">
        <v>697</v>
      </c>
      <c r="C13" s="20" t="s">
        <v>708</v>
      </c>
      <c r="D13" s="21" t="s">
        <v>709</v>
      </c>
      <c r="E13" s="23">
        <v>3</v>
      </c>
      <c r="F13" s="18" t="s">
        <v>893</v>
      </c>
      <c r="G13" s="21"/>
      <c r="H13" s="21"/>
    </row>
    <row r="14" spans="1:8" ht="18" customHeight="1" x14ac:dyDescent="0.25">
      <c r="A14" s="13" t="s">
        <v>710</v>
      </c>
      <c r="B14" s="13" t="s">
        <v>711</v>
      </c>
      <c r="C14" s="13"/>
      <c r="D14" s="13"/>
      <c r="E14" s="13"/>
      <c r="F14" s="13"/>
      <c r="G14" s="13"/>
      <c r="H14" s="13"/>
    </row>
    <row r="15" spans="1:8" ht="30" customHeight="1" x14ac:dyDescent="0.25">
      <c r="A15" s="14" t="s">
        <v>710</v>
      </c>
      <c r="B15" s="14" t="s">
        <v>711</v>
      </c>
      <c r="C15" s="15" t="s">
        <v>712</v>
      </c>
      <c r="D15" s="16" t="s">
        <v>713</v>
      </c>
      <c r="E15" s="17">
        <v>2</v>
      </c>
      <c r="F15" s="18" t="s">
        <v>45</v>
      </c>
      <c r="G15" s="16"/>
      <c r="H15" s="16"/>
    </row>
    <row r="16" spans="1:8" ht="30" customHeight="1" x14ac:dyDescent="0.25">
      <c r="A16" s="19" t="s">
        <v>710</v>
      </c>
      <c r="B16" s="19" t="s">
        <v>711</v>
      </c>
      <c r="C16" s="20" t="s">
        <v>714</v>
      </c>
      <c r="D16" s="21" t="s">
        <v>715</v>
      </c>
      <c r="E16" s="17">
        <v>2</v>
      </c>
      <c r="F16" s="18" t="s">
        <v>45</v>
      </c>
      <c r="G16" s="21"/>
      <c r="H16" s="21"/>
    </row>
    <row r="17" spans="1:8" ht="30" customHeight="1" x14ac:dyDescent="0.25">
      <c r="A17" s="14" t="s">
        <v>710</v>
      </c>
      <c r="B17" s="14" t="s">
        <v>711</v>
      </c>
      <c r="C17" s="15" t="s">
        <v>716</v>
      </c>
      <c r="D17" s="16" t="s">
        <v>717</v>
      </c>
      <c r="E17" s="23">
        <v>3</v>
      </c>
      <c r="F17" s="18" t="s">
        <v>893</v>
      </c>
      <c r="G17" s="16"/>
      <c r="H17" s="16"/>
    </row>
    <row r="18" spans="1:8" ht="30" customHeight="1" x14ac:dyDescent="0.25">
      <c r="A18" s="19" t="s">
        <v>710</v>
      </c>
      <c r="B18" s="19" t="s">
        <v>711</v>
      </c>
      <c r="C18" s="20" t="s">
        <v>718</v>
      </c>
      <c r="D18" s="21" t="s">
        <v>719</v>
      </c>
      <c r="E18" s="23">
        <v>3</v>
      </c>
      <c r="F18" s="18" t="s">
        <v>893</v>
      </c>
      <c r="G18" s="21"/>
      <c r="H18" s="21"/>
    </row>
    <row r="19" spans="1:8" ht="18" customHeight="1" x14ac:dyDescent="0.25">
      <c r="A19" s="13" t="s">
        <v>720</v>
      </c>
      <c r="B19" s="13" t="s">
        <v>721</v>
      </c>
      <c r="C19" s="13"/>
      <c r="D19" s="13"/>
      <c r="E19" s="13"/>
      <c r="F19" s="13"/>
      <c r="G19" s="13"/>
      <c r="H19" s="13"/>
    </row>
    <row r="20" spans="1:8" ht="30" customHeight="1" x14ac:dyDescent="0.25">
      <c r="A20" s="14" t="s">
        <v>720</v>
      </c>
      <c r="B20" s="14" t="s">
        <v>721</v>
      </c>
      <c r="C20" s="15" t="s">
        <v>722</v>
      </c>
      <c r="D20" s="16" t="s">
        <v>723</v>
      </c>
      <c r="E20" s="22">
        <v>1</v>
      </c>
      <c r="F20" s="18" t="s">
        <v>45</v>
      </c>
      <c r="G20" s="16"/>
      <c r="H20" s="16"/>
    </row>
    <row r="21" spans="1:8" ht="30" customHeight="1" x14ac:dyDescent="0.25">
      <c r="A21" s="19" t="s">
        <v>720</v>
      </c>
      <c r="B21" s="19" t="s">
        <v>721</v>
      </c>
      <c r="C21" s="20" t="s">
        <v>724</v>
      </c>
      <c r="D21" s="21" t="s">
        <v>725</v>
      </c>
      <c r="E21" s="17">
        <v>2</v>
      </c>
      <c r="F21" s="18" t="s">
        <v>45</v>
      </c>
      <c r="G21" s="21"/>
      <c r="H21" s="21"/>
    </row>
    <row r="22" spans="1:8" ht="30" customHeight="1" x14ac:dyDescent="0.25">
      <c r="A22" s="14" t="s">
        <v>720</v>
      </c>
      <c r="B22" s="14" t="s">
        <v>721</v>
      </c>
      <c r="C22" s="15" t="s">
        <v>726</v>
      </c>
      <c r="D22" s="16" t="s">
        <v>727</v>
      </c>
      <c r="E22" s="17">
        <v>2</v>
      </c>
      <c r="F22" s="18" t="s">
        <v>893</v>
      </c>
      <c r="G22" s="16" t="s">
        <v>1082</v>
      </c>
      <c r="H22" s="16"/>
    </row>
    <row r="23" spans="1:8" ht="30" customHeight="1" x14ac:dyDescent="0.25">
      <c r="A23" s="19" t="s">
        <v>720</v>
      </c>
      <c r="B23" s="19" t="s">
        <v>721</v>
      </c>
      <c r="C23" s="20" t="s">
        <v>728</v>
      </c>
      <c r="D23" s="21" t="s">
        <v>729</v>
      </c>
      <c r="E23" s="17">
        <v>2</v>
      </c>
      <c r="F23" s="18" t="s">
        <v>45</v>
      </c>
      <c r="G23" s="21"/>
      <c r="H23" s="21"/>
    </row>
    <row r="24" spans="1:8" ht="30" customHeight="1" x14ac:dyDescent="0.25">
      <c r="A24" s="14" t="s">
        <v>720</v>
      </c>
      <c r="B24" s="14" t="s">
        <v>721</v>
      </c>
      <c r="C24" s="15" t="s">
        <v>730</v>
      </c>
      <c r="D24" s="16" t="s">
        <v>731</v>
      </c>
      <c r="E24" s="17">
        <v>2</v>
      </c>
      <c r="F24" s="18" t="s">
        <v>45</v>
      </c>
      <c r="G24" s="16"/>
      <c r="H24" s="16"/>
    </row>
    <row r="25" spans="1:8" ht="30" customHeight="1" x14ac:dyDescent="0.25">
      <c r="A25" s="19" t="s">
        <v>720</v>
      </c>
      <c r="B25" s="19" t="s">
        <v>721</v>
      </c>
      <c r="C25" s="20" t="s">
        <v>732</v>
      </c>
      <c r="D25" s="21" t="s">
        <v>733</v>
      </c>
      <c r="E25" s="23">
        <v>3</v>
      </c>
      <c r="F25" s="18" t="s">
        <v>893</v>
      </c>
      <c r="G25" s="21"/>
      <c r="H25" s="21"/>
    </row>
    <row r="26" spans="1:8" ht="30" customHeight="1" x14ac:dyDescent="0.25">
      <c r="A26" s="14" t="s">
        <v>720</v>
      </c>
      <c r="B26" s="14" t="s">
        <v>721</v>
      </c>
      <c r="C26" s="15" t="s">
        <v>734</v>
      </c>
      <c r="D26" s="16" t="s">
        <v>735</v>
      </c>
      <c r="E26" s="23">
        <v>3</v>
      </c>
      <c r="F26" s="18" t="s">
        <v>893</v>
      </c>
      <c r="G26" s="16" t="s">
        <v>1083</v>
      </c>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0" zoomScaleNormal="70" workbookViewId="0">
      <pane ySplit="1" topLeftCell="A2" activePane="bottomLeft" state="frozen"/>
      <selection pane="bottomLeft" activeCell="F8" sqref="F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8.5703125"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736</v>
      </c>
      <c r="B2" s="13" t="s">
        <v>737</v>
      </c>
      <c r="C2" s="13"/>
      <c r="D2" s="13"/>
      <c r="E2" s="13"/>
      <c r="F2" s="13"/>
      <c r="G2" s="13"/>
      <c r="H2" s="13"/>
    </row>
    <row r="3" spans="1:8" ht="120" x14ac:dyDescent="0.25">
      <c r="A3" s="14" t="s">
        <v>736</v>
      </c>
      <c r="B3" s="14" t="s">
        <v>737</v>
      </c>
      <c r="C3" s="15" t="s">
        <v>738</v>
      </c>
      <c r="D3" s="16" t="s">
        <v>739</v>
      </c>
      <c r="E3" s="17">
        <v>2</v>
      </c>
      <c r="F3" s="18" t="s">
        <v>892</v>
      </c>
      <c r="G3" s="16" t="s">
        <v>917</v>
      </c>
      <c r="H3" s="16"/>
    </row>
    <row r="4" spans="1:8" ht="105.4" customHeight="1" x14ac:dyDescent="0.25">
      <c r="A4" s="19" t="s">
        <v>736</v>
      </c>
      <c r="B4" s="19" t="s">
        <v>737</v>
      </c>
      <c r="C4" s="20" t="s">
        <v>740</v>
      </c>
      <c r="D4" s="21" t="s">
        <v>741</v>
      </c>
      <c r="E4" s="17">
        <v>2</v>
      </c>
      <c r="F4" s="18" t="s">
        <v>893</v>
      </c>
      <c r="G4" s="21" t="s">
        <v>1084</v>
      </c>
      <c r="H4" s="21"/>
    </row>
    <row r="5" spans="1:8" ht="18" customHeight="1" x14ac:dyDescent="0.25">
      <c r="A5" s="13" t="s">
        <v>742</v>
      </c>
      <c r="B5" s="13" t="s">
        <v>743</v>
      </c>
      <c r="C5" s="13"/>
      <c r="D5" s="13"/>
      <c r="E5" s="13"/>
      <c r="F5" s="13"/>
      <c r="G5" s="13"/>
      <c r="H5" s="13"/>
    </row>
    <row r="6" spans="1:8" ht="90" x14ac:dyDescent="0.25">
      <c r="A6" s="14" t="s">
        <v>742</v>
      </c>
      <c r="B6" s="14" t="s">
        <v>743</v>
      </c>
      <c r="C6" s="15" t="s">
        <v>744</v>
      </c>
      <c r="D6" s="16" t="s">
        <v>745</v>
      </c>
      <c r="E6" s="22">
        <v>1</v>
      </c>
      <c r="F6" s="18" t="s">
        <v>1133</v>
      </c>
      <c r="G6" s="16" t="s">
        <v>913</v>
      </c>
      <c r="H6" s="16"/>
    </row>
    <row r="7" spans="1:8" ht="50.45" customHeight="1" x14ac:dyDescent="0.25">
      <c r="A7" s="19" t="s">
        <v>742</v>
      </c>
      <c r="B7" s="19" t="s">
        <v>743</v>
      </c>
      <c r="C7" s="20" t="s">
        <v>746</v>
      </c>
      <c r="D7" s="21" t="s">
        <v>747</v>
      </c>
      <c r="E7" s="17">
        <v>2</v>
      </c>
      <c r="F7" s="18" t="s">
        <v>892</v>
      </c>
      <c r="G7" s="21" t="s">
        <v>915</v>
      </c>
      <c r="H7" s="21"/>
    </row>
    <row r="8" spans="1:8" ht="68.650000000000006" customHeight="1" x14ac:dyDescent="0.25">
      <c r="A8" s="14" t="s">
        <v>742</v>
      </c>
      <c r="B8" s="14" t="s">
        <v>743</v>
      </c>
      <c r="C8" s="15" t="s">
        <v>748</v>
      </c>
      <c r="D8" s="16" t="s">
        <v>749</v>
      </c>
      <c r="E8" s="17">
        <v>2</v>
      </c>
      <c r="F8" s="18" t="s">
        <v>1133</v>
      </c>
      <c r="G8" s="16" t="s">
        <v>914</v>
      </c>
      <c r="H8" s="16"/>
    </row>
    <row r="9" spans="1:8" ht="90" x14ac:dyDescent="0.25">
      <c r="A9" s="19" t="s">
        <v>742</v>
      </c>
      <c r="B9" s="19" t="s">
        <v>743</v>
      </c>
      <c r="C9" s="20" t="s">
        <v>750</v>
      </c>
      <c r="D9" s="21" t="s">
        <v>751</v>
      </c>
      <c r="E9" s="17">
        <v>2</v>
      </c>
      <c r="F9" s="18" t="s">
        <v>892</v>
      </c>
      <c r="G9" s="21" t="s">
        <v>916</v>
      </c>
      <c r="H9" s="21"/>
    </row>
    <row r="10" spans="1:8" ht="30" customHeight="1" x14ac:dyDescent="0.25">
      <c r="A10" s="14" t="s">
        <v>742</v>
      </c>
      <c r="B10" s="14" t="s">
        <v>743</v>
      </c>
      <c r="C10" s="15" t="s">
        <v>752</v>
      </c>
      <c r="D10" s="16" t="s">
        <v>753</v>
      </c>
      <c r="E10" s="23">
        <v>3</v>
      </c>
      <c r="F10" s="18" t="s">
        <v>893</v>
      </c>
      <c r="G10" s="16"/>
      <c r="H10" s="16"/>
    </row>
    <row r="11" spans="1:8" ht="30" customHeight="1" x14ac:dyDescent="0.25">
      <c r="A11" s="19" t="s">
        <v>742</v>
      </c>
      <c r="B11" s="19" t="s">
        <v>743</v>
      </c>
      <c r="C11" s="20" t="s">
        <v>754</v>
      </c>
      <c r="D11" s="21" t="s">
        <v>755</v>
      </c>
      <c r="E11" s="23">
        <v>3</v>
      </c>
      <c r="F11" s="18" t="s">
        <v>893</v>
      </c>
      <c r="G11" s="21"/>
      <c r="H11" s="21"/>
    </row>
    <row r="12" spans="1:8" ht="30" customHeight="1" x14ac:dyDescent="0.25">
      <c r="A12" s="14" t="s">
        <v>742</v>
      </c>
      <c r="B12" s="14" t="s">
        <v>743</v>
      </c>
      <c r="C12" s="15" t="s">
        <v>756</v>
      </c>
      <c r="D12" s="16" t="s">
        <v>757</v>
      </c>
      <c r="E12" s="23">
        <v>3</v>
      </c>
      <c r="F12" s="18" t="s">
        <v>893</v>
      </c>
      <c r="G12" s="16"/>
      <c r="H12" s="16"/>
    </row>
    <row r="13" spans="1:8" ht="30" customHeight="1" x14ac:dyDescent="0.25">
      <c r="A13" s="19" t="s">
        <v>742</v>
      </c>
      <c r="B13" s="19" t="s">
        <v>743</v>
      </c>
      <c r="C13" s="20" t="s">
        <v>758</v>
      </c>
      <c r="D13" s="21" t="s">
        <v>759</v>
      </c>
      <c r="E13" s="23">
        <v>3</v>
      </c>
      <c r="F13" s="18" t="s">
        <v>893</v>
      </c>
      <c r="G13" s="21"/>
      <c r="H13" s="21"/>
    </row>
    <row r="14" spans="1:8" ht="18" customHeight="1" x14ac:dyDescent="0.25">
      <c r="A14" s="13" t="s">
        <v>760</v>
      </c>
      <c r="B14" s="13" t="s">
        <v>761</v>
      </c>
      <c r="C14" s="13"/>
      <c r="D14" s="13"/>
      <c r="E14" s="13"/>
      <c r="F14" s="13"/>
      <c r="G14" s="13"/>
      <c r="H14" s="13"/>
    </row>
    <row r="15" spans="1:8" ht="30" customHeight="1" x14ac:dyDescent="0.25">
      <c r="A15" s="14" t="s">
        <v>760</v>
      </c>
      <c r="B15" s="14" t="s">
        <v>761</v>
      </c>
      <c r="C15" s="15" t="s">
        <v>762</v>
      </c>
      <c r="D15" s="16" t="s">
        <v>763</v>
      </c>
      <c r="E15" s="22">
        <v>1</v>
      </c>
      <c r="F15" s="18" t="s">
        <v>893</v>
      </c>
      <c r="G15" s="16" t="s">
        <v>911</v>
      </c>
      <c r="H15" s="16"/>
    </row>
    <row r="16" spans="1:8" ht="45" x14ac:dyDescent="0.25">
      <c r="A16" s="19" t="s">
        <v>760</v>
      </c>
      <c r="B16" s="19" t="s">
        <v>761</v>
      </c>
      <c r="C16" s="20" t="s">
        <v>764</v>
      </c>
      <c r="D16" s="21" t="s">
        <v>765</v>
      </c>
      <c r="E16" s="17">
        <v>2</v>
      </c>
      <c r="F16" s="18" t="s">
        <v>892</v>
      </c>
      <c r="G16" s="21" t="s">
        <v>1085</v>
      </c>
      <c r="H16" s="21"/>
    </row>
    <row r="17" spans="1:8" ht="45" x14ac:dyDescent="0.25">
      <c r="A17" s="14" t="s">
        <v>760</v>
      </c>
      <c r="B17" s="14" t="s">
        <v>761</v>
      </c>
      <c r="C17" s="15" t="s">
        <v>766</v>
      </c>
      <c r="D17" s="16" t="s">
        <v>767</v>
      </c>
      <c r="E17" s="17">
        <v>2</v>
      </c>
      <c r="F17" s="18" t="s">
        <v>893</v>
      </c>
      <c r="G17" s="16" t="s">
        <v>912</v>
      </c>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0" activePane="bottomLeft" state="frozen"/>
      <selection pane="bottomLeft" activeCell="F21" sqref="F2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x14ac:dyDescent="0.25">
      <c r="A2" s="13" t="s">
        <v>768</v>
      </c>
      <c r="B2" s="13" t="s">
        <v>769</v>
      </c>
      <c r="C2" s="13"/>
      <c r="D2" s="13"/>
      <c r="E2" s="13"/>
      <c r="F2" s="13"/>
      <c r="G2" s="13"/>
      <c r="H2" s="13"/>
    </row>
    <row r="3" spans="1:8" ht="105" x14ac:dyDescent="0.25">
      <c r="A3" s="14" t="s">
        <v>768</v>
      </c>
      <c r="B3" s="14" t="s">
        <v>769</v>
      </c>
      <c r="C3" s="15" t="s">
        <v>770</v>
      </c>
      <c r="D3" s="16" t="s">
        <v>771</v>
      </c>
      <c r="E3" s="22">
        <v>1</v>
      </c>
      <c r="F3" s="18" t="s">
        <v>892</v>
      </c>
      <c r="G3" s="16" t="s">
        <v>957</v>
      </c>
      <c r="H3" s="16"/>
    </row>
    <row r="4" spans="1:8" ht="120" x14ac:dyDescent="0.25">
      <c r="A4" s="19" t="s">
        <v>768</v>
      </c>
      <c r="B4" s="19" t="s">
        <v>769</v>
      </c>
      <c r="C4" s="20" t="s">
        <v>772</v>
      </c>
      <c r="D4" s="21" t="s">
        <v>773</v>
      </c>
      <c r="E4" s="17">
        <v>2</v>
      </c>
      <c r="F4" s="18" t="s">
        <v>892</v>
      </c>
      <c r="G4" s="21" t="s">
        <v>958</v>
      </c>
      <c r="H4" s="21"/>
    </row>
    <row r="5" spans="1:8" ht="150" x14ac:dyDescent="0.25">
      <c r="A5" s="14" t="s">
        <v>768</v>
      </c>
      <c r="B5" s="14" t="s">
        <v>769</v>
      </c>
      <c r="C5" s="15" t="s">
        <v>774</v>
      </c>
      <c r="D5" s="16" t="s">
        <v>775</v>
      </c>
      <c r="E5" s="17">
        <v>2</v>
      </c>
      <c r="F5" s="18" t="s">
        <v>892</v>
      </c>
      <c r="G5" s="16" t="s">
        <v>959</v>
      </c>
      <c r="H5" s="16"/>
    </row>
    <row r="6" spans="1:8" ht="30" x14ac:dyDescent="0.25">
      <c r="A6" s="19" t="s">
        <v>768</v>
      </c>
      <c r="B6" s="19" t="s">
        <v>769</v>
      </c>
      <c r="C6" s="20" t="s">
        <v>776</v>
      </c>
      <c r="D6" s="21" t="s">
        <v>777</v>
      </c>
      <c r="E6" s="23">
        <v>3</v>
      </c>
      <c r="F6" s="18" t="s">
        <v>893</v>
      </c>
      <c r="G6" s="21"/>
      <c r="H6" s="21"/>
    </row>
    <row r="7" spans="1:8" ht="255" x14ac:dyDescent="0.25">
      <c r="A7" s="14" t="s">
        <v>768</v>
      </c>
      <c r="B7" s="14" t="s">
        <v>769</v>
      </c>
      <c r="C7" s="15" t="s">
        <v>778</v>
      </c>
      <c r="D7" s="16" t="s">
        <v>779</v>
      </c>
      <c r="E7" s="23">
        <v>3</v>
      </c>
      <c r="F7" s="18" t="s">
        <v>892</v>
      </c>
      <c r="G7" s="16" t="s">
        <v>960</v>
      </c>
      <c r="H7" s="16"/>
    </row>
    <row r="8" spans="1:8" x14ac:dyDescent="0.25">
      <c r="A8" s="13" t="s">
        <v>780</v>
      </c>
      <c r="B8" s="13" t="s">
        <v>781</v>
      </c>
      <c r="C8" s="13"/>
      <c r="D8" s="13"/>
      <c r="E8" s="13"/>
      <c r="F8" s="13"/>
      <c r="G8" s="13"/>
      <c r="H8" s="13"/>
    </row>
    <row r="9" spans="1:8" ht="150" x14ac:dyDescent="0.25">
      <c r="A9" s="14" t="s">
        <v>780</v>
      </c>
      <c r="B9" s="14" t="s">
        <v>781</v>
      </c>
      <c r="C9" s="15" t="s">
        <v>782</v>
      </c>
      <c r="D9" s="16" t="s">
        <v>783</v>
      </c>
      <c r="E9" s="22">
        <v>1</v>
      </c>
      <c r="F9" s="18" t="s">
        <v>892</v>
      </c>
      <c r="G9" s="16" t="s">
        <v>961</v>
      </c>
      <c r="H9" s="16"/>
    </row>
    <row r="10" spans="1:8" ht="165" x14ac:dyDescent="0.25">
      <c r="A10" s="19" t="s">
        <v>780</v>
      </c>
      <c r="B10" s="19" t="s">
        <v>781</v>
      </c>
      <c r="C10" s="20" t="s">
        <v>784</v>
      </c>
      <c r="D10" s="21" t="s">
        <v>785</v>
      </c>
      <c r="E10" s="17">
        <v>2</v>
      </c>
      <c r="F10" s="18" t="s">
        <v>1133</v>
      </c>
      <c r="G10" s="21" t="s">
        <v>962</v>
      </c>
      <c r="H10" s="21"/>
    </row>
    <row r="11" spans="1:8" ht="150" x14ac:dyDescent="0.25">
      <c r="A11" s="14" t="s">
        <v>780</v>
      </c>
      <c r="B11" s="14" t="s">
        <v>781</v>
      </c>
      <c r="C11" s="15" t="s">
        <v>786</v>
      </c>
      <c r="D11" s="16" t="s">
        <v>787</v>
      </c>
      <c r="E11" s="17">
        <v>2</v>
      </c>
      <c r="F11" s="18" t="s">
        <v>892</v>
      </c>
      <c r="G11" s="16" t="s">
        <v>963</v>
      </c>
      <c r="H11" s="16"/>
    </row>
    <row r="12" spans="1:8" ht="60" x14ac:dyDescent="0.25">
      <c r="A12" s="19" t="s">
        <v>780</v>
      </c>
      <c r="B12" s="19" t="s">
        <v>781</v>
      </c>
      <c r="C12" s="20" t="s">
        <v>788</v>
      </c>
      <c r="D12" s="21" t="s">
        <v>789</v>
      </c>
      <c r="E12" s="23">
        <v>3</v>
      </c>
      <c r="F12" s="18" t="s">
        <v>893</v>
      </c>
      <c r="G12" s="21"/>
      <c r="H12" s="21"/>
    </row>
    <row r="13" spans="1:8" ht="285" x14ac:dyDescent="0.25">
      <c r="A13" s="14" t="s">
        <v>780</v>
      </c>
      <c r="B13" s="14" t="s">
        <v>781</v>
      </c>
      <c r="C13" s="15" t="s">
        <v>790</v>
      </c>
      <c r="D13" s="16" t="s">
        <v>791</v>
      </c>
      <c r="E13" s="23">
        <v>3</v>
      </c>
      <c r="F13" s="18" t="s">
        <v>1133</v>
      </c>
      <c r="G13" s="16" t="s">
        <v>964</v>
      </c>
      <c r="H13" s="16"/>
    </row>
    <row r="14" spans="1:8" x14ac:dyDescent="0.25">
      <c r="A14" s="13" t="s">
        <v>792</v>
      </c>
      <c r="B14" s="13" t="s">
        <v>793</v>
      </c>
      <c r="C14" s="13"/>
      <c r="D14" s="13"/>
      <c r="E14" s="13"/>
      <c r="F14" s="13"/>
      <c r="G14" s="13"/>
      <c r="H14" s="13"/>
    </row>
    <row r="15" spans="1:8" ht="165" x14ac:dyDescent="0.25">
      <c r="A15" s="14" t="s">
        <v>792</v>
      </c>
      <c r="B15" s="14" t="s">
        <v>793</v>
      </c>
      <c r="C15" s="15" t="s">
        <v>794</v>
      </c>
      <c r="D15" s="16" t="s">
        <v>795</v>
      </c>
      <c r="E15" s="22">
        <v>1</v>
      </c>
      <c r="F15" s="18" t="s">
        <v>1133</v>
      </c>
      <c r="G15" s="16" t="s">
        <v>965</v>
      </c>
      <c r="H15" s="16"/>
    </row>
    <row r="16" spans="1:8" ht="135" x14ac:dyDescent="0.25">
      <c r="A16" s="19" t="s">
        <v>792</v>
      </c>
      <c r="B16" s="19" t="s">
        <v>793</v>
      </c>
      <c r="C16" s="20" t="s">
        <v>796</v>
      </c>
      <c r="D16" s="21" t="s">
        <v>797</v>
      </c>
      <c r="E16" s="17">
        <v>2</v>
      </c>
      <c r="F16" s="18" t="s">
        <v>892</v>
      </c>
      <c r="G16" s="21" t="s">
        <v>966</v>
      </c>
      <c r="H16" s="21"/>
    </row>
    <row r="17" spans="1:8" ht="165" x14ac:dyDescent="0.25">
      <c r="A17" s="14" t="s">
        <v>792</v>
      </c>
      <c r="B17" s="14" t="s">
        <v>793</v>
      </c>
      <c r="C17" s="15" t="s">
        <v>798</v>
      </c>
      <c r="D17" s="16" t="s">
        <v>799</v>
      </c>
      <c r="E17" s="17">
        <v>2</v>
      </c>
      <c r="F17" s="18" t="s">
        <v>1133</v>
      </c>
      <c r="G17" s="16" t="s">
        <v>967</v>
      </c>
      <c r="H17" s="16"/>
    </row>
    <row r="18" spans="1:8" ht="165" x14ac:dyDescent="0.25">
      <c r="A18" s="19" t="s">
        <v>792</v>
      </c>
      <c r="B18" s="19" t="s">
        <v>793</v>
      </c>
      <c r="C18" s="20" t="s">
        <v>800</v>
      </c>
      <c r="D18" s="21" t="s">
        <v>801</v>
      </c>
      <c r="E18" s="17">
        <v>2</v>
      </c>
      <c r="F18" s="18" t="s">
        <v>892</v>
      </c>
      <c r="G18" s="21" t="s">
        <v>968</v>
      </c>
      <c r="H18" s="21"/>
    </row>
    <row r="19" spans="1:8" ht="135" x14ac:dyDescent="0.25">
      <c r="A19" s="14" t="s">
        <v>792</v>
      </c>
      <c r="B19" s="14" t="s">
        <v>793</v>
      </c>
      <c r="C19" s="15" t="s">
        <v>802</v>
      </c>
      <c r="D19" s="16" t="s">
        <v>803</v>
      </c>
      <c r="E19" s="17">
        <v>2</v>
      </c>
      <c r="F19" s="18" t="s">
        <v>1133</v>
      </c>
      <c r="G19" s="16" t="s">
        <v>969</v>
      </c>
      <c r="H19" s="16"/>
    </row>
    <row r="20" spans="1:8" ht="105" x14ac:dyDescent="0.25">
      <c r="A20" s="19" t="s">
        <v>792</v>
      </c>
      <c r="B20" s="19" t="s">
        <v>793</v>
      </c>
      <c r="C20" s="20" t="s">
        <v>804</v>
      </c>
      <c r="D20" s="21" t="s">
        <v>805</v>
      </c>
      <c r="E20" s="17">
        <v>2</v>
      </c>
      <c r="F20" s="18" t="s">
        <v>893</v>
      </c>
      <c r="G20" s="21" t="s">
        <v>970</v>
      </c>
      <c r="H20" s="21"/>
    </row>
    <row r="21" spans="1:8" ht="165" x14ac:dyDescent="0.25">
      <c r="A21" s="14" t="s">
        <v>792</v>
      </c>
      <c r="B21" s="14" t="s">
        <v>793</v>
      </c>
      <c r="C21" s="15" t="s">
        <v>806</v>
      </c>
      <c r="D21" s="16" t="s">
        <v>807</v>
      </c>
      <c r="E21" s="17">
        <v>2</v>
      </c>
      <c r="F21" s="18" t="s">
        <v>1133</v>
      </c>
      <c r="G21" s="16" t="s">
        <v>971</v>
      </c>
      <c r="H21" s="16"/>
    </row>
    <row r="22" spans="1:8" x14ac:dyDescent="0.25">
      <c r="A22" s="13" t="s">
        <v>808</v>
      </c>
      <c r="B22" s="13" t="s">
        <v>809</v>
      </c>
      <c r="C22" s="13"/>
      <c r="D22" s="13"/>
      <c r="E22" s="13"/>
      <c r="F22" s="13"/>
      <c r="G22" s="13"/>
      <c r="H22" s="13"/>
    </row>
    <row r="23" spans="1:8" ht="75" x14ac:dyDescent="0.25">
      <c r="A23" s="14" t="s">
        <v>808</v>
      </c>
      <c r="B23" s="14" t="s">
        <v>809</v>
      </c>
      <c r="C23" s="15" t="s">
        <v>810</v>
      </c>
      <c r="D23" s="16" t="s">
        <v>811</v>
      </c>
      <c r="E23" s="23">
        <v>3</v>
      </c>
      <c r="F23" s="18" t="s">
        <v>893</v>
      </c>
      <c r="G23" s="16"/>
      <c r="H23" s="16"/>
    </row>
    <row r="24" spans="1:8" ht="90" x14ac:dyDescent="0.25">
      <c r="A24" s="19" t="s">
        <v>808</v>
      </c>
      <c r="B24" s="19" t="s">
        <v>809</v>
      </c>
      <c r="C24" s="20" t="s">
        <v>812</v>
      </c>
      <c r="D24" s="21" t="s">
        <v>813</v>
      </c>
      <c r="E24" s="23">
        <v>3</v>
      </c>
      <c r="F24" s="18" t="s">
        <v>893</v>
      </c>
      <c r="G24" s="21"/>
      <c r="H24" s="21"/>
    </row>
    <row r="25" spans="1:8" ht="75" x14ac:dyDescent="0.25">
      <c r="A25" s="14" t="s">
        <v>808</v>
      </c>
      <c r="B25" s="14" t="s">
        <v>809</v>
      </c>
      <c r="C25" s="15" t="s">
        <v>814</v>
      </c>
      <c r="D25" s="16" t="s">
        <v>815</v>
      </c>
      <c r="E25" s="23">
        <v>3</v>
      </c>
      <c r="F25" s="18" t="s">
        <v>893</v>
      </c>
      <c r="G25" s="16"/>
      <c r="H25" s="16"/>
    </row>
    <row r="26" spans="1:8" ht="60" x14ac:dyDescent="0.25">
      <c r="A26" s="19" t="s">
        <v>808</v>
      </c>
      <c r="B26" s="19" t="s">
        <v>809</v>
      </c>
      <c r="C26" s="20" t="s">
        <v>816</v>
      </c>
      <c r="D26" s="21" t="s">
        <v>817</v>
      </c>
      <c r="E26" s="23">
        <v>3</v>
      </c>
      <c r="F26" s="18" t="s">
        <v>893</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0" activePane="bottomLeft" state="frozen"/>
      <selection pane="bottomLeft" activeCell="F23" sqref="F23"/>
    </sheetView>
  </sheetViews>
  <sheetFormatPr defaultColWidth="8.5703125" defaultRowHeight="15" x14ac:dyDescent="0.25"/>
  <cols>
    <col min="1" max="1" width="15.42578125"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9" customHeight="1" x14ac:dyDescent="0.25">
      <c r="A1" s="12" t="s">
        <v>33</v>
      </c>
      <c r="B1" s="12" t="s">
        <v>34</v>
      </c>
      <c r="C1" s="12" t="s">
        <v>35</v>
      </c>
      <c r="D1" s="12" t="s">
        <v>36</v>
      </c>
      <c r="E1" s="12" t="s">
        <v>37</v>
      </c>
      <c r="F1" s="12" t="s">
        <v>38</v>
      </c>
      <c r="G1" s="12" t="s">
        <v>39</v>
      </c>
      <c r="H1" s="12" t="s">
        <v>40</v>
      </c>
    </row>
    <row r="2" spans="1:8" x14ac:dyDescent="0.25">
      <c r="A2" s="13" t="s">
        <v>818</v>
      </c>
      <c r="B2" s="13" t="s">
        <v>819</v>
      </c>
      <c r="C2" s="13"/>
      <c r="D2" s="13"/>
      <c r="E2" s="13"/>
      <c r="F2" s="13"/>
      <c r="G2" s="13"/>
      <c r="H2" s="13"/>
    </row>
    <row r="3" spans="1:8" ht="195" x14ac:dyDescent="0.25">
      <c r="A3" s="14" t="s">
        <v>818</v>
      </c>
      <c r="B3" s="14" t="s">
        <v>819</v>
      </c>
      <c r="C3" s="15" t="s">
        <v>820</v>
      </c>
      <c r="D3" s="16" t="s">
        <v>821</v>
      </c>
      <c r="E3" s="17">
        <v>2</v>
      </c>
      <c r="F3" s="18" t="s">
        <v>892</v>
      </c>
      <c r="G3" s="16" t="s">
        <v>973</v>
      </c>
      <c r="H3" s="16"/>
    </row>
    <row r="4" spans="1:8" x14ac:dyDescent="0.25">
      <c r="A4" s="13" t="s">
        <v>822</v>
      </c>
      <c r="B4" s="13" t="s">
        <v>823</v>
      </c>
      <c r="C4" s="13"/>
      <c r="D4" s="13"/>
      <c r="E4" s="13"/>
      <c r="F4" s="13"/>
      <c r="G4" s="13"/>
      <c r="H4" s="13"/>
    </row>
    <row r="5" spans="1:8" ht="150" x14ac:dyDescent="0.25">
      <c r="A5" s="14" t="s">
        <v>822</v>
      </c>
      <c r="B5" s="14" t="s">
        <v>823</v>
      </c>
      <c r="C5" s="15" t="s">
        <v>824</v>
      </c>
      <c r="D5" s="16" t="s">
        <v>825</v>
      </c>
      <c r="E5" s="17">
        <v>2</v>
      </c>
      <c r="F5" s="18" t="s">
        <v>892</v>
      </c>
      <c r="G5" s="16" t="s">
        <v>977</v>
      </c>
      <c r="H5" s="16"/>
    </row>
    <row r="6" spans="1:8" ht="180" x14ac:dyDescent="0.25">
      <c r="A6" s="19" t="s">
        <v>822</v>
      </c>
      <c r="B6" s="19" t="s">
        <v>823</v>
      </c>
      <c r="C6" s="20" t="s">
        <v>826</v>
      </c>
      <c r="D6" s="21" t="s">
        <v>827</v>
      </c>
      <c r="E6" s="17">
        <v>2</v>
      </c>
      <c r="F6" s="18" t="s">
        <v>1133</v>
      </c>
      <c r="G6" s="21" t="s">
        <v>976</v>
      </c>
      <c r="H6" s="21"/>
    </row>
    <row r="7" spans="1:8" ht="135" x14ac:dyDescent="0.25">
      <c r="A7" s="14" t="s">
        <v>822</v>
      </c>
      <c r="B7" s="14" t="s">
        <v>823</v>
      </c>
      <c r="C7" s="15" t="s">
        <v>828</v>
      </c>
      <c r="D7" s="16" t="s">
        <v>829</v>
      </c>
      <c r="E7" s="17">
        <v>2</v>
      </c>
      <c r="F7" s="18" t="s">
        <v>1133</v>
      </c>
      <c r="G7" s="16" t="s">
        <v>975</v>
      </c>
      <c r="H7" s="16"/>
    </row>
    <row r="8" spans="1:8" ht="165" x14ac:dyDescent="0.25">
      <c r="A8" s="19" t="s">
        <v>822</v>
      </c>
      <c r="B8" s="19" t="s">
        <v>823</v>
      </c>
      <c r="C8" s="20" t="s">
        <v>830</v>
      </c>
      <c r="D8" s="21" t="s">
        <v>831</v>
      </c>
      <c r="E8" s="17">
        <v>2</v>
      </c>
      <c r="F8" s="18" t="s">
        <v>892</v>
      </c>
      <c r="G8" s="21" t="s">
        <v>934</v>
      </c>
      <c r="H8" s="21"/>
    </row>
    <row r="9" spans="1:8" ht="210" x14ac:dyDescent="0.25">
      <c r="A9" s="14" t="s">
        <v>822</v>
      </c>
      <c r="B9" s="14" t="s">
        <v>823</v>
      </c>
      <c r="C9" s="15" t="s">
        <v>832</v>
      </c>
      <c r="D9" s="16" t="s">
        <v>833</v>
      </c>
      <c r="E9" s="17">
        <v>2</v>
      </c>
      <c r="F9" s="18" t="s">
        <v>892</v>
      </c>
      <c r="G9" s="16" t="s">
        <v>974</v>
      </c>
      <c r="H9" s="16"/>
    </row>
    <row r="10" spans="1:8" x14ac:dyDescent="0.25">
      <c r="A10" s="13" t="s">
        <v>834</v>
      </c>
      <c r="B10" s="13" t="s">
        <v>835</v>
      </c>
      <c r="C10" s="13"/>
      <c r="D10" s="13"/>
      <c r="E10" s="13"/>
      <c r="F10" s="13"/>
      <c r="G10" s="13"/>
      <c r="H10" s="13"/>
    </row>
    <row r="11" spans="1:8" ht="210" x14ac:dyDescent="0.25">
      <c r="A11" s="14" t="s">
        <v>834</v>
      </c>
      <c r="B11" s="14" t="s">
        <v>835</v>
      </c>
      <c r="C11" s="15" t="s">
        <v>836</v>
      </c>
      <c r="D11" s="16" t="s">
        <v>837</v>
      </c>
      <c r="E11" s="17">
        <v>2</v>
      </c>
      <c r="F11" s="18" t="s">
        <v>892</v>
      </c>
      <c r="G11" s="16" t="s">
        <v>935</v>
      </c>
      <c r="H11" s="16"/>
    </row>
    <row r="12" spans="1:8" ht="180" x14ac:dyDescent="0.25">
      <c r="A12" s="19" t="s">
        <v>834</v>
      </c>
      <c r="B12" s="19" t="s">
        <v>835</v>
      </c>
      <c r="C12" s="20" t="s">
        <v>838</v>
      </c>
      <c r="D12" s="21" t="s">
        <v>839</v>
      </c>
      <c r="E12" s="17">
        <v>2</v>
      </c>
      <c r="F12" s="18" t="s">
        <v>1133</v>
      </c>
      <c r="G12" s="21" t="s">
        <v>972</v>
      </c>
      <c r="H12" s="21"/>
    </row>
    <row r="13" spans="1:8" ht="165" x14ac:dyDescent="0.25">
      <c r="A13" s="14" t="s">
        <v>834</v>
      </c>
      <c r="B13" s="14" t="s">
        <v>835</v>
      </c>
      <c r="C13" s="15" t="s">
        <v>840</v>
      </c>
      <c r="D13" s="16" t="s">
        <v>841</v>
      </c>
      <c r="E13" s="17">
        <v>2</v>
      </c>
      <c r="F13" s="18" t="s">
        <v>892</v>
      </c>
      <c r="G13" s="16" t="s">
        <v>978</v>
      </c>
      <c r="H13" s="16"/>
    </row>
    <row r="14" spans="1:8" ht="180" x14ac:dyDescent="0.25">
      <c r="A14" s="19" t="s">
        <v>834</v>
      </c>
      <c r="B14" s="19" t="s">
        <v>835</v>
      </c>
      <c r="C14" s="20" t="s">
        <v>842</v>
      </c>
      <c r="D14" s="21" t="s">
        <v>843</v>
      </c>
      <c r="E14" s="17">
        <v>2</v>
      </c>
      <c r="F14" s="18" t="s">
        <v>893</v>
      </c>
      <c r="G14" s="21" t="s">
        <v>979</v>
      </c>
      <c r="H14" s="21"/>
    </row>
    <row r="15" spans="1:8" x14ac:dyDescent="0.25">
      <c r="A15" s="13" t="s">
        <v>844</v>
      </c>
      <c r="B15" s="13" t="s">
        <v>845</v>
      </c>
      <c r="C15" s="13"/>
      <c r="D15" s="13"/>
      <c r="E15" s="13"/>
      <c r="F15" s="13"/>
      <c r="G15" s="13"/>
      <c r="H15" s="13"/>
    </row>
    <row r="16" spans="1:8" ht="195" x14ac:dyDescent="0.25">
      <c r="A16" s="14" t="s">
        <v>844</v>
      </c>
      <c r="B16" s="14" t="s">
        <v>845</v>
      </c>
      <c r="C16" s="15" t="s">
        <v>846</v>
      </c>
      <c r="D16" s="16" t="s">
        <v>847</v>
      </c>
      <c r="E16" s="17">
        <v>2</v>
      </c>
      <c r="F16" s="18" t="s">
        <v>892</v>
      </c>
      <c r="G16" s="16" t="s">
        <v>936</v>
      </c>
      <c r="H16" s="16"/>
    </row>
    <row r="17" spans="1:8" ht="165" x14ac:dyDescent="0.25">
      <c r="A17" s="19" t="s">
        <v>844</v>
      </c>
      <c r="B17" s="19" t="s">
        <v>845</v>
      </c>
      <c r="C17" s="20" t="s">
        <v>848</v>
      </c>
      <c r="D17" s="21" t="s">
        <v>849</v>
      </c>
      <c r="E17" s="17">
        <v>2</v>
      </c>
      <c r="F17" s="18" t="s">
        <v>892</v>
      </c>
      <c r="G17" s="21" t="s">
        <v>980</v>
      </c>
      <c r="H17" s="21"/>
    </row>
    <row r="18" spans="1:8" ht="150" x14ac:dyDescent="0.25">
      <c r="A18" s="14" t="s">
        <v>844</v>
      </c>
      <c r="B18" s="14" t="s">
        <v>845</v>
      </c>
      <c r="C18" s="15" t="s">
        <v>850</v>
      </c>
      <c r="D18" s="16" t="s">
        <v>851</v>
      </c>
      <c r="E18" s="17">
        <v>2</v>
      </c>
      <c r="F18" s="18" t="s">
        <v>893</v>
      </c>
      <c r="G18" s="16" t="s">
        <v>981</v>
      </c>
      <c r="H18" s="16"/>
    </row>
    <row r="19" spans="1:8" x14ac:dyDescent="0.25">
      <c r="A19" s="13" t="s">
        <v>852</v>
      </c>
      <c r="B19" s="13" t="s">
        <v>853</v>
      </c>
      <c r="C19" s="13"/>
      <c r="D19" s="13"/>
      <c r="E19" s="13"/>
      <c r="F19" s="13"/>
      <c r="G19" s="13"/>
      <c r="H19" s="13"/>
    </row>
    <row r="20" spans="1:8" ht="180" x14ac:dyDescent="0.25">
      <c r="A20" s="14" t="s">
        <v>852</v>
      </c>
      <c r="B20" s="14" t="s">
        <v>853</v>
      </c>
      <c r="C20" s="15" t="s">
        <v>854</v>
      </c>
      <c r="D20" s="16" t="s">
        <v>855</v>
      </c>
      <c r="E20" s="17">
        <v>2</v>
      </c>
      <c r="F20" s="18" t="s">
        <v>1133</v>
      </c>
      <c r="G20" s="16" t="s">
        <v>982</v>
      </c>
      <c r="H20" s="16"/>
    </row>
    <row r="21" spans="1:8" ht="195" x14ac:dyDescent="0.25">
      <c r="A21" s="19" t="s">
        <v>852</v>
      </c>
      <c r="B21" s="19" t="s">
        <v>853</v>
      </c>
      <c r="C21" s="20" t="s">
        <v>856</v>
      </c>
      <c r="D21" s="21" t="s">
        <v>857</v>
      </c>
      <c r="E21" s="17">
        <v>2</v>
      </c>
      <c r="F21" s="18" t="s">
        <v>892</v>
      </c>
      <c r="G21" s="21" t="s">
        <v>983</v>
      </c>
      <c r="H21" s="21"/>
    </row>
    <row r="22" spans="1:8" ht="195" x14ac:dyDescent="0.25">
      <c r="A22" s="14" t="s">
        <v>852</v>
      </c>
      <c r="B22" s="14" t="s">
        <v>853</v>
      </c>
      <c r="C22" s="15" t="s">
        <v>858</v>
      </c>
      <c r="D22" s="16" t="s">
        <v>859</v>
      </c>
      <c r="E22" s="17">
        <v>2</v>
      </c>
      <c r="F22" s="18" t="s">
        <v>1133</v>
      </c>
      <c r="G22" s="16" t="s">
        <v>984</v>
      </c>
      <c r="H22" s="16"/>
    </row>
    <row r="23" spans="1:8" ht="225" x14ac:dyDescent="0.25">
      <c r="A23" s="19" t="s">
        <v>852</v>
      </c>
      <c r="B23" s="19" t="s">
        <v>853</v>
      </c>
      <c r="C23" s="20" t="s">
        <v>860</v>
      </c>
      <c r="D23" s="21" t="s">
        <v>861</v>
      </c>
      <c r="E23" s="23">
        <v>3</v>
      </c>
      <c r="F23" s="18" t="s">
        <v>1133</v>
      </c>
      <c r="G23" s="21" t="s">
        <v>985</v>
      </c>
      <c r="H23" s="21"/>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G17" sqref="G1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9.45" customHeight="1" x14ac:dyDescent="0.25">
      <c r="A1" s="12" t="s">
        <v>33</v>
      </c>
      <c r="B1" s="12" t="s">
        <v>34</v>
      </c>
      <c r="C1" s="12" t="s">
        <v>35</v>
      </c>
      <c r="D1" s="12" t="s">
        <v>36</v>
      </c>
      <c r="E1" s="12" t="s">
        <v>37</v>
      </c>
      <c r="F1" s="12" t="s">
        <v>38</v>
      </c>
      <c r="G1" s="12" t="s">
        <v>39</v>
      </c>
      <c r="H1" s="12" t="s">
        <v>40</v>
      </c>
    </row>
    <row r="2" spans="1:8" x14ac:dyDescent="0.25">
      <c r="A2" s="13" t="s">
        <v>862</v>
      </c>
      <c r="B2" s="13" t="s">
        <v>863</v>
      </c>
      <c r="C2" s="13"/>
      <c r="D2" s="13"/>
      <c r="E2" s="13"/>
      <c r="F2" s="13"/>
      <c r="G2" s="13"/>
      <c r="H2" s="13"/>
    </row>
    <row r="3" spans="1:8" ht="60" x14ac:dyDescent="0.25">
      <c r="A3" s="14" t="s">
        <v>862</v>
      </c>
      <c r="B3" s="14" t="s">
        <v>863</v>
      </c>
      <c r="C3" s="15" t="s">
        <v>864</v>
      </c>
      <c r="D3" s="16" t="s">
        <v>865</v>
      </c>
      <c r="E3" s="17">
        <v>2</v>
      </c>
      <c r="F3" s="18" t="s">
        <v>893</v>
      </c>
      <c r="G3" s="16" t="s">
        <v>1086</v>
      </c>
      <c r="H3" s="16"/>
    </row>
    <row r="4" spans="1:8" ht="45" x14ac:dyDescent="0.25">
      <c r="A4" s="19" t="s">
        <v>862</v>
      </c>
      <c r="B4" s="19" t="s">
        <v>863</v>
      </c>
      <c r="C4" s="20" t="s">
        <v>866</v>
      </c>
      <c r="D4" s="21" t="s">
        <v>867</v>
      </c>
      <c r="E4" s="23">
        <v>3</v>
      </c>
      <c r="F4" s="18" t="s">
        <v>893</v>
      </c>
      <c r="G4" s="21" t="s">
        <v>1087</v>
      </c>
      <c r="H4" s="21"/>
    </row>
    <row r="5" spans="1:8" x14ac:dyDescent="0.25">
      <c r="A5" s="13" t="s">
        <v>868</v>
      </c>
      <c r="B5" s="13" t="s">
        <v>869</v>
      </c>
      <c r="C5" s="13"/>
      <c r="D5" s="13"/>
      <c r="E5" s="13"/>
      <c r="F5" s="13"/>
      <c r="G5" s="13"/>
      <c r="H5" s="13"/>
    </row>
    <row r="6" spans="1:8" ht="60" x14ac:dyDescent="0.25">
      <c r="A6" s="14" t="s">
        <v>868</v>
      </c>
      <c r="B6" s="14" t="s">
        <v>869</v>
      </c>
      <c r="C6" s="15" t="s">
        <v>870</v>
      </c>
      <c r="D6" s="16" t="s">
        <v>871</v>
      </c>
      <c r="E6" s="17">
        <v>2</v>
      </c>
      <c r="F6" s="18" t="s">
        <v>893</v>
      </c>
      <c r="G6" s="16" t="s">
        <v>1088</v>
      </c>
      <c r="H6" s="16"/>
    </row>
    <row r="7" spans="1:8" ht="75" x14ac:dyDescent="0.25">
      <c r="A7" s="19" t="s">
        <v>868</v>
      </c>
      <c r="B7" s="19" t="s">
        <v>869</v>
      </c>
      <c r="C7" s="20" t="s">
        <v>872</v>
      </c>
      <c r="D7" s="21" t="s">
        <v>873</v>
      </c>
      <c r="E7" s="17">
        <v>2</v>
      </c>
      <c r="F7" s="18" t="s">
        <v>893</v>
      </c>
      <c r="G7" s="21" t="s">
        <v>1089</v>
      </c>
      <c r="H7" s="21"/>
    </row>
    <row r="8" spans="1:8" ht="75" x14ac:dyDescent="0.25">
      <c r="A8" s="14" t="s">
        <v>868</v>
      </c>
      <c r="B8" s="14" t="s">
        <v>869</v>
      </c>
      <c r="C8" s="15" t="s">
        <v>874</v>
      </c>
      <c r="D8" s="16" t="s">
        <v>875</v>
      </c>
      <c r="E8" s="17">
        <v>2</v>
      </c>
      <c r="F8" s="18" t="s">
        <v>893</v>
      </c>
      <c r="G8" s="16" t="s">
        <v>1090</v>
      </c>
      <c r="H8" s="16"/>
    </row>
    <row r="9" spans="1:8" ht="45" x14ac:dyDescent="0.25">
      <c r="A9" s="19" t="s">
        <v>868</v>
      </c>
      <c r="B9" s="19" t="s">
        <v>869</v>
      </c>
      <c r="C9" s="20" t="s">
        <v>876</v>
      </c>
      <c r="D9" s="21" t="s">
        <v>877</v>
      </c>
      <c r="E9" s="17">
        <v>2</v>
      </c>
      <c r="F9" s="18" t="s">
        <v>893</v>
      </c>
      <c r="G9" s="21" t="s">
        <v>1091</v>
      </c>
      <c r="H9" s="21"/>
    </row>
    <row r="10" spans="1:8" ht="45" x14ac:dyDescent="0.25">
      <c r="A10" s="14" t="s">
        <v>868</v>
      </c>
      <c r="B10" s="14" t="s">
        <v>869</v>
      </c>
      <c r="C10" s="15" t="s">
        <v>878</v>
      </c>
      <c r="D10" s="16" t="s">
        <v>879</v>
      </c>
      <c r="E10" s="23">
        <v>3</v>
      </c>
      <c r="F10" s="18" t="s">
        <v>893</v>
      </c>
      <c r="G10" s="16" t="s">
        <v>1092</v>
      </c>
      <c r="H10" s="16"/>
    </row>
    <row r="11" spans="1:8" ht="60" x14ac:dyDescent="0.25">
      <c r="A11" s="19" t="s">
        <v>868</v>
      </c>
      <c r="B11" s="19" t="s">
        <v>869</v>
      </c>
      <c r="C11" s="20" t="s">
        <v>880</v>
      </c>
      <c r="D11" s="21" t="s">
        <v>881</v>
      </c>
      <c r="E11" s="23">
        <v>3</v>
      </c>
      <c r="F11" s="18" t="s">
        <v>893</v>
      </c>
      <c r="G11" s="21" t="s">
        <v>1093</v>
      </c>
      <c r="H11" s="21"/>
    </row>
    <row r="12" spans="1:8" ht="60" x14ac:dyDescent="0.25">
      <c r="A12" s="14" t="s">
        <v>868</v>
      </c>
      <c r="B12" s="14" t="s">
        <v>869</v>
      </c>
      <c r="C12" s="15" t="s">
        <v>882</v>
      </c>
      <c r="D12" s="16" t="s">
        <v>883</v>
      </c>
      <c r="E12" s="23">
        <v>3</v>
      </c>
      <c r="F12" s="18" t="s">
        <v>893</v>
      </c>
      <c r="G12" s="16" t="s">
        <v>1094</v>
      </c>
      <c r="H12" s="16"/>
    </row>
    <row r="13" spans="1:8" ht="60" x14ac:dyDescent="0.25">
      <c r="A13" s="19" t="s">
        <v>868</v>
      </c>
      <c r="B13" s="19" t="s">
        <v>869</v>
      </c>
      <c r="C13" s="20" t="s">
        <v>884</v>
      </c>
      <c r="D13" s="21" t="s">
        <v>885</v>
      </c>
      <c r="E13" s="23">
        <v>3</v>
      </c>
      <c r="F13" s="18" t="s">
        <v>893</v>
      </c>
      <c r="G13" s="21" t="s">
        <v>1095</v>
      </c>
      <c r="H13" s="21"/>
    </row>
    <row r="14" spans="1:8" x14ac:dyDescent="0.25">
      <c r="A14" s="13" t="s">
        <v>886</v>
      </c>
      <c r="B14" s="13" t="s">
        <v>887</v>
      </c>
      <c r="C14" s="13"/>
      <c r="D14" s="13"/>
      <c r="E14" s="13"/>
      <c r="F14" s="13"/>
      <c r="G14" s="13"/>
      <c r="H14" s="13"/>
    </row>
    <row r="15" spans="1:8" ht="60" x14ac:dyDescent="0.25">
      <c r="A15" s="14" t="s">
        <v>886</v>
      </c>
      <c r="B15" s="14" t="s">
        <v>887</v>
      </c>
      <c r="C15" s="15" t="s">
        <v>888</v>
      </c>
      <c r="D15" s="16" t="s">
        <v>889</v>
      </c>
      <c r="E15" s="17">
        <v>2</v>
      </c>
      <c r="F15" s="18" t="s">
        <v>893</v>
      </c>
      <c r="G15" s="16" t="s">
        <v>1096</v>
      </c>
      <c r="H15" s="16"/>
    </row>
    <row r="16" spans="1:8" ht="90" x14ac:dyDescent="0.25">
      <c r="A16" s="19" t="s">
        <v>886</v>
      </c>
      <c r="B16" s="19" t="s">
        <v>887</v>
      </c>
      <c r="C16" s="20" t="s">
        <v>890</v>
      </c>
      <c r="D16" s="21" t="s">
        <v>891</v>
      </c>
      <c r="E16" s="17">
        <v>2</v>
      </c>
      <c r="F16" s="18" t="s">
        <v>893</v>
      </c>
      <c r="G16" s="21" t="s">
        <v>1097</v>
      </c>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Diogo Manuel Oliveira Pereira</cp:lastModifiedBy>
  <cp:revision>3</cp:revision>
  <cp:lastPrinted>2026-04-15T19:56:57Z</cp:lastPrinted>
  <dcterms:created xsi:type="dcterms:W3CDTF">2026-03-04T10:14:28Z</dcterms:created>
  <dcterms:modified xsi:type="dcterms:W3CDTF">2026-05-16T21:03:46Z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