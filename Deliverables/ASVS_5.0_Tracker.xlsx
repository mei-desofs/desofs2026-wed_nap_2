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mc:AlternateContent xmlns:mc="http://schemas.openxmlformats.org/markup-compatibility/2006">
    <mc:Choice Requires="x15">
      <x15ac:absPath xmlns:x15ac="http://schemas.microsoft.com/office/spreadsheetml/2010/11/ac" url="C:\Users\dmopm\IdeaProjects\desofs2026-wed_nap_2\Deliverables\"/>
    </mc:Choice>
  </mc:AlternateContent>
  <xr:revisionPtr revIDLastSave="0" documentId="13_ncr:1_{99F548C4-0D86-4752-8B9E-96BC7D565BF7}" xr6:coauthVersionLast="47" xr6:coauthVersionMax="47" xr10:uidLastSave="{00000000-0000-0000-0000-000000000000}"/>
  <bookViews>
    <workbookView xWindow="-120" yWindow="-120" windowWidth="29040" windowHeight="15720" tabRatio="500" firstSheet="4" activeTab="4"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J6" i="1"/>
  <c r="G6" i="1"/>
  <c r="D6" i="1"/>
  <c r="E6" i="1" s="1"/>
  <c r="G23" i="1" l="1"/>
  <c r="J23" i="1"/>
  <c r="L23" i="1"/>
  <c r="E23" i="1"/>
  <c r="H6" i="1"/>
  <c r="H23" i="1" s="1"/>
  <c r="K6" i="1"/>
  <c r="K23" i="1" s="1"/>
  <c r="M6" i="1"/>
  <c r="M23" i="1" s="1"/>
  <c r="D23" i="1"/>
</calcChain>
</file>

<file path=xl/sharedStrings.xml><?xml version="1.0" encoding="utf-8"?>
<sst xmlns="http://schemas.openxmlformats.org/spreadsheetml/2006/main" count="2299" uniqueCount="1133">
  <si>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</si>
  <si>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</si>
  <si>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</si>
  <si>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</si>
  <si>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</si>
  <si>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</si>
  <si>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</si>
  <si>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</si>
  <si>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</si>
  <si>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</si>
  <si>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</si>
  <si>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</si>
  <si>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</si>
  <si>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</si>
  <si>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</si>
  <si>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</si>
  <si>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</si>
  <si>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</si>
  <si>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</si>
  <si>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</si>
  <si>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</si>
  <si>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</si>
  <si>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</si>
  <si>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</si>
  <si>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</si>
  <si>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</si>
  <si>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</si>
  <si>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</si>
  <si>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</si>
  <si>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</si>
  <si>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</si>
  <si>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</si>
  <si>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</si>
  <si>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</si>
  <si>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</si>
  <si>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</si>
  <si>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</si>
  <si>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</si>
  <si>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</si>
  <si>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</si>
  <si>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</si>
  <si>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</si>
  <si>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</si>
  <si>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</si>
  <si>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</si>
  <si>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Not Started</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</si>
  <si>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</si>
  <si>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</si>
  <si>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</si>
  <si>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</si>
  <si>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</si>
  <si>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</si>
  <si>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</si>
  <si>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</si>
  <si>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</si>
  <si>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</si>
  <si>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</si>
  <si>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</si>
  <si>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</si>
  <si>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</si>
  <si>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</si>
  <si>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</si>
  <si>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</si>
  <si>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</si>
  <si>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</si>
  <si>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</si>
  <si>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</si>
  <si>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</si>
  <si>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</si>
  <si>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</si>
  <si>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</si>
  <si>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</si>
  <si>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</si>
  <si>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</si>
  <si>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</si>
  <si>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</si>
  <si>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</si>
  <si>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</si>
  <si>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</si>
  <si>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</si>
  <si>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</si>
  <si>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</si>
  <si>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</si>
  <si>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</si>
  <si>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</si>
  <si>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</si>
  <si>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</si>
  <si>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</si>
  <si>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</si>
  <si>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</si>
  <si>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</si>
  <si>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</si>
  <si>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</si>
  <si>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</si>
  <si>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</si>
  <si>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</si>
  <si>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</si>
  <si>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</si>
  <si>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</si>
  <si>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</si>
  <si>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</si>
  <si>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</si>
  <si>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</si>
  <si>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</si>
  <si>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</si>
  <si>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</si>
  <si>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</si>
  <si>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</si>
  <si>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</si>
  <si>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</si>
  <si>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</si>
  <si>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</si>
  <si>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</si>
  <si>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</si>
  <si>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</si>
  <si>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</si>
  <si>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</si>
  <si>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</si>
  <si>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</si>
  <si>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</si>
  <si>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</si>
  <si>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</si>
  <si>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</si>
  <si>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</si>
  <si>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</si>
  <si>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</si>
  <si>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</si>
  <si>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</si>
  <si>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</si>
  <si>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</si>
  <si>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</si>
  <si>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</si>
  <si>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</si>
  <si>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</si>
  <si>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</si>
  <si>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</si>
  <si>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</si>
  <si>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</si>
  <si>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</si>
  <si>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</si>
  <si>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</si>
  <si>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</si>
  <si>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</si>
  <si>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</si>
  <si>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</si>
  <si>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</si>
  <si>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</si>
  <si>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</si>
  <si>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</si>
  <si>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</si>
  <si>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</si>
  <si>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</si>
  <si>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</si>
  <si>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</si>
  <si>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</si>
  <si>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</si>
  <si>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</si>
  <si>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</si>
  <si>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</si>
  <si>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</si>
  <si>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</si>
  <si>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</si>
  <si>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</si>
  <si>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</si>
  <si>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</si>
  <si>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</si>
  <si>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</si>
  <si>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</si>
  <si>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</si>
  <si>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</si>
  <si>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</si>
  <si>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</si>
  <si>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</si>
  <si>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</si>
  <si>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</si>
  <si>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</si>
  <si>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</si>
  <si>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</si>
  <si>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</si>
  <si>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</si>
  <si>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</si>
  <si>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</si>
  <si>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</si>
  <si>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</si>
  <si>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</si>
  <si>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</si>
  <si>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</si>
  <si>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</si>
  <si>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</si>
  <si>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</si>
  <si>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</si>
  <si>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</si>
  <si>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</si>
  <si>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</si>
  <si>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</si>
  <si>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</si>
  <si>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</si>
  <si>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</si>
  <si>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</si>
  <si>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</si>
  <si>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</si>
  <si>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</si>
  <si>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</si>
  <si>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</si>
  <si>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</si>
  <si>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</si>
  <si>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</si>
  <si>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</si>
  <si>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</si>
  <si>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</si>
  <si>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</si>
  <si>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</si>
  <si>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</si>
  <si>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</si>
  <si>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</si>
  <si>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</si>
  <si>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</si>
  <si>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</si>
  <si>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</si>
  <si>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</si>
  <si>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</si>
  <si>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</si>
  <si>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</si>
  <si>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</si>
  <si>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</si>
  <si>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</si>
  <si>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</si>
  <si>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</si>
  <si>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</si>
  <si>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</si>
  <si>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</si>
  <si>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</si>
  <si>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</si>
  <si>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</si>
  <si>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</si>
  <si>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</si>
  <si>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</si>
  <si>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</si>
  <si>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</si>
  <si>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</si>
  <si>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</si>
  <si>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</si>
  <si>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</si>
  <si>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</si>
  <si>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</si>
  <si>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</si>
  <si>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</si>
  <si>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</si>
  <si>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</si>
  <si>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</si>
  <si>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</si>
  <si>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</si>
  <si>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</si>
  <si>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</si>
  <si>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</si>
  <si>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</si>
  <si>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</si>
  <si>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</si>
  <si>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</si>
  <si>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</si>
  <si>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</si>
  <si>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</si>
  <si>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</si>
  <si>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</si>
  <si>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</si>
  <si>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</si>
  <si>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</si>
  <si>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</si>
  <si>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</si>
  <si>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</si>
  <si>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</si>
  <si>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</si>
  <si>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</si>
  <si>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</si>
  <si>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</si>
  <si>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</si>
  <si>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</si>
  <si>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</si>
  <si>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</si>
  <si>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</si>
  <si>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</si>
  <si>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</si>
  <si>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</si>
  <si>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</si>
  <si>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</si>
  <si>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</si>
  <si>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</si>
  <si>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</si>
  <si>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</si>
  <si>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</si>
  <si>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</si>
  <si>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</si>
  <si>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</si>
  <si>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</si>
  <si>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</si>
  <si>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</si>
  <si>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</si>
  <si>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</si>
  <si>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</si>
  <si>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</si>
  <si>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</si>
  <si>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</si>
  <si>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</si>
  <si>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</si>
  <si>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</si>
  <si>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</si>
  <si>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</si>
  <si>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</si>
  <si>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</si>
  <si>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</si>
  <si>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</si>
  <si>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</si>
  <si>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</si>
  <si>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</si>
  <si>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</si>
  <si>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</si>
  <si>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</si>
  <si>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</si>
  <si>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</si>
  <si>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</si>
  <si>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</si>
  <si>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</si>
  <si>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</si>
  <si>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</si>
  <si>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</si>
  <si>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</si>
  <si>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</si>
  <si>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</si>
  <si>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</si>
  <si>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</si>
  <si>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</si>
  <si>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</si>
  <si>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</si>
  <si>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</si>
  <si>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</si>
  <si>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</si>
  <si>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</si>
  <si>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</si>
  <si>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</si>
  <si>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</si>
  <si>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</si>
  <si>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</si>
  <si>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</si>
  <si>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</si>
  <si>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</si>
  <si>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</si>
  <si>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</si>
  <si>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</si>
  <si>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</si>
  <si>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</si>
  <si>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</si>
  <si>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</si>
  <si>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</si>
  <si>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</si>
  <si>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</si>
  <si>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</si>
  <si>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</si>
  <si>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</si>
  <si>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</si>
  <si>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</si>
  <si>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</si>
  <si>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</si>
  <si>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</si>
  <si>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</si>
  <si>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</si>
  <si>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</si>
  <si>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</si>
  <si>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</si>
  <si>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</si>
  <si>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</si>
  <si>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</si>
  <si>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</si>
  <si>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</si>
  <si>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</si>
  <si>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</si>
  <si>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</si>
  <si>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</si>
  <si>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</si>
  <si>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</si>
  <si>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</si>
  <si>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</si>
  <si>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</si>
  <si>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</si>
  <si>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</si>
  <si>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</si>
  <si>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</si>
  <si>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</si>
  <si>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</si>
  <si>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</si>
  <si>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</si>
  <si>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</si>
  <si>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</si>
  <si>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</si>
  <si>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</si>
  <si>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</si>
  <si>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</si>
  <si>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</si>
  <si>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</si>
  <si>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</si>
  <si>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</si>
  <si>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</si>
  <si>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</si>
  <si>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</si>
  <si>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</si>
  <si>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</si>
  <si>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</si>
  <si>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</si>
  <si>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</si>
  <si>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</si>
  <si>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</si>
  <si>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</si>
  <si>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</si>
  <si>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</si>
  <si>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</si>
  <si>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</si>
  <si>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</si>
  <si>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</si>
  <si>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</si>
  <si>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</si>
  <si>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</si>
  <si>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</si>
  <si>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</si>
  <si>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</si>
  <si>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</si>
  <si>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</si>
  <si>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</si>
  <si>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</si>
  <si>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</si>
  <si>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</si>
  <si>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</si>
  <si>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</si>
  <si>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</si>
  <si>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</si>
  <si>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</si>
  <si>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</si>
  <si>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</si>
  <si>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</si>
  <si>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</si>
  <si>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</si>
  <si>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</si>
  <si>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</si>
  <si>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</si>
  <si>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</si>
  <si>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</si>
  <si>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</si>
  <si>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</si>
  <si>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</si>
  <si>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</si>
  <si>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</si>
  <si>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</si>
  <si>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</si>
  <si>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</si>
  <si>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</si>
  <si>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</si>
  <si>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</si>
  <si>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</si>
  <si>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</si>
  <si>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</si>
  <si>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</si>
  <si>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</si>
  <si>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</si>
  <si>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</si>
  <si>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</si>
  <si>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</si>
  <si>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</si>
  <si>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</si>
  <si>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</si>
  <si>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</si>
  <si>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</si>
  <si>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</si>
  <si>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</si>
  <si>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</si>
  <si>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</si>
  <si>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</si>
  <si>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</si>
  <si>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</si>
  <si>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</si>
  <si>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</si>
  <si>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</si>
  <si>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</si>
  <si>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</si>
  <si>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</si>
  <si>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</si>
  <si>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</si>
  <si>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</si>
  <si>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</si>
  <si>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</si>
  <si>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</si>
  <si>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</si>
  <si>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</si>
  <si>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</si>
  <si>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</si>
  <si>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</si>
  <si>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</si>
  <si>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</si>
  <si>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</si>
  <si>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</si>
  <si>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</si>
  <si>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</si>
  <si>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</si>
  <si>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</si>
  <si>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</si>
  <si>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</si>
  <si>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</si>
  <si>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</si>
  <si>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</si>
  <si>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</si>
  <si>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</si>
  <si>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</si>
  <si>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</si>
  <si>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</si>
  <si>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</si>
  <si>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</si>
  <si>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</si>
  <si>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</si>
  <si>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</si>
  <si>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</si>
  <si>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</si>
  <si>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</si>
  <si>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</si>
  <si>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</si>
  <si>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</si>
  <si>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</si>
  <si>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</si>
  <si>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</si>
  <si>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</si>
  <si>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</si>
  <si>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</si>
  <si>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</si>
  <si>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</si>
  <si>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</si>
  <si>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</si>
  <si>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</si>
  <si>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</si>
  <si>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</si>
  <si>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</si>
  <si>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</si>
  <si>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</si>
  <si>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</si>
  <si>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</si>
  <si>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</si>
  <si>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</si>
  <si>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</si>
  <si>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</si>
  <si>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</si>
  <si>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</si>
  <si>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</si>
  <si>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</si>
  <si>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</si>
  <si>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</si>
  <si>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</si>
  <si>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</si>
  <si>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</si>
  <si>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</si>
  <si>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</si>
  <si>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</si>
  <si>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</si>
  <si>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</si>
  <si>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</si>
  <si>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</si>
  <si>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</si>
  <si>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</si>
  <si>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</si>
  <si>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</si>
  <si>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</si>
  <si>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</si>
  <si>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</si>
  <si>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</si>
  <si>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</si>
  <si>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</si>
  <si>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</si>
  <si>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</si>
  <si>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</si>
  <si>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</si>
  <si>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</si>
  <si>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</si>
  <si>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</si>
  <si>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</si>
  <si>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</si>
  <si>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</si>
  <si>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</si>
  <si>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</si>
  <si>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</si>
  <si>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</si>
  <si>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</si>
  <si>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</si>
  <si>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</si>
  <si>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</si>
  <si>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</si>
  <si>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</si>
  <si>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</si>
  <si>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</si>
  <si>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</si>
  <si>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</si>
  <si>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</si>
  <si>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</si>
  <si>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</si>
  <si>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</si>
  <si>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</si>
  <si>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</si>
  <si>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</si>
  <si>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</si>
  <si>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</si>
  <si>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</si>
  <si>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</si>
  <si>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</si>
  <si>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</si>
  <si>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</si>
  <si>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</si>
  <si>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</si>
  <si>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</si>
  <si>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</si>
  <si>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</si>
  <si>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</si>
  <si>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</si>
  <si>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</si>
  <si>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</si>
  <si>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</si>
  <si>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</si>
  <si>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</si>
  <si>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</si>
  <si>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</si>
  <si>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</si>
  <si>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</si>
  <si>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</si>
  <si>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</si>
  <si>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</si>
  <si>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</si>
  <si>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</si>
  <si>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</si>
  <si>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</si>
  <si>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</si>
  <si>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</si>
  <si>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</si>
  <si>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</si>
  <si>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</si>
  <si>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</si>
  <si>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</si>
  <si>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</si>
  <si>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</si>
  <si>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</si>
  <si>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</si>
  <si>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</si>
  <si>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</si>
  <si>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</si>
  <si>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</si>
  <si>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</si>
  <si>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</si>
  <si>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</si>
  <si>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</si>
  <si>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</si>
  <si>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</si>
  <si>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</si>
  <si>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</si>
  <si>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</si>
  <si>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</si>
  <si>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</si>
  <si>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</si>
  <si>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</si>
  <si>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</si>
  <si>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</si>
  <si>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</si>
  <si>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</si>
  <si>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</si>
  <si>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</si>
  <si>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</si>
  <si>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</si>
  <si>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</si>
  <si>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</si>
  <si>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</si>
  <si>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</si>
  <si>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</si>
  <si>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</si>
  <si>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</si>
  <si>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</si>
  <si>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</si>
  <si>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</si>
  <si>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</si>
  <si>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</si>
  <si>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</si>
  <si>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</si>
  <si>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</si>
  <si>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</si>
  <si>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</si>
  <si>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</si>
  <si>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</si>
  <si>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</si>
  <si>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</si>
  <si>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</si>
  <si>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</si>
  <si>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</si>
  <si>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</si>
  <si>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</si>
  <si>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</si>
  <si>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</si>
  <si>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</si>
  <si>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</si>
  <si>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</si>
  <si>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</si>
  <si>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</si>
  <si>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</si>
  <si>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</si>
  <si>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</si>
  <si>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</si>
  <si>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</si>
  <si>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</si>
  <si>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</si>
  <si>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</si>
  <si>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</si>
  <si>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</si>
  <si>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</si>
  <si>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</si>
  <si>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</si>
  <si>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</si>
  <si>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</si>
  <si>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</si>
  <si>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</si>
  <si>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</si>
  <si>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</si>
  <si>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</si>
  <si>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</si>
  <si>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</si>
  <si>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</si>
  <si>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</si>
  <si>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</si>
  <si>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</si>
  <si>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</si>
  <si>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</si>
  <si>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</si>
  <si>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</si>
  <si>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</si>
  <si>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</si>
  <si>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</si>
  <si>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</si>
  <si>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</si>
  <si>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</si>
  <si>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</si>
  <si>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</si>
  <si>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</si>
  <si>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</si>
  <si>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</si>
  <si>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</si>
  <si>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</si>
  <si>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</si>
  <si>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</si>
  <si>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</si>
  <si>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</si>
  <si>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</si>
  <si>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</si>
  <si>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</si>
  <si>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</si>
  <si>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</si>
  <si>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</si>
  <si>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</si>
  <si>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</si>
  <si>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</si>
  <si>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</si>
  <si>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</si>
  <si>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</si>
  <si>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</si>
  <si>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</si>
  <si>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</si>
  <si>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</si>
  <si>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</si>
  <si>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</si>
  <si>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</si>
  <si>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</si>
  <si>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</si>
  <si>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</si>
  <si>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</si>
  <si>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</si>
  <si>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</si>
  <si>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</si>
  <si>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</si>
  <si>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</si>
  <si>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</si>
  <si>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</si>
  <si>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</si>
  <si>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</si>
  <si>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</si>
  <si>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</si>
  <si>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</si>
  <si>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</si>
  <si>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</si>
  <si>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</si>
  <si>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</si>
  <si>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</si>
  <si>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</si>
  <si>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</si>
  <si>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</si>
  <si>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</si>
  <si>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</si>
  <si>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</si>
  <si>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</si>
  <si>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</si>
  <si>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</si>
  <si>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</si>
  <si>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</si>
  <si>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</si>
  <si>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</si>
  <si>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</si>
  <si>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</si>
  <si>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</si>
  <si>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</si>
  <si>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</si>
  <si>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</si>
  <si>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</si>
  <si>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</si>
  <si>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</si>
  <si>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</si>
  <si>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</si>
  <si>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</si>
  <si>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</si>
  <si>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</si>
  <si>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</si>
  <si>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</si>
  <si>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</si>
  <si>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</si>
  <si>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</si>
  <si>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</si>
  <si>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</si>
  <si>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</si>
  <si>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</si>
  <si>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</si>
  <si>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</si>
  <si>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</si>
  <si>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</si>
  <si>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</si>
  <si>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</si>
  <si>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</si>
  <si>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</si>
  <si>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</si>
  <si>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</si>
  <si>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</si>
  <si>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</si>
  <si>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</si>
  <si>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</si>
  <si>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</si>
  <si>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</si>
  <si>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</si>
  <si>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</si>
  <si>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</si>
  <si>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</si>
  <si>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</si>
  <si>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</si>
  <si>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</si>
  <si>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</si>
  <si>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</si>
  <si>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</si>
  <si>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</si>
  <si>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</si>
  <si>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</si>
  <si>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</si>
  <si>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</si>
  <si>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</si>
  <si>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</si>
  <si>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</si>
  <si>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</si>
  <si>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</si>
  <si>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</si>
  <si>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</si>
  <si>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</si>
  <si>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</si>
  <si>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</si>
  <si>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</si>
  <si>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</si>
  <si>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</si>
  <si>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</si>
  <si>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</si>
  <si>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</si>
  <si>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</si>
  <si>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</si>
  <si>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</si>
  <si>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</si>
  <si>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</si>
  <si>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</si>
  <si>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</si>
  <si>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</si>
  <si>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</si>
  <si>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</si>
  <si>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</si>
  <si>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</si>
  <si>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</si>
  <si>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</si>
  <si>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</si>
  <si>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</si>
  <si>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</si>
  <si>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</si>
  <si>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</si>
  <si>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</si>
  <si>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</si>
  <si>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</si>
  <si>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In Progress</t>
  </si>
  <si>
    <t>Not Applicable</t>
  </si>
  <si>
    <t>c</t>
  </si>
  <si>
    <t>REST API with no browser-facing front-end. No browser security features need to be documented.</t>
  </si>
  <si>
    <t>No HTML rendering occurs in the API. All responses are JSON or binary file content.</t>
  </si>
  <si>
    <t>No client-side JavaScript is used. ArcadeHaven is a back-end REST API only.</t>
  </si>
  <si>
    <t>No cookies are used. Authentication is handled via JWT Bearer tokens.</t>
  </si>
  <si>
    <t>No cookies are used.</t>
  </si>
  <si>
    <t>No session cookies are used. JWTs are transmitted via the Authorization header only.</t>
  </si>
  <si>
    <t>Uses JWT tokens in the Authorization header, not cookies.</t>
  </si>
  <si>
    <t>REST API with no browser-facing interface. Browser feature detection is not applicable.</t>
  </si>
  <si>
    <t>Not serve or load any external client-side assets (JS libraries, CSS, fonts). No CDN resources are used in the back-end API.</t>
  </si>
  <si>
    <t>No WebSocket handshake is performed. Not applicable to the current project scope.</t>
  </si>
  <si>
    <t>No WebSocket connections are used. Session management is handled via JWT Bearer tokens over HTTPS.</t>
  </si>
  <si>
    <t>No WebSocket connections are used. Not applicable to the current project scope.</t>
  </si>
  <si>
    <t>ArcadeHaven does not implement WebSocket connections. All communication is via standard HTTPS REST API calls.</t>
  </si>
  <si>
    <t>ArcadeHaven uses a REST API, not GraphQL. Introspection queries do not exist in this context.</t>
  </si>
  <si>
    <t>ArcadeHaven uses a REST API, not GraphQL. This requirement is not applicable.</t>
  </si>
  <si>
    <t>ArcadeHaven will use HTTP/1.1 initially via Spring Boot embedded Tomcat, which handles Transfer-Encoding and Content-Length boundaries correctly by default. HTTP/2 support will be evaluated in Phase 2 with explicit validation of DATA frame consistency.</t>
  </si>
  <si>
    <t>ArcadeHaven is a back-end REST API with no browser-facing front-end. Client-side storage clearing and Clear-Site-Data headers are not applicable in the current scope.</t>
  </si>
  <si>
    <t>Authentication uses JWT Bearer tokens passed in the Authorization header, managed entirely by the API consumer.</t>
  </si>
  <si>
    <t>ArcadeHaven API will never include sensitive data (API keys, tokens, passwords) in URL query strings. All sensitive data will be transmitted in the HTTP request body (POST/PUT) or in the Authorization header. Enforced by API design guidelines and validated in code reviews.</t>
  </si>
  <si>
    <t>ArcadeHaven does not integrate any third-party trackers or analytics services. The only external service calls are to RAWG API (game metadata, no user data sent). No user data is shared with untrusted parties.</t>
  </si>
  <si>
    <t>Sensitive API responses will include Cache-Control: no-store headers to prevent caching in intermediary layers such as load balancers or reverse proxies.</t>
  </si>
  <si>
    <t>Controls defined in V14.1.2 will be implemented and verified: BCrypt for password hashing, TLS for data in transit, Cache-Control: no-store for sensitive responses, role-based access to sensitive log data, and data retention policies enforced via scheduled database cleanup jobs.</t>
  </si>
  <si>
    <t>All sensitive data in ArcadeHaven will be identified and classified. Key sensitive data includes: password hashes, JWT tokens, activation keys, personal user data (email, username), order history, and payment-related data. JWT payloads will be treated as sensitive despite being only Base64-encoded. Classification will be documented in the data protection policy.</t>
  </si>
  <si>
    <t>ArcadeHaven will enforce TLS 1.2 and TLS 1.3 only. TLS 1.0 and 1.1 will be explicitly disabled in the Spring Boot embedded Tomcat configuration and in the reverse proxy (Nginx/Docker). TLS 1.3 will be set as the preferred version.</t>
  </si>
  <si>
    <t>ArcadeHaven does not implement mutual TLS (mTLS) client certificate authentication in Phase 1. Authentication is handled via JWT Bearer tokens.</t>
  </si>
  <si>
    <t>ArcadeHaven does not use OAuth2 in Phase 1. Tokens are issued and consumed internally. No backend-for-frontend or token forwarding is used.</t>
  </si>
  <si>
    <t>No external authorization server is used. Token values are generated and validated entirely within the ArcadeHaven backend.</t>
  </si>
  <si>
    <t>ArcadeHaven does not implement an OAuth client or authorization code flow in Phase 1.</t>
  </si>
  <si>
    <t>No multiple authorization server interaction is used. Not applicable in the current scope.</t>
  </si>
  <si>
    <t>No OAuth client is implemented. Scope management is handled internally via role-based access control</t>
  </si>
  <si>
    <t>Authorization decisions are based on the role claim in the JWT. Spring Security's method-level security (@PreAuthorize) enforces delegated authorization based on token claims.</t>
  </si>
  <si>
    <t>ArcadeHaven acts as its own resource server. JWT tokens include an aud claim set to arcadehaven-api, validated on every request. Tokens not intended for ArcadeHaven will be rejected.</t>
  </si>
  <si>
    <t>The user's unique identifier is extracted from the JWT for access control decisions. No separate introspection endpoint is used.</t>
  </si>
  <si>
    <t>ArcadeHaven does not require specific authentication strength or recentness for resource access beyond standard JWT validation. Not applicable in the current scope.</t>
  </si>
  <si>
    <t>Token theft prevention relies on short expiry (15 minutes) and HTTPS enforcement.</t>
  </si>
  <si>
    <t>Refresh tokens will have an absolute expiration (e.g. 7 days), regardless of usage. Sliding expiration will not be used to prevent indefinite session extension.</t>
  </si>
  <si>
    <t>Users will be able to revoke refresh tokens via the logout endpoint (POST /api/auth/logout). A token denylist will be maintained server-side to immediately invalidate revoked tokens.</t>
  </si>
  <si>
    <t>ArcadeHaven does not implement an OAuth authorization server or redirect URI flows in Phase 1.</t>
  </si>
  <si>
    <t>No authorization code flow is implemented. Not applicable in the current scope.</t>
  </si>
  <si>
    <t>No authorization codes are issued. Not applicable in the current scope.</t>
  </si>
  <si>
    <t>No OAuth grant types are implemented. Access is controlled via internal JWT issuance only.</t>
  </si>
  <si>
    <t>No refresh token replay mitigation via sender-constrained tokens is needed. Refresh tokens will use rotation each use issues a new token and invalidates the previous one.</t>
  </si>
  <si>
    <t>No authorization code flow or PKCE is implemented</t>
  </si>
  <si>
    <t>No dynamic client registration is supported. ArcadeHaven has no external OAuth clients.</t>
  </si>
  <si>
    <t>No confidential OAuth clients are used. ArcadeHaven issues tokens directly to authenticated users, not to external client applications.</t>
  </si>
  <si>
    <t>No OAuth client scope configuration is applicable. Permissions are managed via user roles defined in the JWT claims.</t>
  </si>
  <si>
    <t>No response_mode configuration is applicable. ArcadeHaven does not implement an OAuth authorization server.</t>
  </si>
  <si>
    <t>No authorization code flow or Pushed Authorization Requests (PAR) are used.</t>
  </si>
  <si>
    <t>No server-side OAuth client is implemented. Not applicable in the current scope.</t>
  </si>
  <si>
    <t>No external OAuth client authentication is used. Not applicable in the current scope.</t>
  </si>
  <si>
    <t>ArcadeHaven does not implement an OIDC client or consume ID Tokens from an external provider.</t>
  </si>
  <si>
    <t>Sender-constrained (Proof-of-Possession) tokens are out of scope.</t>
  </si>
  <si>
    <t>User identity is uniquely identified via the sub claim (user UUID) in the internally issued JWT. No external OIDC ID Token is used.</t>
  </si>
  <si>
    <t>ArcadeHaven does not act as an OpenID Provider. Not applicable in the current scope.</t>
  </si>
  <si>
    <t>No OAuth consent prompts are displayed. Not applicable in the current scope.</t>
  </si>
  <si>
    <t>No OAuth consent grants are managed externally. Users can manage their account and revoke sessions via the ArcadeHaven API directly.</t>
  </si>
  <si>
    <t>No external OAuth authorization flows requiring user consent screens are implemented. ArcadeHaven manages permissions internally via role assignment at registration.</t>
  </si>
  <si>
    <t>No external authorization server is used. Issuer confusion attacks are not applicable in the current scope.</t>
  </si>
  <si>
    <t>No external ID Tokens are consumed. Audience validation is performed on internally issued JWTs</t>
  </si>
  <si>
    <t>No OIDC back-channel logout is implemented. Not applicable in the current scope.</t>
  </si>
  <si>
    <t>All JWT tokens issued by ArcadeHaven will be validated using their digital signature (HMAC-SHA256 or RS256) before any token content is trusted. Spring Security's JWT filter will reject any token with an invalid or missing signature with a 401 response.</t>
  </si>
  <si>
    <t>An algorithm allowlist will be configured in the JWT validation layer. Only HS256 or RS256 will be permitted. The None algorithm will be explicitly rejected. No mixed symmetric/asymmetric support is planned, avoiding key confusion risks.</t>
  </si>
  <si>
    <t>ArcadeHaven uses a single audience (arcadehaven-api), so audience confusion risk is low.</t>
  </si>
  <si>
    <t>JWT tokens will include an aud (audience) claim set to arcadehaven-api. The validation layer will reject any token whose aud claim does not match the expected value.</t>
  </si>
  <si>
    <t>Key material for JWT validation will be pre-configured server-side via environment variables. JWT headers such as jku, x5u, and jwk will be ignored or validated against a strict allowlist to prevent attackers from supplying untrusted key sources.</t>
  </si>
  <si>
    <t>JWT tokens will include exp (expiration) and nbf (not before) claims. The validation layer will reject tokens outside their validity window. Access tokens will have a maximum lifetime of 15 minutes.</t>
  </si>
  <si>
    <t>ArcadeHaven will issue distinct token types (access token, refresh token)</t>
  </si>
  <si>
    <t>No server-side file decompression is performed on user-uploaded files. Zip slip attacks are not applicable in the current scope.</t>
  </si>
  <si>
    <t>Maximum file size limits will be enforced at the Spring Boot level via spring.servlet.multipart.max-file-size and spring.servlet.multipart.max-request-size. Requests exceeding the limit will be rejected with a 413 response before processing begins.</t>
  </si>
  <si>
    <t>All uploaded files will be validated by checking the file extension against an allowlist (JPEG, PNG, WebP) and verifying the magic bytes of the file content. Image files will be re-written server-side (via Java ImageIO) to strip any embedded malicious content and confirm the file is a valid image.</t>
  </si>
  <si>
    <t>No compressed file uploads are accepted. Symlink exploitation via zip files is not applicable in the current scope.</t>
  </si>
  <si>
    <t>ArcadeHaven does not accept compressed archive uploads (zip, gz, etc.).</t>
  </si>
  <si>
    <t>Documentation will define permitted file types per upload feature: game images (JPEG, PNG, WebP - max 5MB), game cover art (JPEG, PNG - max 2MB). System-generated files (PDF invoices, TXT activation keys) have no upload surface. The documentation will also specify behaviour when a malicious file is detected (reject with 400, log the event, notify the admin).</t>
  </si>
  <si>
    <t>REST API No user-facing redirect notifications are applicable.</t>
  </si>
  <si>
    <t>ArcadeHaven adopts structured JSON logging as the standard format across all components. Each log record follows a consistent schema with named fields (timestamp, level, userId, action, resource, outcome, sourceIp), enabling direct ingestion by standard log processors such as ELK, Splunk, or CloudWatch without pre-processing. This format is defined in LM-001 and eliminates the need for custom log parsing rules.</t>
  </si>
  <si>
    <t>ArcadeHaven uses JWT-based authentication (RNF-02, RF-02). LM-002 requires that every login attempt — whether successful or failed — is logged with the user identifier, authentication method (JWT), timestamp, source IP address, and outcome. Failed attempts are particularly critical for detecting brute-force attacks (abuse case AC-01) and username enumeration (abuse case AC-09). The log entry for a failed attempt does not reveal whether the username or the password was incorrect, to prevent enumeration.</t>
  </si>
  <si>
    <t>User-supplied data included in log records is sanitised before writing. IV-001 (whitelist validation) ensures input fields contain only expected characters, and IV-003 (output encoding) applies JSON encoding to any user-controlled value before it is embedded in a structured log entry. CRLF injection — where an attacker submits newline characters in a login username, search query, or game description field to forge or split log entries — is specifically addressed by abuse case AC-21.</t>
  </si>
  <si>
    <t>ArcadeHaven has no audio or video recording functionality. The only document generation in the platform is PDF invoice creation via the iText library (RF-16, RF-26), which processes structured order data from the database, not media streams. There is no SRTP frame handling, no recording pipeline, and no exposure to malformed media payloads.</t>
  </si>
  <si>
    <t>ArcadeHaven's cryptographic keys are documented at the requirements level: the JWT signing secret is managed as an environment variable (RNF-23, SC-001), and the BCrypt cost factor is a configurable application parameter (RNF-01). A formal key management lifecycle document covering key generation, storage, rotation schedule, expiry, and revocation — aligned with NIST SP 800-57 — is being produced. The JWT signing key is the highest-priority asset: its compromise would allow forging authentication tokens for any user role.</t>
  </si>
  <si>
    <t>ArcadeHaven's cryptographic operations are documented across RNF-01, RNF-02, RNF-05, and RNF-08: BCrypt (work factor 12) for password hashing, HMAC-SHA256 for JWT signing, TLS 1.2+ for transport, and CSPRNG for activation key generation. A consolidated cryptographic inventory — listing each operation with its algorithm parameters, key storage location, data types protected, and usage restrictions — is being assembled from these sources into a single reference document.</t>
  </si>
  <si>
    <t>ArcadeHaven uses industry-standard libraries for all cryptographic operations. BCrypt is implemented via Spring Security's BCryptPasswordEncoder, a widely audited production-grade implementation. JWT signing and verification uses a standard JWT library (jjwt or Spring Security OAuth2). No custom cryptographic code is written — all operations are delegated to these validated libraries.</t>
  </si>
  <si>
    <t>ArcadeHaven's cryptographic parameters are configurable without architectural redesign: the BCrypt cost factor is an application configuration parameter, the JWT algorithm can be reconfigured within the JWT library (e.g., swapping HS256 for RS256 by changing the signing key and algorithm identifier), and TLS cipher suite selection is an infrastructure-level configuration. A documented crypto agility plan — defining the upgrade path and re-hashing migration procedure for each algorithm in the event of a cryptographic break — is being added to the security architecture documentation.</t>
  </si>
  <si>
    <t>BCrypt with work factor 12 provides adequate security against brute-force attacks on the hash output. JWT HS256 uses a 256-bit HMAC key, providing 128-bit security equivalence. TLS 1.2+ mandates cipher suites with at least 128-bit security (AES-128-GCM or AES-256-GCM). The JWT signing secret must be at least 256 bits (32 bytes) to match the HS256 key size requirement.</t>
  </si>
  <si>
    <t>Although a Level 3 requirement, ArcadeHaven's cryptographic libraries already implement constant-time behavior. Spring Security's BCryptPasswordEncoder.matches() uses constant-time comparison for hash verification. Standard JWT libraries (jjwt, Spring Security OAuth2) use constant-time HMAC comparison to prevent timing side-channel attacks on signature verification. No custom comparison logic bypasses these guarantees. A formal verification sweep to confirm no application-level comparison paths short-circuit on cryptographic values has not yet been completed.</t>
  </si>
  <si>
    <t>Padding Oracle attacks require an application to perform CBC-mode block cipher decryption and return distinguishable error responses for padding failures versus decryption failures. ArcadeHaven performs no application-level CBC decryption. Transport encryption is handled entirely by TLS (RNF-05); password storage uses BCrypt (not a symmetric cipher); JWT uses HMAC-SHA256 signing (not encryption). The attack surface for Padding Oracle vulnerabilities is architecturally absent.</t>
  </si>
  <si>
    <t>ArcadeHaven does not implement application-level symmetric encryption. All block cipher usage is within TLS 1.2+, which prohibits ECB mode and PKCS#1 v1.5 padding. BCrypt does not use ECB; JWT payloads are Base64url-encoded and signed — not encrypted with a block cipher. No ECB or weak padding schemes exist in the application's cryptographic surface.</t>
  </si>
  <si>
    <t>Transport encryption across all ArcadeHaven endpoints uses HTTPS with TLS 1.2 or higher (RNF-05). TLS 1.2+ negotiates only approved cipher suites including AES-128-GCM and AES-256-GCM. The application does not perform additional symmetric encryption beyond what TLS provides — data at rest is either BCrypt-hashed (passwords) or stored with access controls.</t>
  </si>
  <si>
    <t>JWT tokens — the primary bearer of sensitive state in ArcadeHaven — use HMAC-SHA256 (HS256) to produce a signature over the Base64url-encoded header and payload. Any modification to the token claims (e.g., changing the user role from buyer to admin) invalidates the signature and causes rejection. TLS-protected responses are also integrity-protected by the TLS record MAC.</t>
  </si>
  <si>
    <t>ArcadeHaven implements no custom combination of a symmetric cipher and a separate MAC algorithm. JWT uses sign-then-Base64url-encode with HMAC-SHA256 (not a cipher+MAC combination). TLS-authenticated encryption (AEAD via AES-GCM) is handled internally by the TLS stack — the application does not compose encryption and MAC operations separately. The encrypt-then-MAC ordering concern is architecturally inapplicable to ArcadeHaven's cryptographic surface.</t>
  </si>
  <si>
    <t>ArcadeHaven uses only approved hash functions. BCrypt (for password hashing) uses an internal Blowfish-based construction approved as a password KDF. JWT signing uses HMAC-SHA256, an approved MAC construction based on SHA-256. MD5 and SHA-1 are not used anywhere in the application's cryptographic surface.</t>
  </si>
  <si>
    <t>All ArcadeHaven user passwords are stored as BCrypt hashes (RNF-01, AC-001). BCrypt is the industry-standard password KDF, specifically designed to be computationally intensive and resistant to GPU-accelerated brute-force attacks. The work factor is configurable and must be set to at least 10; current OWASP guidance recommends 12. The work factor is stored in the hash itself, enabling seamless re-hashing to a higher cost factor in future. Plaintext passwords are never stored or logged.</t>
  </si>
  <si>
    <t>JWT tokens in ArcadeHaven are signed using HMAC-SHA256 (HS256). SHA-256 produces a 256-bit (32-byte) output, meeting the minimum bit-length for collision resistance. The HMAC construction provides both collision resistance and a keyed MAC property, ensuring that only the holder of the JWT signing secret can produce a valid signature. This protects against token forgery and role claim modification (abuse case AC-03).</t>
  </si>
  <si>
    <t>BCrypt's adaptive cost factor provides key stretching for password hashing (RNF-01). The cost factor determines the number of Blowfish key schedule rounds, making each hash attempt exponentially more expensive as the factor increases. An attacker who obtains the BCrypt hash cannot brute-force the original password efficiently. The cost factor must be calibrated to take at least 100ms per hash on current hardware, per OWASP guidance.</t>
  </si>
  <si>
    <t>A security gap has been identified: RNF-08 specifies activation key generation using "UUID or equivalent," but this requirement explicitly states that UUIDs do not meet the CSPRNG 128-bit entropy condition. Activation keys grant access to purchased games in a buyer's library and are high-value targets for theft (abuse case AC-07). The fix is to generate 128 bits of raw entropy using Java's SecureRandom, encoded as a 32-character hex or 22-character base64url string. SC-003 and RNF-08 are being updated to reflect CSPRNG-based generation.</t>
  </si>
  <si>
    <t>Although a Level 3 requirement, Java's SecureRandom — the CSPRNG mandated by V11.5.1 for activation key generation — is by design non-blocking and thread-safe under concurrent load. Since Java 9, the NativePRNGNonBlocking algorithm reads from /dev/urandom on Linux (never blocks) and the JVM reseeds automatically without degrading to a predictable state. No application-level changes are required; the mechanism is inherently compliant. A formal confirmation of the SecureRandom algorithm variant in use within the Docker container is pending.</t>
  </si>
  <si>
    <t>ArcadeHaven uses JWT for authentication (RNF-02). If HS256 is used, the HMAC shared secret is a random byte array with no susceptibility to RSA-specific attacks such as Fermat factorization. If RS256 is used, the RSA key pair must be generated via Java KeyPairGenerator with a minimum key size of 3072 bits — standard Spring Security and JWT library implementations enforce correct prime selection and are not vulnerable to Fermat factorization. Algorithm confusion attacks (HS256 vs RS256 swap) are rejected by the JWT library.</t>
  </si>
  <si>
    <t>ArcadeHaven performs no application-level key exchange. All key establishment is handled by TLS at the transport layer (RNF-05). The TLS stack negotiates cipher suites using ECDHE or DHE with approved parameters, which is an infrastructure concern. The application does not implement Diffie-Hellman or any key exchange protocol directly. This is also a Level 3 requirement.</t>
  </si>
  <si>
    <t>Full memory encryption (e.g., AMD SME/SEV, Intel TME) is a hardware and OS-level capability that operates below the application layer. ArcadeHaven cannot implement or control this from within a Java/Spring Boot application or Docker container. The application minimises sensitive data in memory: plaintext passwords are passed directly to BCrypt and not retained; JWT tokens live only for the duration of a single request. Memory protection beyond this scope is an infrastructure responsibility outside the application's control surface.</t>
  </si>
  <si>
    <t>This is a Level 3 requirement. ArcadeHaven targets ASVS Level 2. Spring beans are singletons by default; thread-safety depends on all service and controller components being stateless. A formal thread-safety audit of all shared state has not been performed.</t>
  </si>
  <si>
    <t>pom.xml provides a complete list of all direct third-party dependencies. All dependencies are sourced from Maven Central, a pre-defined and trusted repository. A formal SBOM in CycloneDX format is being generated via the cyclonedx-maven-plugin, which includes transitive dependencies.</t>
  </si>
  <si>
    <t>Resource-demanding operations identified and documented: file uploads (FO-001/002 — max size and MIME validation), PDF invoice generation via iText (RF-16/26 — triggered only on confirmed order completion), and RAWG API calls (RF-12/RNF-16 — configurable timeout with local metadata fallback). Rate limiting (AC-006, RNF-09) applies across all high-volume endpoints.</t>
  </si>
  <si>
    <t>Although a Level 3 requirement, ArcadeHaven's V15.1.3 analysis already identifies and documents all resource-demanding and high-risk functionality: file uploads (disk I/O, MIME validation bypass risk), PDF invoice generation via iText (server-side file generation with user-controlled order data), RAWG API HTTP calls (SSRF adjacency, external dependency), and activation key generation (CSPRNG entropy dependency). These represent the dangerous functionality areas. A separate formal "dangerous functionality" section is being added to the security architecture documentation to satisfy the explicit V15.1.5 framing.</t>
  </si>
  <si>
    <t>Dependencies are version-pinned in pom.xml. OWASP Dependency Check is being integrated into the CI/CD pipeline to scan all direct and transitive dependencies against the NVD on each build, blocking any component with a CVE that exceeds the documented remediation timeframe (V15.1.1). No known high or critical CVEs have been identified in the current dependency set.</t>
  </si>
  <si>
    <t>Defenses implemented: maximum file size enforced at the Spring multipart layer (FO-001), MIME type validation rejects unexpected content (FO-002), HTTP client timeout configured for RAWG API calls (RNF-16), local metadata fallback when RAWG is unavailable, and rate limiting (AC-006, RNF-09) on all security-sensitive and high-volume endpoints to prevent repeated triggering of resource-intensive operations.</t>
  </si>
  <si>
    <t>ArcadeHaven is containerised with Docker (RNF-21/22). Spring Boot application profiles separate development and production configurations. The production profile disables Swagger/OpenAPI UI endpoints, the H2 console, and any Spring Boot Actuator management endpoints. Test utilities and database seeding scripts are excluded from the production Docker image.</t>
  </si>
  <si>
    <t>Although a Level 3 requirement, ArcadeHaven's Docker containerisation directly satisfies the requirement's explicit examples: containerization and network-level isolation. The entire application — including the iText PDF generation component, the RAWG API HTTP client, and the file upload handler — runs inside a Docker container with no host-level access. The database is isolated in a separate container with network-level access restricted to the application container. No process can escape the container boundary without explicit Docker configuration. Additional sandboxing beyond Docker (e.g., seccomp profiles, AppArmor) is being evaluated as part of the deployment hardening specification.</t>
  </si>
  <si>
    <t>ArcadeHaven uses dedicated response DTO classes for all API responses. Entity classes (User, Game, Order, ActivationKey) are never directly serialised into responses. The UserResponseDTO never includes passwordHash; OrderResponseDTO excludes activation key values except in the explicit library endpoint for authenticated buyers; GameResponseDTO excludes internal metadata fields.</t>
  </si>
  <si>
    <t>The only outbound HTTP call in ArcadeHaven is to the RAWG API for game metadata enrichment (RF-12). The HTTP client (RestTemplate or WebClient) is explicitly configured to disable automatic redirect-following. An unexpected redirect from the RAWG API is treated as a failure and falls back to locally stored metadata (RNF-16).</t>
  </si>
  <si>
    <t>Spring Boot uses dedicated request DTO classes for each endpoint operation. JPA entities are never directly bound to request bodies. Fields that must not be modifiable by users — role, userId, createdAt, isApproved, activationKeyValue — are absent from request DTOs. Role assignment is performed exclusively through the administrator role-management endpoint (RF-07) with explicit authorization checks (AC-004).</t>
  </si>
  <si>
    <t>The Docker deployment configuration is defining the reverse proxy layer to forward the original client IP via the X-Forwarded-For header. The application reads the client IP from this trusted header for rate limiting (AC-006) and security event logging (LM-001). The proxy configuration strips any client-supplied X-Forwarded-For headers before appending its own, preventing IP spoofing at the application boundary.</t>
  </si>
  <si>
    <t>Java is a statically and strongly typed language with no implicit type coercion. All API inputs are declared as typed DTO fields annotated with Bean Validation constraints (@NotNull, @Positive, @Email, @Size). Jackson's deserialiser rejects type mismatches with a 400 Bad Request before reaching business logic. There is no type juggling equivalent in Java.</t>
  </si>
  <si>
    <t>Prototype pollution is a vulnerability class specific to JavaScript/Node.js environments. ArcadeHaven is a Java/Spring Boot backend with no JavaScript runtime component. This vulnerability class is architecturally inapplicable.</t>
  </si>
  <si>
    <t>Spring MVC processes query parameters, request body, and header fields through separate and explicit binding mechanisms (@RequestParam, @RequestBody, @RequestHeader). Duplicate query parameters for a single-value field produce a 400 Bad Request via Spring's typed binding. Input validation (IV-001) applies whitelist validation to all parameters before they reach business logic.</t>
  </si>
  <si>
    <t>LM-002 requires logging of all authorization failures with user identity, role at time of request, target resource, and outcome. ArcadeHaven enforces three role levels (administrator, publisher, buyer) via RNF-04 and AC-004. Authorization failures include: a buyer attempting to access publisher-only game management routes (AC-11), any user attempting to access admin approval endpoints (AC-12), and a buyer attempting to cancel another buyer's order (AC-16).</t>
  </si>
  <si>
    <t>ArcadeHaven defines its logging inventory across RNF-07 and the LM-001/002/003 control catalog. The events to be logged are enumerated: authentication attempts (success and failure), authorization failures, role changes by administrators, invoice download access, activation key access, input validation failures, and security control failures. The application emits structured JSON logs to stdout. Log centralisation to an external system is an infrastructure concern outside the application layer.</t>
  </si>
  <si>
    <t>SC-002 explicitly prohibits logging of JWT tokens, passwords, API keys, and credit card numbers in any log entry. The structured JSON log schema (LM-001) uses named fields, and IV-003 applies JSON encoding before any user-controlled value is written to a log record. A data classification table mapping each ArcadeHaven data category — password hashes, JWT tokens, activation keys, email addresses, order IDs — to an explicit logging rule (log as-is, log masked, omit entirely) is being formalized to complement the SC-002 prohibitions.</t>
  </si>
  <si>
    <t>ArcadeHaven logs exclusively to stdout within the Docker container. No third-party logging services, external log collectors, or additional file destinations are integrated at the application level. All log destinations are identified in the V16 logging inventory (V16.1.1). Any future integration with a SIEM or log forwarder will be added to the inventory before use.</t>
  </si>
  <si>
    <t>LM-001 mandates UTC timestamps for all log entries. The application generates UTC timestamps using the JVM's Instant.now(), which reads from the system clock. Time source synchronisation across all Docker containers (application and database) is ensured by the host system NTP configuration, being defined as part of the Docker deployment specification (RNF-21/22). The application itself does not depend on local wall-clock time for any security decisions.</t>
  </si>
  <si>
    <t>Every ArcadeHaven log entry includes: UTC timestamp, user ID, user role at time of the event, action type, target resource (e.g., game ID, order ID, invoice path), source IP address, and outcome (success or failure). This schema is defined by LM-001 (Structured Logging) and applies uniformly across all security-relevant events including login, role changes, game approvals, and file operations.</t>
  </si>
  <si>
    <t>LM-003 defines the catalog of security events to be logged in ArcadeHaven: input validation failures (SQL injection attempts, XSS payloads, oversized files), activation key misuse, path traversal attempts on invoice download, MIME type mismatch on file upload, and CRLF injection in logged fields (abuse case AC-21). Any attempt to bypass a security control — whether it succeeds or fails — must generate a log entry at security-event level.</t>
  </si>
  <si>
    <t>ArcadeHaven integrates with the RAWG API over HTTPS (RF-12). Any TLS failure, connection timeout, or unexpected HTTP error code from an external call is treated as a security-relevant event and logged at ERROR level with the target URL, failure type, and timestamp. Unhandled application exceptions are caught by a global exception handler (ER-02) which logs the full exception detail — including stack trace and correlation ID — before returning a generic response to the client.</t>
  </si>
  <si>
    <t>ArcadeHaven logs are emitted to stdout within the Docker container (RNF-21/22). Container-level isolation restricts direct filesystem access to the log stream to authorised operators with Docker host access. File-system access controls — read restricted to log analysis roles, write restricted to the application process, and append-only mode for the container log output — are being defined as part of the Docker deployment configuration.</t>
  </si>
  <si>
    <t>ArcadeHaven is a REST API application containerised with Docker (RNF-21, RNF-22). The application emits structured JSON logs to stdout; collection, forwarding, and storage in a logically separate system is an infrastructure responsibility outside the application layer. Log forwarding to a SIEM or log management service will be configured at deployment time and does not require changes to application code.</t>
  </si>
  <si>
    <t>ArcadeHaven exposes a REST API with four trust levels (unauthenticated, buyer, publisher, administrator). Any unhandled exception or security-sensitive error must return a generic response body — for example, {"error": "An unexpected error occurred", "ref": "&lt;correlation-id&gt;"} — regardless of the internal cause. Stack traces, SQL error messages, internal file paths, and exception class names must never appear in HTTP responses. Defined as ER-01 and verified by ST-017.</t>
  </si>
  <si>
    <t>ArcadeHaven integrates with the RAWG API for game metadata enrichment (RF-12). RNF-16 defines fallback behaviour to locally stored metadata when the external API is unavailable. The circuit breaker pattern — returning cached local metadata rather than propagating raw external error responses to the client or silently skipping security checks — is being designed as part of the external integration architecture. RAWG API failures must produce a structured fallback response (abuse case AC-19).</t>
  </si>
  <si>
    <t>ArcadeHaven's authorization model (RNF-04, AC-004) is designed to deny by default: any exception thrown during an authorization check must result in access being denied, not granted. A fail-open condition — where an authorization check throws an exception and the request is allowed through — is explicitly prohibited. The global exception handler (ER-02) catches all unhandled exceptions and returns a generic error response, ensuring incomplete request processing never results in partial authorization.</t>
  </si>
  <si>
    <t>Although a Level 3 requirement, ArcadeHaven's ER-02 control already defines the global exception handler: a Spring @ControllerAdvice / @ExceptionHandler(Exception.class) that intercepts all unhandled exceptions, logs the full detail (stack trace, correlation ID) internally, and returns a generic client response. This handler functions as a last resort handler by design. A formally verified implementation — confirming that no exception class hierarchy escapes the catch-all handler — is being completed as part of the ER-02 implementation review.</t>
  </si>
  <si>
    <t>ArcadeHaven has no TURN servers and no peer-to-peer infrastructure. All client-server communication is synchronous REST API over HTTPS. The 30 functional requirements (RF-01 to RF-30) define only game catalog browsing, order management, invoice generation, file upload, and library management — none of which involve NAT traversal or peer-to-peer connectivity.</t>
  </si>
  <si>
    <t>ArcadeHaven has no TURN infrastructure and therefore no TURN allocation mechanism that could be exhausted. Resource exhaustion protection in the platform is applied to REST API endpoints via rate limiting (RNF-09) and temporary account lockout (AC-006). These controls target HTTP request flooding, not TURN allocation abuse.</t>
  </si>
  <si>
    <t>ArcadeHaven does not implement DTLS. The platform uses standard TLS for all HTTPS communication (RNF-05). DTLS is specific to UDP-based media transport and has no role in a synchronous REST API over TCP/TLS. Cipher suite configuration is governed by V12 (Secure Communication), which enforces TLS 1.2 or higher across all API endpoints.</t>
  </si>
  <si>
    <t>ArcadeHaven has no media transcoding pipeline. The platform handles two categories of files: game image uploads from publishers (stored as-is on the server file system) and PDF invoices generated server-side using iText. Neither involves audio or video encoding, transcoding, or streaming. File storage is protected by HTTPS during transit and by access controls during retrieval (FO-003, FO-004).</t>
  </si>
  <si>
    <t>ArcadeHaven transmits no RTP or SRTP streams. All communication between clients and the server is HTTP/REST over TLS (RNF-05). The only "media" distributed by the platform are static files (game images, invoices, activation keys) served as HTTP responses — not real-time audio or video streams.</t>
  </si>
  <si>
    <t>ArcadeHaven processes no real-time media streams and has no stream identifier mechanism. Input validation in the platform applies to JSON request bodies, query parameters, path variables, and uploaded file metadata — not to RTP stream identifiers. Input validation is governed by RNF-06, IV-001 (whitelist validation), and IV-002 (parameterised queries).</t>
  </si>
  <si>
    <t>ArcadeHaven has no media server and receives no SRTP traffic. Flood resilience in the platform is applied at the HTTP API layer via rate limiting (RNF-09) and temporary account lockout (AC-006). These controls protect against HTTP request flooding targeting game catalog, order, and library endpoints — not against SRTP or UDP-based media floods.</t>
  </si>
  <si>
    <t>The ClientHello Race condition is specific to DTLS handshake implementations. ArcadeHaven uses only TLS over TCP for HTTPS communication — there is no DTLS handshake in any part of the application. TLS configuration and cipher suite hardening is addressed in V12 (Secure Communication).</t>
  </si>
  <si>
    <t>ArcadeHaven uses no SDP (Session Description Protocol) and performs no media negotiation. Certificate validation in the platform applies to TLS certificates on HTTPS endpoints and to the outbound HTTPS connection to the RAWG API (RF-12). Media negotiation protocols are entirely outside the platform's architecture.</t>
  </si>
  <si>
    <t>ArcadeHaven has no signaling server and implements no signaling protocol (SIP, XMPP, WebRTC signaling, or custom). All communication is synchronous REST API over HTTPS. Rate limiting is applied to REST API endpoints via RNF-09 and AC-006, covering login, game search, order creation, and other high-volume or security-sensitive operations.</t>
  </si>
  <si>
    <t>ArcadeHaven parses no signaling protocol messages. Malformed request handling in the platform applies to JSON request bodies and multipart form data submitted to REST API endpoints, governed by RNF-06 (input validation), IV-001 (server-side whitelist validation), and IV-003 (output sanitisation). There is no signaling layer where protocol-specific malformed message handling would be required.</t>
  </si>
  <si>
    <t>Output is mainly JSON responses and server generated files (PDF invoices, activation keys). When writing files to filesystem, untrusted data will be properly escaped or sanitized</t>
  </si>
  <si>
    <t>ArcadeHaven does not generate HTML or XML content</t>
  </si>
  <si>
    <t>ArcadeHaven does not use operating system commands</t>
  </si>
  <si>
    <t>No LDAP integration is used in ArcadeHaven</t>
  </si>
  <si>
    <t>No XPath or XML quering is used in ArcadeHeaven</t>
  </si>
  <si>
    <t>No LaTeX processing is used in ArcadeHaven</t>
  </si>
  <si>
    <t>No CSV or Spreedsheet export is implemented in ArcadeHaven</t>
  </si>
  <si>
    <t>No WYSIWYG or HTML input is accepted</t>
  </si>
  <si>
    <t>SVG files are explicitly rejected during file upload validation</t>
  </si>
  <si>
    <t>No scriptable content (Markdown, CSS, BBCode) is processed</t>
  </si>
  <si>
    <t>No JNDI usage is present</t>
  </si>
  <si>
    <t>No memcache usage is present</t>
  </si>
  <si>
    <t>No email functionality is implemented</t>
  </si>
  <si>
    <t>Java provides built-in memory safety so no manual memory management is used</t>
  </si>
  <si>
    <t>ArcadeHeaven uses Spring Boot which automatically deserializes JSON inputs into Java objects ensuring a canonical form at entry. Validation will be enforced using Bean Validation</t>
  </si>
  <si>
    <t>Input validation rules will be formally defined using DTO constraints and documented per endpoint</t>
  </si>
  <si>
    <t>Logical consistency rules will be documented, including constraints such as valid price ranges, non-negative quantities, and consistency between related fields</t>
  </si>
  <si>
    <t>Business rules will be defined for both per-user and global constraints</t>
  </si>
  <si>
    <t>The system does not include high-risk operations requiring multiple user approval</t>
  </si>
  <si>
    <t>Uses no client-side technologies. No plugins, Flash, ActiveX, or applets are used.</t>
  </si>
  <si>
    <t>HSTS header (`Strict-Transport-Security: max-age=31536000; includeSubDomains`) will be enforced on all API responses via Spring Security</t>
  </si>
  <si>
    <t>CORS will be configured with a strict allowlist of trusted origins. `Access-Control-Allow-Origin: *` will not be used on authenticated endpoints.</t>
  </si>
  <si>
    <t xml:space="preserve">CSP not applicable to JSON REST API without HTML responses.   </t>
  </si>
  <si>
    <t>`X-Content-Type-Options: nosniff` will be included on all API responses via Spring Security headers configuration.</t>
  </si>
  <si>
    <t xml:space="preserve">Referrer-Policy has minimal relevance in API-only context.   </t>
  </si>
  <si>
    <t xml:space="preserve">Frame-ancestors not applicable (no browser rendering).           </t>
  </si>
  <si>
    <t>CSP reporting not applicable without CSP usage.</t>
  </si>
  <si>
    <t xml:space="preserve"> ArcadeHaven does not serve HTML documents. `Cross-Origin-Opener-Policy` is not applicable to a JSON REST API.</t>
  </si>
  <si>
    <t>All sensitive endpoints require a valid JWT Bearer token in the `Authorization` header, which is not a CORS-safelisted header, effectively preventing CSRF.</t>
  </si>
  <si>
    <t>All state-changing API calls require `Content-Type: application/json`, which triggers a CORS preflight. Requests without this header will be rejected.</t>
  </si>
  <si>
    <t>All sensitive operations use appropriate HTTP methods (POST, PUT, PATCH, DELETE). GET endpoints are read-only and do not expose sensitive functionality.</t>
  </si>
  <si>
    <t>Single backend; hostname separation not applicable.</t>
  </si>
  <si>
    <t>No client-side messaging (postMessage).</t>
  </si>
  <si>
    <t>JSONP not used.</t>
  </si>
  <si>
    <t>API does not serve JavaScript files or executable client-side code.</t>
  </si>
  <si>
    <t>All HTTP traffic is redirected to HTTPS at the reverse proxy level. The application itself is only exposed over HTTPS.</t>
  </si>
  <si>
    <t>All API responses will include `Content-Type: application/json; charset=UTF-8`. File download endpoints will use the appropriate MIME type (e.g. `application/pdf`, `image/png`). Enforced globally via Spring Boot's response configuration.</t>
  </si>
  <si>
    <t>Headers such as `X-Real-IP` and `X-Forwarded-For` set by intermediary layers (e.g. reverse proxy, Docker network) will be validated server-side. End-users will not be able to override these headers. Configuration will be enforced in the Spring Boot application and documented in the deployment guide.</t>
  </si>
  <si>
    <t>Token lifetimes will be defined and documented, including short-lived access tokens and longer-lived refresh tokens, with justification based on security requirements</t>
  </si>
  <si>
    <t>Session management is implemented using stateless access tokens (JWT). Token lifecycle, issuance, validation, and renewal mechanisms will be documented</t>
  </si>
  <si>
    <t>OAuth 2.0 flows will be documented, including token issuance and refresh mechanisms</t>
  </si>
  <si>
    <t>Authorization will be based on role-based access control, defining permissions for roles</t>
  </si>
  <si>
    <t>Field-level access control will be enforced at the API response layer using DTO projections and service-level filtering to prevent exposure of sensitive attributes</t>
  </si>
  <si>
    <t>Authorization decision are not based on contextual attributes</t>
  </si>
  <si>
    <t>No adaptative or risk-based authorization are enforced</t>
  </si>
  <si>
    <t>Functional authorization will be enforced using Spring Security method-level security based on user roles</t>
  </si>
  <si>
    <t>Data-level authorization will enforce ownership checks</t>
  </si>
  <si>
    <t>Sensitive fields will be excluded from API responses using DTO mapping and controlled serialization to prevent data leakage</t>
  </si>
  <si>
    <t>No contextual or adaptative authorization controls are not implemented</t>
  </si>
  <si>
    <t>ArcadeHaven system is monolithic; no inter-service authorization propagation is required</t>
  </si>
  <si>
    <t>ArcadeHaven is not a multi-tenant system so all users belong to the same application context</t>
  </si>
  <si>
    <t>All authentication pathways must be documented together with their associated security controls. ArcadeHaven's JWT-based authentication flow must include documentation of token issuance, validation, expiration, and revocation mechanisms.</t>
  </si>
  <si>
    <t>The application must enforce a minimum password length of 12 characters for all user-set passwords, validated server-side on registration and password change.</t>
  </si>
  <si>
    <t>The application must provide all authenticated users with the ability to change their own password through a dedicated and secured endpoint.</t>
  </si>
  <si>
    <t>The application must maintain and enforce a list of context-specific words (e.g. "ArcadeHaven", "pixel", "vault", "admin") that cannot be used as passwords or as part of passwords.</t>
  </si>
  <si>
    <t>The application must document how rate limiting, anti-automation, and adaptive response mechanisms are applied to authentication endpoints, particularly the login and registration flows.</t>
  </si>
  <si>
    <t>The password change endpoint must require the user's current password and new password. The current password must be verified before the change is applied.</t>
  </si>
  <si>
    <t>The application must check all passwords submitted during registration or password change against a blocklist of at least the top 3000 most common passwords. Passwords found on the blocklist must be rejected with an appropriate error message.</t>
  </si>
  <si>
    <t>The application must not impose character composition rules on passwords. No requirement for uppercase, lowercase, numbers, or special characters shall be enforced. Only minimum length will be validated.</t>
  </si>
  <si>
    <t>ArcadeHaven is a REST API with no front-end. Password masking is a client-side concern and falls outside the project scope.</t>
  </si>
  <si>
    <t>ArcadeHaven is a REST API with no front-end. Paste functionality and password manager compatibility are client-side concerns outside the project scope.</t>
  </si>
  <si>
    <t>The application must verify passwords exactly as received. No truncation, trimming, or transformation of any kind shall be applied to passwords before hashing or comparison.</t>
  </si>
  <si>
    <t>The application must permit passwords of at least 64 characters in length. The database schema and all validation layers must support this without truncation.</t>
  </si>
  <si>
    <t>The application must not enforce periodic password expiration. Passwords remain valid until the user changes them voluntarily or a breach is detected.</t>
  </si>
  <si>
    <t>The application must check passwords submitted during registration and password changes against a breached password database. The HaveIBeenPwned API (k-anonymity model) will be used to perform this check without exposing the plain-text password.</t>
  </si>
  <si>
    <t>The application must actively validate passwords against the context-specific blocklist defined in previously during registration and password change, rejecting any password that contains a blocked term.</t>
  </si>
  <si>
    <t>The application must implement rate limiting on authentication endpoints and enforce temporary account lockout after a configurable number of consecutive failed login attempts.</t>
  </si>
  <si>
    <t>The application must not include any default or well-known user accounts. Any seed accounts required for initial setup must use randomly generated credentials injected via environment variables and must be documented in the operations guide.</t>
  </si>
  <si>
    <t>The application must support multi-factor authentication. MFA must be mandatory for ADMIN role accounts and optional for PUBLISHER and BUYER roles. TOTP (RFC 6238) is the target mechanism.</t>
  </si>
  <si>
    <t>All authentication pathways must be documented and subject to the same security controls. No undocumented or backdoor authentication pathways are permitted.</t>
  </si>
  <si>
    <t>System-generated passwords and activation codes must be generated using a cryptographically secure random number generator (SecureRandom), comply with the password policy, and expire within 24 hours of generation.</t>
  </si>
  <si>
    <t>The application must not implement password hints or knowledge-based authentication (secret questions). Password recovery must use secure, time-limited tokens delivered to the user's registered email address.</t>
  </si>
  <si>
    <t>The password reset process must use a cryptographically secure, single-use token with a maximum validity of 1 hour. The process must not bypass MFA and must invalidate the token immediately after use.</t>
  </si>
  <si>
    <t>Account recovery following loss of an MFA factor must require identity verification at the same assurance level as the original enrollment process.</t>
  </si>
  <si>
    <t>All lookup secrets stored in the database must be hashed using BCrypt or an equivalent approved password hashing algorithm. Plain-text storage of any secret is strictly prohibited.</t>
  </si>
  <si>
    <t>All lookup secrets, out-of-band authentication codes, and TOTP seeds must be generated using SecureRandom or an equivalent CSPRNG. Use of Math.random() or similar non-cryptographic generators is strictly prohibited.</t>
  </si>
  <si>
    <t>Out-of-band authentication codes must expire after a maximum of 5 minutes. TOTP validation must use a time window of ±1 step (30 seconds). Expired codes must be rejected.</t>
  </si>
  <si>
    <t>All one-time passwords, lookup secrets, and out-of-band codes must be invalidated immediately after a single successful use. Replay of used codes must be rejected.</t>
  </si>
  <si>
    <t>ArcadeHaven does not use PSTN (SMS/phone) for OTP delivery. MFA is implemented via TOTP only.</t>
  </si>
  <si>
    <t>All out-of-band authentication codes must be cryptographically bound to the specific authentication request and session for which they were generated. Cross-session reuse must be rejected.</t>
  </si>
  <si>
    <t>All lookup secrets and out-of-band authentication codes must have a minimum of 20 bits of entropy. ArcadeHaven will use 6-character alphanumeric codes as the baseline, providing at least 31 bits of entropy.</t>
  </si>
  <si>
    <t>OTP verification endpoints must enforce rate limiting, rejecting further attempts after 5 consecutive failures. Codes must expire after a maximum of 5 minutes as defined in V6.5.5.</t>
  </si>
  <si>
    <t>ArcadeHaven does not support external identity providers in the current phase. If OAuth2/OIDC is introduced in future phases, this requirement must be revisited.</t>
  </si>
  <si>
    <t>All JWT tokens must be signed using RS256 or HS256. The signature must be validated on every request. Unsigned tokens, tokens with alg: none, and tokens with invalid signatures must be rejected with a 401 response.</t>
  </si>
  <si>
    <t>JWT access tokens must have a maximum validity of 15 minutes. A token denylist mechanism must be implemented to support immediate invalidation upon logout or security events.</t>
  </si>
  <si>
    <t>ArcadeHaven does not use a separate Identity Provider in the current phase. This requirement does not apply to the current project scope.</t>
  </si>
  <si>
    <t>Only strong cipher suites will be enabled. Weak ciphers (e.g. RC4, 3DES, NULL) will be explicitly disabled. For Level 2, cipher suites supporting forward secrecy (ECDHE-based) will be preferred and configured in the reverse proxy TLS settings.</t>
  </si>
  <si>
    <t>All client-to-API communication will be over HTTPS only. HTTP connections will not be redirected but rejected outright to prevent silent plaintext data leakage. Enforced via Spring Security and reverse proxy configuration.</t>
  </si>
  <si>
    <t>A publicly trusted TLS certificate (e.g. Let's Encrypt) will be used for the ArcadeHaven API in production. Self-signed certificates will only be used in local development environments and will never be used in staging or production.</t>
  </si>
  <si>
    <t>Covered by V12.3.1. Internal DB communication explicitly enforces TLS.</t>
  </si>
  <si>
    <t>All inter-service and external communications enforce TLS with no fallback to plaintext protocols.</t>
  </si>
  <si>
    <t>TLS certificates are validated for all outbound connections; validation is never disabled.</t>
  </si>
  <si>
    <t>Only explicitly trusted certificates are accepted; no global trust of self-signed certificates.</t>
  </si>
  <si>
    <t>All communication channels will be documented, including database connectivity, external API integration and server-side file generation</t>
  </si>
  <si>
    <t>No default credentials are used in the system. All environments rely on explicit configuration via environment variables</t>
  </si>
  <si>
    <t>ArcadeHeaven does not dynamically load external resources</t>
  </si>
  <si>
    <t>Directory listing is not enabled</t>
  </si>
  <si>
    <t>The web tier does not serve static files directly</t>
  </si>
  <si>
    <t>Due to the academic scope of this project, this requirement is considered out of scope and is therefore not implemented.</t>
  </si>
  <si>
    <t>Sensitive responses include Cache-Control: no-store to prevent caching by browsers, proxies, and intermediaries.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</si>
</sst>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rgb="FF000000"/>
      <name val="Calibri"/>
      <family val="2"/>
      <charset val="1"/>
    </font>
    <font>
      <b/>
      <sz val="16"/>
      <color rgb="FFFFFFFF"/>
      <name val="Cambria"/>
      <family val="1"/>
    </font>
    <font>
      <i/>
      <sz val="10"/>
      <color rgb="FF595959"/>
      <name val="Cambria"/>
      <family val="1"/>
    </font>
    <font>
      <b/>
      <sz val="10"/>
      <name val="Cambria"/>
      <family val="1"/>
    </font>
    <font>
      <b/>
      <sz val="9"/>
      <name val="Cambria"/>
      <family val="1"/>
    </font>
    <font>
      <b/>
      <sz val="9"/>
      <color rgb="FFFFFFFF"/>
      <name val="Cambria"/>
      <family val="1"/>
    </font>
    <font>
      <sz val="10"/>
      <name val="Cambria"/>
      <family val="1"/>
    </font>
    <font>
      <b/>
      <sz val="11"/>
      <color rgb="FFFFFFFF"/>
      <name val="Cambria"/>
      <family val="1"/>
    </font>
    <font>
      <b/>
      <sz val="10"/>
      <color rgb="FFFFFFFF"/>
      <name val="Cambria"/>
      <family val="1"/>
    </font>
    <font>
      <b/>
      <sz val="10"/>
      <color rgb="FF1F3864"/>
      <name val="Cambria"/>
      <family val="1"/>
    </font>
    <font>
      <sz val="11"/>
      <color rgb="FF000000"/>
      <name val="Calibri"/>
      <family val="2"/>
    </font>
    <font>
      <b/>
      <sz val="10"/>
      <color rgb="FF1F3864"/>
      <name val="Cambria"/>
      <family val="2"/>
    </font>
  </fonts>
  <fills count="14">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
      <patternFill patternType="solid">
        <fgColor rgb="FFF2F2F2"/>
      </patternFill>
    </fill>
    <fill>
      <patternFill patternType="solid">
        <fgColor rgb="FFFFFFFF"/>
      </patternFill>
    </fill>
    <fill>
      <patternFill patternType="solid">
        <fgColor rgb="FFF7FBFF"/>
      </patternFill>
    </fill>
    <fill>
      <patternFill patternType="solid">
        <fgColor rgb="FFD6E4F0"/>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35">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0" fillId="0" borderId="0" xfId="0" applyAlignment="1">
      <alignment vertical="center"/>
    </xf>
    <xf numFmtId="0" fontId="0" fillId="3" borderId="1" xfId="0" applyFill="1" applyBorder="1" applyAlignment="1">
      <alignment horizontal="left" vertical="center" wrapText="1"/>
    </xf>
    <xf numFmtId="0" fontId="0" fillId="4" borderId="1" xfId="0" applyFill="1" applyBorder="1" applyAlignment="1">
      <alignment horizontal="left" vertical="center" wrapText="1"/>
    </xf>
    <xf numFmtId="0" fontId="0" fillId="4" borderId="2" xfId="0" applyFill="1" applyBorder="1" applyAlignment="1">
      <alignment horizontal="left" vertical="top" wrapText="1"/>
    </xf>
    <xf numFmtId="0" fontId="10" fillId="10" borderId="1" xfId="0" applyFont="1" applyFill="1" applyBorder="1" applyAlignment="1">
      <alignment horizontal="center"/>
    </xf>
    <xf numFmtId="0" fontId="10" fillId="11" borderId="1" xfId="0" applyFont="1" applyFill="1" applyBorder="1" applyAlignment="1">
      <alignment horizontal="left" wrapText="1"/>
    </xf>
    <xf numFmtId="0" fontId="10" fillId="12" borderId="1" xfId="0" applyFont="1" applyFill="1" applyBorder="1" applyAlignment="1">
      <alignment horizontal="left" wrapText="1"/>
    </xf>
    <xf numFmtId="0" fontId="11" fillId="13" borderId="1" xfId="0" applyFont="1" applyFill="1" applyBorder="1" applyAlignment="1">
      <alignment horizontal="left"/>
    </xf>
    <xf numFmtId="0" fontId="1" fillId="2" borderId="0" xfId="0" applyFont="1" applyFill="1" applyAlignment="1">
      <alignment horizontal="center" vertical="center"/>
    </xf>
    <xf numFmtId="0" fontId="2" fillId="0" borderId="0" xfId="0" applyFont="1" applyAlignment="1">
      <alignment horizontal="center" vertical="center"/>
    </xf>
    <xf numFmtId="0" fontId="3"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formatCode="General">
                  <c:v>0</c:v>
                </c:pt>
                <c:pt idx="16" formatCode="General">
                  <c:v>0</c:v>
                </c:pt>
              </c:numCache>
            </c:numRef>
          </c:val>
          <c:extLst>
            <c:ext xmlns:c16="http://schemas.microsoft.com/office/drawing/2014/chart" uri="{C3380CC4-5D6E-409C-BE32-E72D297353CC}">
              <c16:uniqueId val="{00000000-FE45-4AC2-836F-A3821DBAE4C6}"/>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1-FE45-4AC2-836F-A3821DBAE4C6}"/>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c:v>
                </c:pt>
                <c:pt idx="11">
                  <c:v>0</c:v>
                </c:pt>
                <c:pt idx="12">
                  <c:v>0</c:v>
                </c:pt>
                <c:pt idx="13">
                  <c:v>0</c:v>
                </c:pt>
                <c:pt idx="14">
                  <c:v>0</c:v>
                </c:pt>
                <c:pt idx="15">
                  <c:v>0</c:v>
                </c:pt>
              </c:numCache>
            </c:numRef>
          </c:val>
          <c:extLst>
            <c:ext xmlns:c16="http://schemas.microsoft.com/office/drawing/2014/chart" uri="{C3380CC4-5D6E-409C-BE32-E72D297353CC}">
              <c16:uniqueId val="{00000002-FE45-4AC2-836F-A3821DBAE4C6}"/>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en-US"/>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numCache>
            </c:numRef>
          </c:val>
          <c:extLst>
            <c:ext xmlns:c16="http://schemas.microsoft.com/office/drawing/2014/chart" uri="{C3380CC4-5D6E-409C-BE32-E72D297353CC}">
              <c16:uniqueId val="{00000003-FE45-4AC2-836F-A3821DBAE4C6}"/>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en-US"/>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en-US"/>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en-US"/>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75" zoomScaleNormal="75" workbookViewId="0">
      <selection activeCell="K11" sqref="K11"/>
    </sheetView>
  </sheetViews>
  <sheetFormatPr defaultColWidth="8.5703125" defaultRowHeight="15" x14ac:dyDescent="0.25"/>
  <cols>
    <col min="1" max="1" width="34" customWidth="1"/>
    <col min="2" max="13" width="11" customWidth="1"/>
  </cols>
  <sheetData>
    <row r="1" spans="1:16" ht="36" customHeight="1" x14ac:dyDescent="0.25">
      <c r="A1" s="32" t="s">
        <v>0</v>
      </c>
      <c r="B1" s="32"/>
      <c r="C1" s="32"/>
      <c r="D1" s="32"/>
      <c r="E1" s="32"/>
      <c r="F1" s="32"/>
      <c r="G1" s="32"/>
      <c r="H1" s="32"/>
      <c r="I1" s="32"/>
      <c r="J1" s="32"/>
      <c r="K1" s="32"/>
      <c r="L1" s="32"/>
      <c r="M1" s="32"/>
      <c r="N1" s="32"/>
      <c r="O1" s="32"/>
      <c r="P1" s="32"/>
    </row>
    <row r="2" spans="1:16" ht="19.899999999999999" customHeight="1" x14ac:dyDescent="0.25">
      <c r="A2" s="33"/>
      <c r="B2" s="33"/>
      <c r="C2" s="33"/>
      <c r="D2" s="33"/>
      <c r="E2" s="33"/>
      <c r="F2" s="33"/>
      <c r="G2" s="33"/>
      <c r="H2" s="33"/>
      <c r="I2" s="33"/>
      <c r="J2" s="33"/>
      <c r="K2" s="33"/>
      <c r="L2" s="33"/>
      <c r="M2" s="33"/>
      <c r="N2" s="33"/>
      <c r="O2" s="33"/>
      <c r="P2" s="33"/>
    </row>
    <row r="3" spans="1:16" ht="18" customHeight="1" x14ac:dyDescent="0.25">
      <c r="A3" s="34"/>
      <c r="B3" s="34"/>
      <c r="C3" s="1"/>
      <c r="E3" s="1"/>
      <c r="G3" s="1"/>
      <c r="I3" s="1"/>
      <c r="K3" s="1"/>
      <c r="M3" s="1"/>
      <c r="O3" s="1"/>
    </row>
    <row r="5" spans="1:16" ht="31.9" customHeight="1" x14ac:dyDescent="0.25">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25">
      <c r="A6" s="3" t="s">
        <v>14</v>
      </c>
      <c r="B6" s="4">
        <v>30</v>
      </c>
      <c r="C6" s="4">
        <v>8</v>
      </c>
      <c r="D6" s="4">
        <f>COUNTIFS('V1 - Encoding and Sanitization'!$F$2:$F$36,"Compliant",'V1 - Encoding and Sanitization'!$E$2:$E$36,1)</f>
        <v>0</v>
      </c>
      <c r="E6" s="5">
        <f t="shared" ref="E6:E20" si="0">IF(C6=0,"",D6/C6)</f>
        <v>0</v>
      </c>
      <c r="F6" s="4">
        <v>19</v>
      </c>
      <c r="G6" s="4">
        <f>COUNTIFS('V1 - Encoding and Sanitization'!$F$2:$F$36,"Compliant",'V1 - Encoding and Sanitization'!$E$2:$E$36,2)</f>
        <v>0</v>
      </c>
      <c r="H6" s="5">
        <f t="shared" ref="H6:H22" si="1">IF(F6=0,"",G6/F6)</f>
        <v>0</v>
      </c>
      <c r="I6" s="4">
        <v>3</v>
      </c>
      <c r="J6" s="4">
        <f>COUNTIFS('V1 - Encoding and Sanitization'!$F$2:$F$36,"Compliant",'V1 - Encoding and Sanitization'!$E$2:$E$36,3)</f>
        <v>0</v>
      </c>
      <c r="K6" s="5">
        <f t="shared" ref="K6:K13" si="2">IF(I6=0,"",J6/I6)</f>
        <v>0</v>
      </c>
      <c r="L6" s="4">
        <f>COUNTIF('V1 - Encoding and Sanitization'!$F$2:$F$36,"Compliant")</f>
        <v>0</v>
      </c>
      <c r="M6" s="5">
        <f t="shared" ref="M6:M22" si="3">IF(B6=0,"",L6/B6)</f>
        <v>0</v>
      </c>
    </row>
    <row r="7" spans="1:16" ht="18" customHeight="1" x14ac:dyDescent="0.25">
      <c r="A7" s="6" t="s">
        <v>15</v>
      </c>
      <c r="B7" s="7">
        <v>13</v>
      </c>
      <c r="C7" s="7">
        <v>4</v>
      </c>
      <c r="D7" s="7">
        <f>COUNTIFS('V2 - Validation and Business Lo'!$F$2:$F$18,"Compliant",'V2 - Validation and Business Lo'!$E$2:$E$18,1)</f>
        <v>0</v>
      </c>
      <c r="E7" s="8">
        <f t="shared" si="0"/>
        <v>0</v>
      </c>
      <c r="F7" s="7">
        <v>7</v>
      </c>
      <c r="G7" s="7">
        <f>COUNTIFS('V2 - Validation and Business Lo'!$F$2:$F$18,"Compliant",'V2 - Validation and Business Lo'!$E$2:$E$18,2)</f>
        <v>0</v>
      </c>
      <c r="H7" s="8">
        <f t="shared" si="1"/>
        <v>0</v>
      </c>
      <c r="I7" s="7">
        <v>2</v>
      </c>
      <c r="J7" s="7">
        <f>COUNTIFS('V2 - Validation and Business Lo'!$F$2:$F$18,"Compliant",'V2 - Validation and Business Lo'!$E$2:$E$18,3)</f>
        <v>0</v>
      </c>
      <c r="K7" s="8">
        <f t="shared" si="2"/>
        <v>0</v>
      </c>
      <c r="L7" s="7">
        <f>COUNTIF('V2 - Validation and Business Lo'!$F$2:$F$18,"Compliant")</f>
        <v>0</v>
      </c>
      <c r="M7" s="8">
        <f t="shared" si="3"/>
        <v>0</v>
      </c>
    </row>
    <row r="8" spans="1:16" ht="18" customHeight="1" x14ac:dyDescent="0.25">
      <c r="A8" s="3" t="s">
        <v>16</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0</v>
      </c>
      <c r="M8" s="5">
        <f t="shared" si="3"/>
        <v>0</v>
      </c>
    </row>
    <row r="9" spans="1:16" ht="18" customHeight="1" x14ac:dyDescent="0.25">
      <c r="A9" s="6" t="s">
        <v>17</v>
      </c>
      <c r="B9" s="7">
        <v>16</v>
      </c>
      <c r="C9" s="7">
        <v>2</v>
      </c>
      <c r="D9" s="7">
        <f>COUNTIFS('V4 - API and Web Service'!$F$2:$F$21,"Compliant",'V4 - API and Web Service'!$E$2:$E$21,1)</f>
        <v>0</v>
      </c>
      <c r="E9" s="8">
        <f t="shared" si="0"/>
        <v>0</v>
      </c>
      <c r="F9" s="7">
        <v>8</v>
      </c>
      <c r="G9" s="7">
        <f>COUNTIFS('V4 - API and Web Service'!$F$2:$F$21,"Compliant",'V4 - API and Web Service'!$E$2:$E$21,2)</f>
        <v>0</v>
      </c>
      <c r="H9" s="8">
        <f t="shared" si="1"/>
        <v>0</v>
      </c>
      <c r="I9" s="7">
        <v>6</v>
      </c>
      <c r="J9" s="7">
        <f>COUNTIFS('V4 - API and Web Service'!$F$2:$F$21,"Compliant",'V4 - API and Web Service'!$E$2:$E$21,3)</f>
        <v>0</v>
      </c>
      <c r="K9" s="8">
        <f t="shared" si="2"/>
        <v>0</v>
      </c>
      <c r="L9" s="7">
        <f>COUNTIF('V4 - API and Web Service'!$F$2:$F$21,"Compliant")</f>
        <v>0</v>
      </c>
      <c r="M9" s="8">
        <f t="shared" si="3"/>
        <v>0</v>
      </c>
    </row>
    <row r="10" spans="1:16" ht="18" customHeight="1" x14ac:dyDescent="0.25">
      <c r="A10" s="3" t="s">
        <v>18</v>
      </c>
      <c r="B10" s="4">
        <v>13</v>
      </c>
      <c r="C10" s="4">
        <v>4</v>
      </c>
      <c r="D10" s="4">
        <f>COUNTIFS('V5 - File Handling'!$F$2:$F$18,"Compliant",'V5 - File Handling'!$E$2:$E$18,1)</f>
        <v>0</v>
      </c>
      <c r="E10" s="5">
        <f t="shared" si="0"/>
        <v>0</v>
      </c>
      <c r="F10" s="4">
        <v>5</v>
      </c>
      <c r="G10" s="4">
        <f>COUNTIFS('V5 - File Handling'!$F$2:$F$18,"Compliant",'V5 - File Handling'!$E$2:$E$18,2)</f>
        <v>0</v>
      </c>
      <c r="H10" s="5">
        <f t="shared" si="1"/>
        <v>0</v>
      </c>
      <c r="I10" s="4">
        <v>4</v>
      </c>
      <c r="J10" s="4">
        <f>COUNTIFS('V5 - File Handling'!$F$2:$F$18,"Compliant",'V5 - File Handling'!$E$2:$E$18,3)</f>
        <v>0</v>
      </c>
      <c r="K10" s="5">
        <f t="shared" si="2"/>
        <v>0</v>
      </c>
      <c r="L10" s="4">
        <f>COUNTIF('V5 - File Handling'!$F$2:$F$18,"Compliant")</f>
        <v>0</v>
      </c>
      <c r="M10" s="5">
        <f t="shared" si="3"/>
        <v>0</v>
      </c>
    </row>
    <row r="11" spans="1:16" ht="18" customHeight="1" x14ac:dyDescent="0.25">
      <c r="A11" s="6" t="s">
        <v>19</v>
      </c>
      <c r="B11" s="7">
        <v>47</v>
      </c>
      <c r="C11" s="7">
        <v>13</v>
      </c>
      <c r="D11" s="7">
        <f>COUNTIFS('V6 - Authentication'!$F$2:$F$56,"Compliant",'V6 - Authentication'!$E$2:$E$56,1)</f>
        <v>0</v>
      </c>
      <c r="E11" s="8">
        <f t="shared" si="0"/>
        <v>0</v>
      </c>
      <c r="F11" s="7">
        <v>22</v>
      </c>
      <c r="G11" s="7">
        <f>COUNTIFS('V6 - Authentication'!$F$2:$F$56,"Compliant",'V6 - Authentication'!$E$2:$E$56,2)</f>
        <v>0</v>
      </c>
      <c r="H11" s="8">
        <f t="shared" si="1"/>
        <v>0</v>
      </c>
      <c r="I11" s="7">
        <v>12</v>
      </c>
      <c r="J11" s="7">
        <f>COUNTIFS('V6 - Authentication'!$F$2:$F$56,"Compliant",'V6 - Authentication'!$E$2:$E$56,3)</f>
        <v>0</v>
      </c>
      <c r="K11" s="8">
        <f t="shared" si="2"/>
        <v>0</v>
      </c>
      <c r="L11" s="7">
        <f>COUNTIF('V6 - Authentication'!$F$2:$F$56,"Compliant")</f>
        <v>0</v>
      </c>
      <c r="M11" s="8">
        <f t="shared" si="3"/>
        <v>0</v>
      </c>
    </row>
    <row r="12" spans="1:16" ht="18" customHeight="1" x14ac:dyDescent="0.25">
      <c r="A12" s="3" t="s">
        <v>20</v>
      </c>
      <c r="B12" s="4">
        <v>19</v>
      </c>
      <c r="C12" s="4">
        <v>6</v>
      </c>
      <c r="D12" s="4">
        <f>COUNTIFS('V7 - Session Management'!$F$2:$F$26,"Compliant",'V7 - Session Management'!$E$2:$E$26,1)</f>
        <v>0</v>
      </c>
      <c r="E12" s="5">
        <f t="shared" si="0"/>
        <v>0</v>
      </c>
      <c r="F12" s="4">
        <v>12</v>
      </c>
      <c r="G12" s="4">
        <f>COUNTIFS('V7 - Session Management'!$F$2:$F$26,"Compliant",'V7 - Session Management'!$E$2:$E$26,2)</f>
        <v>0</v>
      </c>
      <c r="H12" s="5">
        <f t="shared" si="1"/>
        <v>0</v>
      </c>
      <c r="I12" s="4">
        <v>1</v>
      </c>
      <c r="J12" s="4">
        <f>COUNTIFS('V7 - Session Management'!$F$2:$F$26,"Compliant",'V7 - Session Management'!$E$2:$E$26,3)</f>
        <v>0</v>
      </c>
      <c r="K12" s="5">
        <f t="shared" si="2"/>
        <v>0</v>
      </c>
      <c r="L12" s="4">
        <f>COUNTIF('V7 - Session Management'!$F$2:$F$26,"Compliant")</f>
        <v>0</v>
      </c>
      <c r="M12" s="5">
        <f t="shared" si="3"/>
        <v>0</v>
      </c>
    </row>
    <row r="13" spans="1:16" ht="18" customHeight="1" x14ac:dyDescent="0.25">
      <c r="A13" s="6" t="s">
        <v>21</v>
      </c>
      <c r="B13" s="7">
        <v>13</v>
      </c>
      <c r="C13" s="7">
        <v>4</v>
      </c>
      <c r="D13" s="7">
        <f>COUNTIFS('V8 - Authorization'!$F$2:$F$18,"Compliant",'V8 - Authorization'!$E$2:$E$18,1)</f>
        <v>0</v>
      </c>
      <c r="E13" s="8">
        <f t="shared" si="0"/>
        <v>0</v>
      </c>
      <c r="F13" s="7">
        <v>3</v>
      </c>
      <c r="G13" s="7">
        <f>COUNTIFS('V8 - Authorization'!$F$2:$F$18,"Compliant",'V8 - Authorization'!$E$2:$E$18,2)</f>
        <v>0</v>
      </c>
      <c r="H13" s="8">
        <f t="shared" si="1"/>
        <v>0</v>
      </c>
      <c r="I13" s="7">
        <v>6</v>
      </c>
      <c r="J13" s="7">
        <f>COUNTIFS('V8 - Authorization'!$F$2:$F$18,"Compliant",'V8 - Authorization'!$E$2:$E$18,3)</f>
        <v>0</v>
      </c>
      <c r="K13" s="8">
        <f t="shared" si="2"/>
        <v>0</v>
      </c>
      <c r="L13" s="7">
        <f>COUNTIF('V8 - Authorization'!$F$2:$F$18,"Compliant")</f>
        <v>0</v>
      </c>
      <c r="M13" s="8">
        <f t="shared" si="3"/>
        <v>0</v>
      </c>
    </row>
    <row r="14" spans="1:16" ht="18" customHeight="1" x14ac:dyDescent="0.25">
      <c r="A14" s="3" t="s">
        <v>22</v>
      </c>
      <c r="B14" s="4">
        <v>7</v>
      </c>
      <c r="C14" s="4">
        <v>4</v>
      </c>
      <c r="D14" s="4">
        <f>COUNTIFS('V9 - Self-contained Tokens'!$F$2:$F$10,"Compliant",'V9 - Self-contained Tokens'!$E$2:$E$10,1)</f>
        <v>0</v>
      </c>
      <c r="E14" s="5">
        <f t="shared" si="0"/>
        <v>0</v>
      </c>
      <c r="F14" s="4">
        <v>3</v>
      </c>
      <c r="G14" s="4">
        <f>COUNTIFS('V9 - Self-contained Tokens'!$F$2:$F$10,"Compliant",'V9 - Self-contained Tokens'!$E$2:$E$10,2)</f>
        <v>0</v>
      </c>
      <c r="H14" s="5">
        <f t="shared" si="1"/>
        <v>0</v>
      </c>
      <c r="I14" s="4">
        <v>0</v>
      </c>
      <c r="J14" s="4" t="s">
        <v>23</v>
      </c>
      <c r="K14" s="4" t="s">
        <v>23</v>
      </c>
      <c r="L14" s="4">
        <f>COUNTIF('V9 - Self-contained Tokens'!$F$2:$F$10,"Compliant")</f>
        <v>0</v>
      </c>
      <c r="M14" s="5">
        <f t="shared" si="3"/>
        <v>0</v>
      </c>
    </row>
    <row r="15" spans="1:16" ht="18" customHeight="1" x14ac:dyDescent="0.25">
      <c r="A15" s="6" t="s">
        <v>24</v>
      </c>
      <c r="B15" s="7">
        <v>36</v>
      </c>
      <c r="C15" s="7">
        <v>5</v>
      </c>
      <c r="D15" s="7">
        <f>COUNTIFS('V10 - OAuth and OIDC'!$F$2:$F$44,"Compliant",'V10 - OAuth and OIDC'!$E$2:$E$44,1)</f>
        <v>0</v>
      </c>
      <c r="E15" s="8">
        <f t="shared" si="0"/>
        <v>0</v>
      </c>
      <c r="F15" s="7">
        <v>24</v>
      </c>
      <c r="G15" s="7">
        <f>COUNTIFS('V10 - OAuth and OIDC'!$F$2:$F$44,"Compliant",'V10 - OAuth and OIDC'!$E$2:$E$44,2)</f>
        <v>0</v>
      </c>
      <c r="H15" s="8">
        <f t="shared" si="1"/>
        <v>0</v>
      </c>
      <c r="I15" s="7">
        <v>7</v>
      </c>
      <c r="J15" s="7">
        <f>COUNTIFS('V10 - OAuth and OIDC'!$F$2:$F$44,"Compliant",'V10 - OAuth and OIDC'!$E$2:$E$44,3)</f>
        <v>0</v>
      </c>
      <c r="K15" s="8">
        <f t="shared" ref="K15:K22" si="4">IF(I15=0,"",J15/I15)</f>
        <v>0</v>
      </c>
      <c r="L15" s="7">
        <f>COUNTIF('V10 - OAuth and OIDC'!$F$2:$F$44,"Compliant")</f>
        <v>0</v>
      </c>
      <c r="M15" s="8">
        <f t="shared" si="3"/>
        <v>0</v>
      </c>
    </row>
    <row r="16" spans="1:16" ht="18" customHeight="1" x14ac:dyDescent="0.25">
      <c r="A16" s="3" t="s">
        <v>25</v>
      </c>
      <c r="B16" s="4">
        <v>24</v>
      </c>
      <c r="C16" s="4">
        <v>3</v>
      </c>
      <c r="D16" s="4">
        <f>COUNTIFS('V11 - Cryptography'!$F$2:$F$32,"Compliant",'V11 - Cryptography'!$E$2:$E$32,1)</f>
        <v>0</v>
      </c>
      <c r="E16" s="5">
        <f t="shared" si="0"/>
        <v>0</v>
      </c>
      <c r="F16" s="4">
        <v>11</v>
      </c>
      <c r="G16" s="4">
        <f>COUNTIFS('V11 - Cryptography'!$F$2:$F$32,"Compliant",'V11 - Cryptography'!$E$2:$E$32,2)</f>
        <v>0</v>
      </c>
      <c r="H16" s="5">
        <f t="shared" si="1"/>
        <v>0</v>
      </c>
      <c r="I16" s="4">
        <v>10</v>
      </c>
      <c r="J16" s="4">
        <f>COUNTIFS('V11 - Cryptography'!$F$2:$F$32,"Compliant",'V11 - Cryptography'!$E$2:$E$32,3)</f>
        <v>0</v>
      </c>
      <c r="K16" s="5">
        <f t="shared" si="4"/>
        <v>0</v>
      </c>
      <c r="L16" s="4">
        <f>COUNTIF('V11 - Cryptography'!$F$2:$F$32,"Compliant")</f>
        <v>0</v>
      </c>
      <c r="M16" s="5">
        <f t="shared" si="3"/>
        <v>0</v>
      </c>
    </row>
    <row r="17" spans="1:13" ht="18" customHeight="1" x14ac:dyDescent="0.25">
      <c r="A17" s="6" t="s">
        <v>26</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x14ac:dyDescent="0.25">
      <c r="A18" s="3" t="s">
        <v>27</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25">
      <c r="A19" s="6" t="s">
        <v>28</v>
      </c>
      <c r="B19" s="7">
        <v>13</v>
      </c>
      <c r="C19" s="7">
        <v>2</v>
      </c>
      <c r="D19" s="7">
        <f>COUNTIFS('V14 - Data Protection'!$F$2:$F$17,"Compliant",'V14 - Data Protection'!$E$2:$E$17,1)</f>
        <v>0</v>
      </c>
      <c r="E19" s="8">
        <f t="shared" si="0"/>
        <v>0</v>
      </c>
      <c r="F19" s="7">
        <v>7</v>
      </c>
      <c r="G19" s="7">
        <f>COUNTIFS('V14 - Data Protection'!$F$2:$F$17,"Compliant",'V14 - Data Protection'!$E$2:$E$17,2)</f>
        <v>0</v>
      </c>
      <c r="H19" s="8">
        <f t="shared" si="1"/>
        <v>0</v>
      </c>
      <c r="I19" s="7">
        <v>4</v>
      </c>
      <c r="J19" s="7">
        <f>COUNTIFS('V14 - Data Protection'!$F$2:$F$17,"Compliant",'V14 - Data Protection'!$E$2:$E$17,3)</f>
        <v>0</v>
      </c>
      <c r="K19" s="8">
        <f t="shared" si="4"/>
        <v>0</v>
      </c>
      <c r="L19" s="7">
        <f>COUNTIF('V14 - Data Protection'!$F$2:$F$17,"Compliant")</f>
        <v>0</v>
      </c>
      <c r="M19" s="8">
        <f t="shared" si="3"/>
        <v>0</v>
      </c>
    </row>
    <row r="20" spans="1:13" ht="18" customHeight="1" x14ac:dyDescent="0.25">
      <c r="A20" s="3" t="s">
        <v>29</v>
      </c>
      <c r="B20" s="4">
        <v>21</v>
      </c>
      <c r="C20" s="4">
        <v>3</v>
      </c>
      <c r="D20" s="4">
        <f>COUNTIFS('V15 - Secure Coding and Archite'!$F$2:$F$26,"Compliant",'V15 - Secure Coding and Archite'!$E$2:$E$26,1)</f>
        <v>0</v>
      </c>
      <c r="E20" s="5">
        <f t="shared" si="0"/>
        <v>0</v>
      </c>
      <c r="F20" s="4">
        <v>10</v>
      </c>
      <c r="G20" s="4">
        <f>COUNTIFS('V15 - Secure Coding and Archite'!$F$2:$F$26,"Compliant",'V15 - Secure Coding and Archite'!$E$2:$E$26,2)</f>
        <v>0</v>
      </c>
      <c r="H20" s="5">
        <f t="shared" si="1"/>
        <v>0</v>
      </c>
      <c r="I20" s="4">
        <v>8</v>
      </c>
      <c r="J20" s="4">
        <f>COUNTIFS('V15 - Secure Coding and Archite'!$F$2:$F$26,"Compliant",'V15 - Secure Coding and Archite'!$E$2:$E$26,3)</f>
        <v>0</v>
      </c>
      <c r="K20" s="5">
        <f t="shared" si="4"/>
        <v>0</v>
      </c>
      <c r="L20" s="4">
        <f>COUNTIF('V15 - Secure Coding and Archite'!$F$2:$F$26,"Compliant")</f>
        <v>0</v>
      </c>
      <c r="M20" s="5">
        <f t="shared" si="3"/>
        <v>0</v>
      </c>
    </row>
    <row r="21" spans="1:13" ht="18" customHeight="1" x14ac:dyDescent="0.25">
      <c r="A21" s="6" t="s">
        <v>30</v>
      </c>
      <c r="B21" s="7">
        <v>17</v>
      </c>
      <c r="C21" s="7">
        <v>0</v>
      </c>
      <c r="D21" s="7" t="s">
        <v>23</v>
      </c>
      <c r="E21" s="7" t="s">
        <v>23</v>
      </c>
      <c r="F21" s="7">
        <v>16</v>
      </c>
      <c r="G21" s="7">
        <f>COUNTIFS('V16 - Security Logging and Erro'!$F$2:$F$23,"Compliant",'V16 - Security Logging and Erro'!$E$2:$E$23,2)</f>
        <v>0</v>
      </c>
      <c r="H21" s="8">
        <f t="shared" si="1"/>
        <v>0</v>
      </c>
      <c r="I21" s="7">
        <v>1</v>
      </c>
      <c r="J21" s="7">
        <f>COUNTIFS('V16 - Security Logging and Erro'!$F$2:$F$23,"Compliant",'V16 - Security Logging and Erro'!$E$2:$E$23,3)</f>
        <v>0</v>
      </c>
      <c r="K21" s="8">
        <f t="shared" si="4"/>
        <v>0</v>
      </c>
      <c r="L21" s="7">
        <f>COUNTIF('V16 - Security Logging and Erro'!$F$2:$F$23,"Compliant")</f>
        <v>0</v>
      </c>
      <c r="M21" s="8">
        <f t="shared" si="3"/>
        <v>0</v>
      </c>
    </row>
    <row r="22" spans="1:13" ht="18" customHeight="1" x14ac:dyDescent="0.25">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15" customHeight="1" x14ac:dyDescent="0.25">
      <c r="A23" s="9" t="s">
        <v>32</v>
      </c>
      <c r="B23" s="10">
        <f>SUM(B6:B22)</f>
        <v>345</v>
      </c>
      <c r="C23" s="10">
        <f>SUM(C6:C22)</f>
        <v>70</v>
      </c>
      <c r="D23" s="10">
        <f>SUM(D6:D22)</f>
        <v>0</v>
      </c>
      <c r="E23" s="11">
        <f>IFERROR(AVERAGE(E6:E22),"")</f>
        <v>0</v>
      </c>
      <c r="F23" s="10">
        <f>SUM(F6:F22)</f>
        <v>183</v>
      </c>
      <c r="G23" s="10">
        <f>SUM(G6:G22)</f>
        <v>0</v>
      </c>
      <c r="H23" s="11">
        <f>IFERROR(AVERAGE(H6:H22),"")</f>
        <v>0</v>
      </c>
      <c r="I23" s="10">
        <f>SUM(I6:I22)</f>
        <v>92</v>
      </c>
      <c r="J23" s="10">
        <f>SUM(J6:J22)</f>
        <v>0</v>
      </c>
      <c r="K23" s="11">
        <f>IFERROR(AVERAGE(K6:K22),"")</f>
        <v>0</v>
      </c>
      <c r="L23" s="10">
        <f>SUM(L6:L22)</f>
        <v>0</v>
      </c>
      <c r="M23" s="11">
        <f>IFERROR(AVERAGE(M6:M22),"")</f>
        <v>0</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81" zoomScaleNormal="75" workbookViewId="0">
      <pane ySplit="1" topLeftCell="A2" activePane="bottomLeft" state="frozen"/>
      <selection pane="bottomLeft" activeCell="F36" sqref="F3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94.28515625" bestFit="1"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41</v>
      </c>
      <c r="B2" s="13" t="s">
        <v>42</v>
      </c>
      <c r="C2" s="13"/>
      <c r="D2" s="13"/>
      <c r="E2" s="13"/>
      <c r="F2" s="13"/>
      <c r="G2" s="13"/>
      <c r="H2" s="13"/>
    </row>
    <row r="3" spans="1:8" ht="75" x14ac:dyDescent="0.25">
      <c r="A3" s="14" t="s">
        <v>41</v>
      </c>
      <c r="B3" s="14" t="s">
        <v>42</v>
      </c>
      <c r="C3" s="15" t="s">
        <v>43</v>
      </c>
      <c r="D3" s="16" t="s">
        <v>44</v>
      </c>
      <c r="E3" s="17">
        <v>2</v>
      </c>
      <c r="F3" s="28" t="s">
        <v>892</v>
      </c>
      <c r="G3" s="29" t="s">
        <v>1047</v>
      </c>
      <c r="H3" s="16"/>
    </row>
    <row r="4" spans="1:8" ht="30" customHeight="1" x14ac:dyDescent="0.25">
      <c r="A4" s="19" t="s">
        <v>41</v>
      </c>
      <c r="B4" s="19" t="s">
        <v>42</v>
      </c>
      <c r="C4" s="20" t="s">
        <v>46</v>
      </c>
      <c r="D4" s="21" t="s">
        <v>47</v>
      </c>
      <c r="E4" s="17">
        <v>2</v>
      </c>
      <c r="F4" s="28" t="s">
        <v>892</v>
      </c>
      <c r="G4" s="30" t="s">
        <v>1033</v>
      </c>
      <c r="H4" s="21"/>
    </row>
    <row r="5" spans="1:8" ht="18" customHeight="1" x14ac:dyDescent="0.25">
      <c r="A5" s="13" t="s">
        <v>48</v>
      </c>
      <c r="B5" s="13" t="s">
        <v>49</v>
      </c>
      <c r="C5" s="13"/>
      <c r="D5" s="13"/>
      <c r="E5" s="13"/>
      <c r="F5" s="31"/>
      <c r="G5" s="31"/>
      <c r="H5" s="13"/>
    </row>
    <row r="6" spans="1:8" ht="30" customHeight="1" x14ac:dyDescent="0.25">
      <c r="A6" s="14" t="s">
        <v>48</v>
      </c>
      <c r="B6" s="14" t="s">
        <v>49</v>
      </c>
      <c r="C6" s="15" t="s">
        <v>50</v>
      </c>
      <c r="D6" s="16" t="s">
        <v>51</v>
      </c>
      <c r="E6" s="22">
        <v>1</v>
      </c>
      <c r="F6" s="28" t="s">
        <v>893</v>
      </c>
      <c r="G6" s="29" t="s">
        <v>1034</v>
      </c>
      <c r="H6" s="16"/>
    </row>
    <row r="7" spans="1:8" ht="30" customHeight="1" x14ac:dyDescent="0.25">
      <c r="A7" s="19" t="s">
        <v>48</v>
      </c>
      <c r="B7" s="19" t="s">
        <v>49</v>
      </c>
      <c r="C7" s="20" t="s">
        <v>52</v>
      </c>
      <c r="D7" s="21" t="s">
        <v>53</v>
      </c>
      <c r="E7" s="22">
        <v>1</v>
      </c>
      <c r="F7" s="28" t="s">
        <v>45</v>
      </c>
      <c r="G7" s="30"/>
      <c r="H7" s="21"/>
    </row>
    <row r="8" spans="1:8" ht="30" customHeight="1" x14ac:dyDescent="0.25">
      <c r="A8" s="14" t="s">
        <v>48</v>
      </c>
      <c r="B8" s="14" t="s">
        <v>49</v>
      </c>
      <c r="C8" s="15" t="s">
        <v>54</v>
      </c>
      <c r="D8" s="16" t="s">
        <v>55</v>
      </c>
      <c r="E8" s="22">
        <v>1</v>
      </c>
      <c r="F8" s="28" t="s">
        <v>45</v>
      </c>
      <c r="G8" s="29"/>
      <c r="H8" s="16"/>
    </row>
    <row r="9" spans="1:8" ht="30" customHeight="1" x14ac:dyDescent="0.25">
      <c r="A9" s="19" t="s">
        <v>48</v>
      </c>
      <c r="B9" s="19" t="s">
        <v>49</v>
      </c>
      <c r="C9" s="20" t="s">
        <v>56</v>
      </c>
      <c r="D9" s="21" t="s">
        <v>57</v>
      </c>
      <c r="E9" s="22">
        <v>1</v>
      </c>
      <c r="F9" s="28" t="s">
        <v>45</v>
      </c>
      <c r="G9" s="30"/>
      <c r="H9" s="21"/>
    </row>
    <row r="10" spans="1:8" ht="30" customHeight="1" x14ac:dyDescent="0.25">
      <c r="A10" s="14" t="s">
        <v>48</v>
      </c>
      <c r="B10" s="14" t="s">
        <v>49</v>
      </c>
      <c r="C10" s="15" t="s">
        <v>58</v>
      </c>
      <c r="D10" s="16" t="s">
        <v>59</v>
      </c>
      <c r="E10" s="22">
        <v>1</v>
      </c>
      <c r="F10" s="28" t="s">
        <v>893</v>
      </c>
      <c r="G10" s="29" t="s">
        <v>1035</v>
      </c>
      <c r="H10" s="16"/>
    </row>
    <row r="11" spans="1:8" ht="30" customHeight="1" x14ac:dyDescent="0.25">
      <c r="A11" s="19" t="s">
        <v>48</v>
      </c>
      <c r="B11" s="19" t="s">
        <v>49</v>
      </c>
      <c r="C11" s="20" t="s">
        <v>60</v>
      </c>
      <c r="D11" s="21" t="s">
        <v>61</v>
      </c>
      <c r="E11" s="17">
        <v>2</v>
      </c>
      <c r="F11" s="28" t="s">
        <v>893</v>
      </c>
      <c r="G11" s="30" t="s">
        <v>1036</v>
      </c>
      <c r="H11" s="21"/>
    </row>
    <row r="12" spans="1:8" ht="30" customHeight="1" x14ac:dyDescent="0.25">
      <c r="A12" s="14" t="s">
        <v>48</v>
      </c>
      <c r="B12" s="14" t="s">
        <v>49</v>
      </c>
      <c r="C12" s="15" t="s">
        <v>62</v>
      </c>
      <c r="D12" s="16" t="s">
        <v>63</v>
      </c>
      <c r="E12" s="17">
        <v>2</v>
      </c>
      <c r="F12" s="28" t="s">
        <v>893</v>
      </c>
      <c r="G12" s="29" t="s">
        <v>1037</v>
      </c>
      <c r="H12" s="16"/>
    </row>
    <row r="13" spans="1:8" ht="30" customHeight="1" x14ac:dyDescent="0.25">
      <c r="A13" s="19" t="s">
        <v>48</v>
      </c>
      <c r="B13" s="19" t="s">
        <v>49</v>
      </c>
      <c r="C13" s="20" t="s">
        <v>64</v>
      </c>
      <c r="D13" s="21" t="s">
        <v>65</v>
      </c>
      <c r="E13" s="17">
        <v>2</v>
      </c>
      <c r="F13" s="28" t="s">
        <v>893</v>
      </c>
      <c r="G13" s="30" t="s">
        <v>1038</v>
      </c>
      <c r="H13" s="21"/>
    </row>
    <row r="14" spans="1:8" ht="30" customHeight="1" x14ac:dyDescent="0.25">
      <c r="A14" s="14" t="s">
        <v>48</v>
      </c>
      <c r="B14" s="14" t="s">
        <v>49</v>
      </c>
      <c r="C14" s="15" t="s">
        <v>66</v>
      </c>
      <c r="D14" s="16" t="s">
        <v>67</v>
      </c>
      <c r="E14" s="17">
        <v>2</v>
      </c>
      <c r="F14" s="28" t="s">
        <v>45</v>
      </c>
      <c r="G14" s="29"/>
      <c r="H14" s="16"/>
    </row>
    <row r="15" spans="1:8" ht="30" customHeight="1" x14ac:dyDescent="0.25">
      <c r="A15" s="19" t="s">
        <v>48</v>
      </c>
      <c r="B15" s="19" t="s">
        <v>49</v>
      </c>
      <c r="C15" s="20" t="s">
        <v>68</v>
      </c>
      <c r="D15" s="21" t="s">
        <v>69</v>
      </c>
      <c r="E15" s="23">
        <v>3</v>
      </c>
      <c r="F15" s="28" t="s">
        <v>893</v>
      </c>
      <c r="G15" s="30" t="s">
        <v>1039</v>
      </c>
      <c r="H15" s="21"/>
    </row>
    <row r="16" spans="1:8" ht="18" customHeight="1" x14ac:dyDescent="0.25">
      <c r="A16" s="13" t="s">
        <v>70</v>
      </c>
      <c r="B16" s="13" t="s">
        <v>71</v>
      </c>
      <c r="C16" s="13"/>
      <c r="D16" s="13"/>
      <c r="E16" s="13"/>
      <c r="F16" s="31"/>
      <c r="G16" s="31"/>
      <c r="H16" s="13"/>
    </row>
    <row r="17" spans="1:8" ht="30" customHeight="1" x14ac:dyDescent="0.25">
      <c r="A17" s="14" t="s">
        <v>70</v>
      </c>
      <c r="B17" s="14" t="s">
        <v>71</v>
      </c>
      <c r="C17" s="15" t="s">
        <v>72</v>
      </c>
      <c r="D17" s="16" t="s">
        <v>73</v>
      </c>
      <c r="E17" s="22">
        <v>1</v>
      </c>
      <c r="F17" s="28" t="s">
        <v>893</v>
      </c>
      <c r="G17" s="29" t="s">
        <v>1040</v>
      </c>
      <c r="H17" s="16"/>
    </row>
    <row r="18" spans="1:8" ht="30" customHeight="1" x14ac:dyDescent="0.25">
      <c r="A18" s="19" t="s">
        <v>70</v>
      </c>
      <c r="B18" s="19" t="s">
        <v>71</v>
      </c>
      <c r="C18" s="20" t="s">
        <v>74</v>
      </c>
      <c r="D18" s="21" t="s">
        <v>75</v>
      </c>
      <c r="E18" s="22">
        <v>1</v>
      </c>
      <c r="F18" s="28" t="s">
        <v>45</v>
      </c>
      <c r="G18" s="30"/>
      <c r="H18" s="21"/>
    </row>
    <row r="19" spans="1:8" ht="30" customHeight="1" x14ac:dyDescent="0.25">
      <c r="A19" s="14" t="s">
        <v>70</v>
      </c>
      <c r="B19" s="14" t="s">
        <v>71</v>
      </c>
      <c r="C19" s="15" t="s">
        <v>76</v>
      </c>
      <c r="D19" s="16" t="s">
        <v>77</v>
      </c>
      <c r="E19" s="17">
        <v>2</v>
      </c>
      <c r="F19" s="28" t="s">
        <v>45</v>
      </c>
      <c r="G19" s="29"/>
      <c r="H19" s="16"/>
    </row>
    <row r="20" spans="1:8" ht="30" customHeight="1" x14ac:dyDescent="0.25">
      <c r="A20" s="19" t="s">
        <v>70</v>
      </c>
      <c r="B20" s="19" t="s">
        <v>71</v>
      </c>
      <c r="C20" s="20" t="s">
        <v>78</v>
      </c>
      <c r="D20" s="21" t="s">
        <v>79</v>
      </c>
      <c r="E20" s="17">
        <v>2</v>
      </c>
      <c r="F20" s="28" t="s">
        <v>893</v>
      </c>
      <c r="G20" s="30" t="s">
        <v>1041</v>
      </c>
      <c r="H20" s="21"/>
    </row>
    <row r="21" spans="1:8" ht="30" customHeight="1" x14ac:dyDescent="0.25">
      <c r="A21" s="14" t="s">
        <v>70</v>
      </c>
      <c r="B21" s="14" t="s">
        <v>71</v>
      </c>
      <c r="C21" s="15" t="s">
        <v>80</v>
      </c>
      <c r="D21" s="16" t="s">
        <v>81</v>
      </c>
      <c r="E21" s="17">
        <v>2</v>
      </c>
      <c r="F21" s="28" t="s">
        <v>893</v>
      </c>
      <c r="G21" s="29" t="s">
        <v>1042</v>
      </c>
      <c r="H21" s="16"/>
    </row>
    <row r="22" spans="1:8" ht="30" customHeight="1" x14ac:dyDescent="0.25">
      <c r="A22" s="19" t="s">
        <v>70</v>
      </c>
      <c r="B22" s="19" t="s">
        <v>71</v>
      </c>
      <c r="C22" s="20" t="s">
        <v>82</v>
      </c>
      <c r="D22" s="21" t="s">
        <v>83</v>
      </c>
      <c r="E22" s="17">
        <v>2</v>
      </c>
      <c r="F22" s="28" t="s">
        <v>45</v>
      </c>
      <c r="G22" s="30"/>
      <c r="H22" s="21"/>
    </row>
    <row r="23" spans="1:8" ht="30" customHeight="1" x14ac:dyDescent="0.25">
      <c r="A23" s="14" t="s">
        <v>70</v>
      </c>
      <c r="B23" s="14" t="s">
        <v>71</v>
      </c>
      <c r="C23" s="15" t="s">
        <v>84</v>
      </c>
      <c r="D23" s="16" t="s">
        <v>85</v>
      </c>
      <c r="E23" s="17">
        <v>2</v>
      </c>
      <c r="F23" s="28" t="s">
        <v>45</v>
      </c>
      <c r="G23" s="29"/>
      <c r="H23" s="16"/>
    </row>
    <row r="24" spans="1:8" ht="30" customHeight="1" x14ac:dyDescent="0.25">
      <c r="A24" s="19" t="s">
        <v>70</v>
      </c>
      <c r="B24" s="19" t="s">
        <v>71</v>
      </c>
      <c r="C24" s="20" t="s">
        <v>86</v>
      </c>
      <c r="D24" s="21" t="s">
        <v>87</v>
      </c>
      <c r="E24" s="17">
        <v>2</v>
      </c>
      <c r="F24" s="28" t="s">
        <v>893</v>
      </c>
      <c r="G24" s="30" t="s">
        <v>1043</v>
      </c>
      <c r="H24" s="21"/>
    </row>
    <row r="25" spans="1:8" ht="30" customHeight="1" x14ac:dyDescent="0.25">
      <c r="A25" s="14" t="s">
        <v>70</v>
      </c>
      <c r="B25" s="14" t="s">
        <v>71</v>
      </c>
      <c r="C25" s="15" t="s">
        <v>88</v>
      </c>
      <c r="D25" s="16" t="s">
        <v>89</v>
      </c>
      <c r="E25" s="17">
        <v>2</v>
      </c>
      <c r="F25" s="28" t="s">
        <v>893</v>
      </c>
      <c r="G25" s="29" t="s">
        <v>1044</v>
      </c>
      <c r="H25" s="16"/>
    </row>
    <row r="26" spans="1:8" ht="30" customHeight="1" x14ac:dyDescent="0.25">
      <c r="A26" s="19" t="s">
        <v>70</v>
      </c>
      <c r="B26" s="19" t="s">
        <v>71</v>
      </c>
      <c r="C26" s="20" t="s">
        <v>90</v>
      </c>
      <c r="D26" s="21" t="s">
        <v>91</v>
      </c>
      <c r="E26" s="17">
        <v>2</v>
      </c>
      <c r="F26" s="28" t="s">
        <v>45</v>
      </c>
      <c r="G26" s="30"/>
      <c r="H26" s="21"/>
    </row>
    <row r="27" spans="1:8" ht="30" customHeight="1" x14ac:dyDescent="0.25">
      <c r="A27" s="14" t="s">
        <v>70</v>
      </c>
      <c r="B27" s="14" t="s">
        <v>71</v>
      </c>
      <c r="C27" s="15" t="s">
        <v>92</v>
      </c>
      <c r="D27" s="16" t="s">
        <v>93</v>
      </c>
      <c r="E27" s="17">
        <v>2</v>
      </c>
      <c r="F27" s="28" t="s">
        <v>893</v>
      </c>
      <c r="G27" s="29" t="s">
        <v>1045</v>
      </c>
      <c r="H27" s="16"/>
    </row>
    <row r="28" spans="1:8" ht="30" customHeight="1" x14ac:dyDescent="0.25">
      <c r="A28" s="19" t="s">
        <v>70</v>
      </c>
      <c r="B28" s="19" t="s">
        <v>71</v>
      </c>
      <c r="C28" s="20" t="s">
        <v>94</v>
      </c>
      <c r="D28" s="21" t="s">
        <v>95</v>
      </c>
      <c r="E28" s="23">
        <v>3</v>
      </c>
      <c r="F28" s="28" t="s">
        <v>893</v>
      </c>
      <c r="G28" s="30"/>
      <c r="H28" s="21"/>
    </row>
    <row r="29" spans="1:8" ht="18" customHeight="1" x14ac:dyDescent="0.25">
      <c r="A29" s="13" t="s">
        <v>96</v>
      </c>
      <c r="B29" s="13" t="s">
        <v>97</v>
      </c>
      <c r="C29" s="13"/>
      <c r="D29" s="13"/>
      <c r="E29" s="13"/>
      <c r="F29" s="31"/>
      <c r="G29" s="31"/>
      <c r="H29" s="13"/>
    </row>
    <row r="30" spans="1:8" ht="30" customHeight="1" x14ac:dyDescent="0.25">
      <c r="A30" s="14" t="s">
        <v>96</v>
      </c>
      <c r="B30" s="14" t="s">
        <v>97</v>
      </c>
      <c r="C30" s="15" t="s">
        <v>98</v>
      </c>
      <c r="D30" s="16" t="s">
        <v>99</v>
      </c>
      <c r="E30" s="17">
        <v>2</v>
      </c>
      <c r="F30" s="28" t="s">
        <v>893</v>
      </c>
      <c r="G30" s="29" t="s">
        <v>1046</v>
      </c>
      <c r="H30" s="16"/>
    </row>
    <row r="31" spans="1:8" ht="30" customHeight="1" x14ac:dyDescent="0.25">
      <c r="A31" s="19" t="s">
        <v>96</v>
      </c>
      <c r="B31" s="19" t="s">
        <v>97</v>
      </c>
      <c r="C31" s="20" t="s">
        <v>100</v>
      </c>
      <c r="D31" s="21" t="s">
        <v>101</v>
      </c>
      <c r="E31" s="17">
        <v>2</v>
      </c>
      <c r="F31" s="28" t="s">
        <v>45</v>
      </c>
      <c r="G31" s="30"/>
      <c r="H31" s="21"/>
    </row>
    <row r="32" spans="1:8" ht="30" customHeight="1" x14ac:dyDescent="0.25">
      <c r="A32" s="14" t="s">
        <v>96</v>
      </c>
      <c r="B32" s="14" t="s">
        <v>97</v>
      </c>
      <c r="C32" s="15" t="s">
        <v>102</v>
      </c>
      <c r="D32" s="16" t="s">
        <v>103</v>
      </c>
      <c r="E32" s="17">
        <v>2</v>
      </c>
      <c r="F32" s="28" t="s">
        <v>45</v>
      </c>
      <c r="G32" s="29"/>
      <c r="H32" s="16"/>
    </row>
    <row r="33" spans="1:8" ht="18" customHeight="1" x14ac:dyDescent="0.25">
      <c r="A33" s="13" t="s">
        <v>104</v>
      </c>
      <c r="B33" s="13" t="s">
        <v>105</v>
      </c>
      <c r="C33" s="13"/>
      <c r="D33" s="13"/>
      <c r="E33" s="13"/>
      <c r="F33" s="31"/>
      <c r="G33" s="31"/>
      <c r="H33" s="13"/>
    </row>
    <row r="34" spans="1:8" ht="30" customHeight="1" x14ac:dyDescent="0.25">
      <c r="A34" s="14" t="s">
        <v>104</v>
      </c>
      <c r="B34" s="14" t="s">
        <v>105</v>
      </c>
      <c r="C34" s="15" t="s">
        <v>106</v>
      </c>
      <c r="D34" s="16" t="s">
        <v>107</v>
      </c>
      <c r="E34" s="22">
        <v>1</v>
      </c>
      <c r="F34" s="28" t="s">
        <v>45</v>
      </c>
      <c r="G34" s="29"/>
      <c r="H34" s="16"/>
    </row>
    <row r="35" spans="1:8" ht="30" customHeight="1" x14ac:dyDescent="0.25">
      <c r="A35" s="19" t="s">
        <v>104</v>
      </c>
      <c r="B35" s="19" t="s">
        <v>105</v>
      </c>
      <c r="C35" s="20" t="s">
        <v>108</v>
      </c>
      <c r="D35" s="21" t="s">
        <v>109</v>
      </c>
      <c r="E35" s="17">
        <v>2</v>
      </c>
      <c r="F35" s="28" t="s">
        <v>45</v>
      </c>
      <c r="G35" s="30"/>
      <c r="H35" s="21"/>
    </row>
    <row r="36" spans="1:8" ht="30" customHeight="1" x14ac:dyDescent="0.25">
      <c r="A36" s="14" t="s">
        <v>104</v>
      </c>
      <c r="B36" s="14" t="s">
        <v>105</v>
      </c>
      <c r="C36" s="15" t="s">
        <v>110</v>
      </c>
      <c r="D36" s="16" t="s">
        <v>111</v>
      </c>
      <c r="E36" s="23">
        <v>3</v>
      </c>
      <c r="F36" s="28" t="s">
        <v>893</v>
      </c>
      <c r="G36" s="29"/>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2" activePane="bottomLeft" state="frozen"/>
      <selection pane="bottomLeft" activeCell="F18" sqref="F18"/>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75.7109375" bestFit="1"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112</v>
      </c>
      <c r="B2" s="13" t="s">
        <v>113</v>
      </c>
      <c r="C2" s="13"/>
      <c r="D2" s="13"/>
      <c r="E2" s="13"/>
      <c r="F2" s="13"/>
      <c r="G2" s="13"/>
      <c r="H2" s="13"/>
    </row>
    <row r="3" spans="1:8" ht="75" x14ac:dyDescent="0.25">
      <c r="A3" s="14" t="s">
        <v>112</v>
      </c>
      <c r="B3" s="14" t="s">
        <v>113</v>
      </c>
      <c r="C3" s="15" t="s">
        <v>114</v>
      </c>
      <c r="D3" s="16" t="s">
        <v>115</v>
      </c>
      <c r="E3" s="22">
        <v>1</v>
      </c>
      <c r="F3" s="28" t="s">
        <v>892</v>
      </c>
      <c r="G3" s="29" t="s">
        <v>1048</v>
      </c>
      <c r="H3" s="16"/>
    </row>
    <row r="4" spans="1:8" ht="45" x14ac:dyDescent="0.25">
      <c r="A4" s="19" t="s">
        <v>112</v>
      </c>
      <c r="B4" s="19" t="s">
        <v>113</v>
      </c>
      <c r="C4" s="20" t="s">
        <v>116</v>
      </c>
      <c r="D4" s="21" t="s">
        <v>117</v>
      </c>
      <c r="E4" s="17">
        <v>2</v>
      </c>
      <c r="F4" s="28" t="s">
        <v>892</v>
      </c>
      <c r="G4" s="30" t="s">
        <v>1049</v>
      </c>
      <c r="H4" s="21"/>
    </row>
    <row r="5" spans="1:8" ht="45" x14ac:dyDescent="0.25">
      <c r="A5" s="14" t="s">
        <v>112</v>
      </c>
      <c r="B5" s="14" t="s">
        <v>113</v>
      </c>
      <c r="C5" s="15" t="s">
        <v>118</v>
      </c>
      <c r="D5" s="16" t="s">
        <v>119</v>
      </c>
      <c r="E5" s="17">
        <v>2</v>
      </c>
      <c r="F5" s="28" t="s">
        <v>892</v>
      </c>
      <c r="G5" s="29" t="s">
        <v>1050</v>
      </c>
      <c r="H5" s="16"/>
    </row>
    <row r="6" spans="1:8" ht="18" customHeight="1" x14ac:dyDescent="0.25">
      <c r="A6" s="13" t="s">
        <v>120</v>
      </c>
      <c r="B6" s="13" t="s">
        <v>121</v>
      </c>
      <c r="C6" s="13"/>
      <c r="D6" s="13"/>
      <c r="E6" s="13"/>
      <c r="F6" s="31"/>
      <c r="G6" s="31"/>
      <c r="H6" s="13"/>
    </row>
    <row r="7" spans="1:8" ht="30" customHeight="1" x14ac:dyDescent="0.25">
      <c r="A7" s="14" t="s">
        <v>120</v>
      </c>
      <c r="B7" s="14" t="s">
        <v>121</v>
      </c>
      <c r="C7" s="15" t="s">
        <v>122</v>
      </c>
      <c r="D7" s="16" t="s">
        <v>123</v>
      </c>
      <c r="E7" s="22">
        <v>1</v>
      </c>
      <c r="F7" s="28" t="s">
        <v>45</v>
      </c>
      <c r="G7" s="29"/>
      <c r="H7" s="16"/>
    </row>
    <row r="8" spans="1:8" ht="30" customHeight="1" x14ac:dyDescent="0.25">
      <c r="A8" s="19" t="s">
        <v>120</v>
      </c>
      <c r="B8" s="19" t="s">
        <v>121</v>
      </c>
      <c r="C8" s="20" t="s">
        <v>124</v>
      </c>
      <c r="D8" s="21" t="s">
        <v>125</v>
      </c>
      <c r="E8" s="22">
        <v>1</v>
      </c>
      <c r="F8" s="28" t="s">
        <v>45</v>
      </c>
      <c r="G8" s="30"/>
      <c r="H8" s="21"/>
    </row>
    <row r="9" spans="1:8" ht="30" customHeight="1" x14ac:dyDescent="0.25">
      <c r="A9" s="14" t="s">
        <v>120</v>
      </c>
      <c r="B9" s="14" t="s">
        <v>121</v>
      </c>
      <c r="C9" s="15" t="s">
        <v>126</v>
      </c>
      <c r="D9" s="16" t="s">
        <v>127</v>
      </c>
      <c r="E9" s="17">
        <v>2</v>
      </c>
      <c r="F9" s="28" t="s">
        <v>45</v>
      </c>
      <c r="G9" s="29"/>
      <c r="H9" s="16"/>
    </row>
    <row r="10" spans="1:8" ht="18" customHeight="1" x14ac:dyDescent="0.25">
      <c r="A10" s="13" t="s">
        <v>128</v>
      </c>
      <c r="B10" s="13" t="s">
        <v>129</v>
      </c>
      <c r="C10" s="13"/>
      <c r="D10" s="13"/>
      <c r="E10" s="13"/>
      <c r="F10" s="31"/>
      <c r="G10" s="31"/>
      <c r="H10" s="13"/>
    </row>
    <row r="11" spans="1:8" ht="30" customHeight="1" x14ac:dyDescent="0.25">
      <c r="A11" s="14" t="s">
        <v>128</v>
      </c>
      <c r="B11" s="14" t="s">
        <v>129</v>
      </c>
      <c r="C11" s="15" t="s">
        <v>130</v>
      </c>
      <c r="D11" s="16" t="s">
        <v>131</v>
      </c>
      <c r="E11" s="22">
        <v>1</v>
      </c>
      <c r="F11" s="28" t="s">
        <v>45</v>
      </c>
      <c r="G11" s="29"/>
      <c r="H11" s="16"/>
    </row>
    <row r="12" spans="1:8" ht="30" customHeight="1" x14ac:dyDescent="0.25">
      <c r="A12" s="19" t="s">
        <v>128</v>
      </c>
      <c r="B12" s="19" t="s">
        <v>129</v>
      </c>
      <c r="C12" s="20" t="s">
        <v>132</v>
      </c>
      <c r="D12" s="21" t="s">
        <v>133</v>
      </c>
      <c r="E12" s="17">
        <v>2</v>
      </c>
      <c r="F12" s="28" t="s">
        <v>45</v>
      </c>
      <c r="G12" s="30"/>
      <c r="H12" s="21"/>
    </row>
    <row r="13" spans="1:8" ht="30" customHeight="1" x14ac:dyDescent="0.25">
      <c r="A13" s="14" t="s">
        <v>128</v>
      </c>
      <c r="B13" s="14" t="s">
        <v>129</v>
      </c>
      <c r="C13" s="15" t="s">
        <v>134</v>
      </c>
      <c r="D13" s="16" t="s">
        <v>135</v>
      </c>
      <c r="E13" s="17">
        <v>2</v>
      </c>
      <c r="F13" s="28" t="s">
        <v>45</v>
      </c>
      <c r="G13" s="29"/>
      <c r="H13" s="16"/>
    </row>
    <row r="14" spans="1:8" ht="30" customHeight="1" x14ac:dyDescent="0.25">
      <c r="A14" s="19" t="s">
        <v>128</v>
      </c>
      <c r="B14" s="19" t="s">
        <v>129</v>
      </c>
      <c r="C14" s="20" t="s">
        <v>136</v>
      </c>
      <c r="D14" s="21" t="s">
        <v>137</v>
      </c>
      <c r="E14" s="17">
        <v>2</v>
      </c>
      <c r="F14" s="28" t="s">
        <v>45</v>
      </c>
      <c r="G14" s="30"/>
      <c r="H14" s="21"/>
    </row>
    <row r="15" spans="1:8" ht="75" x14ac:dyDescent="0.25">
      <c r="A15" s="14" t="s">
        <v>128</v>
      </c>
      <c r="B15" s="14" t="s">
        <v>129</v>
      </c>
      <c r="C15" s="15" t="s">
        <v>138</v>
      </c>
      <c r="D15" s="16" t="s">
        <v>139</v>
      </c>
      <c r="E15" s="23">
        <v>3</v>
      </c>
      <c r="F15" s="28" t="s">
        <v>893</v>
      </c>
      <c r="G15" s="29" t="s">
        <v>1051</v>
      </c>
      <c r="H15" s="16"/>
    </row>
    <row r="16" spans="1:8" ht="18" customHeight="1" x14ac:dyDescent="0.25">
      <c r="A16" s="13" t="s">
        <v>140</v>
      </c>
      <c r="B16" s="13" t="s">
        <v>141</v>
      </c>
      <c r="C16" s="13"/>
      <c r="D16" s="13"/>
      <c r="E16" s="13"/>
      <c r="F16" s="31"/>
      <c r="G16" s="31"/>
      <c r="H16" s="13"/>
    </row>
    <row r="17" spans="1:8" ht="30" customHeight="1" x14ac:dyDescent="0.25">
      <c r="A17" s="14" t="s">
        <v>140</v>
      </c>
      <c r="B17" s="14" t="s">
        <v>141</v>
      </c>
      <c r="C17" s="15" t="s">
        <v>142</v>
      </c>
      <c r="D17" s="16" t="s">
        <v>143</v>
      </c>
      <c r="E17" s="17">
        <v>2</v>
      </c>
      <c r="F17" s="28" t="s">
        <v>45</v>
      </c>
      <c r="G17" s="29"/>
      <c r="H17" s="16"/>
    </row>
    <row r="18" spans="1:8" ht="30" customHeight="1" x14ac:dyDescent="0.25">
      <c r="A18" s="19" t="s">
        <v>140</v>
      </c>
      <c r="B18" s="19" t="s">
        <v>141</v>
      </c>
      <c r="C18" s="20" t="s">
        <v>144</v>
      </c>
      <c r="D18" s="21" t="s">
        <v>145</v>
      </c>
      <c r="E18" s="23">
        <v>3</v>
      </c>
      <c r="F18" s="28" t="s">
        <v>893</v>
      </c>
      <c r="G18" s="30"/>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85" zoomScaleNormal="85" workbookViewId="0">
      <pane ySplit="1" topLeftCell="A7" activePane="bottomLeft" state="frozen"/>
      <selection pane="bottomLeft" activeCell="G6" sqref="G6"/>
    </sheetView>
  </sheetViews>
  <sheetFormatPr defaultColWidth="8.5703125" defaultRowHeight="15" x14ac:dyDescent="0.25"/>
  <cols>
    <col min="1" max="1" width="12" customWidth="1"/>
    <col min="2" max="2" width="33" bestFit="1" customWidth="1"/>
    <col min="3" max="3" width="12" customWidth="1"/>
    <col min="4" max="4" width="60" customWidth="1"/>
    <col min="5" max="5" width="8" customWidth="1"/>
    <col min="6" max="6" width="16" customWidth="1"/>
    <col min="7" max="7" width="81.7109375" bestFit="1" customWidth="1"/>
    <col min="8" max="8" width="35" customWidth="1"/>
  </cols>
  <sheetData>
    <row r="1" spans="1:8" ht="39.75" customHeight="1" x14ac:dyDescent="0.25">
      <c r="A1" s="12" t="s">
        <v>894</v>
      </c>
      <c r="B1" s="12" t="s">
        <v>34</v>
      </c>
      <c r="C1" s="12" t="s">
        <v>35</v>
      </c>
      <c r="D1" s="12" t="s">
        <v>36</v>
      </c>
      <c r="E1" s="12" t="s">
        <v>37</v>
      </c>
      <c r="F1" s="12" t="s">
        <v>38</v>
      </c>
      <c r="G1" s="12" t="s">
        <v>39</v>
      </c>
      <c r="H1" s="12" t="s">
        <v>40</v>
      </c>
    </row>
    <row r="2" spans="1:8" x14ac:dyDescent="0.25">
      <c r="A2" s="13" t="s">
        <v>146</v>
      </c>
      <c r="B2" s="13" t="s">
        <v>147</v>
      </c>
      <c r="C2" s="13"/>
      <c r="D2" s="13"/>
      <c r="E2" s="13"/>
      <c r="F2" s="13"/>
      <c r="G2" s="13"/>
      <c r="H2" s="13"/>
    </row>
    <row r="3" spans="1:8" ht="85.15" customHeight="1" x14ac:dyDescent="0.25">
      <c r="A3" s="14" t="s">
        <v>146</v>
      </c>
      <c r="B3" s="14" t="s">
        <v>147</v>
      </c>
      <c r="C3" s="15" t="s">
        <v>148</v>
      </c>
      <c r="D3" s="16" t="s">
        <v>149</v>
      </c>
      <c r="E3" s="23">
        <v>3</v>
      </c>
      <c r="F3" s="18" t="s">
        <v>893</v>
      </c>
      <c r="G3" s="24" t="s">
        <v>895</v>
      </c>
      <c r="H3" s="16"/>
    </row>
    <row r="4" spans="1:8" x14ac:dyDescent="0.25">
      <c r="A4" s="13" t="s">
        <v>150</v>
      </c>
      <c r="B4" s="13" t="s">
        <v>151</v>
      </c>
      <c r="C4" s="13"/>
      <c r="D4" s="13"/>
      <c r="E4" s="13"/>
      <c r="F4" s="13"/>
      <c r="G4" s="13"/>
      <c r="H4" s="13"/>
    </row>
    <row r="5" spans="1:8" ht="127.9" customHeight="1" x14ac:dyDescent="0.25">
      <c r="A5" s="14" t="s">
        <v>150</v>
      </c>
      <c r="B5" s="14" t="s">
        <v>151</v>
      </c>
      <c r="C5" s="15" t="s">
        <v>152</v>
      </c>
      <c r="D5" s="16" t="s">
        <v>153</v>
      </c>
      <c r="E5" s="22">
        <v>1</v>
      </c>
      <c r="F5" s="18" t="s">
        <v>893</v>
      </c>
      <c r="G5" s="25"/>
      <c r="H5" s="16"/>
    </row>
    <row r="6" spans="1:8" ht="85.15" customHeight="1" x14ac:dyDescent="0.25">
      <c r="A6" s="19" t="s">
        <v>150</v>
      </c>
      <c r="B6" s="19" t="s">
        <v>151</v>
      </c>
      <c r="C6" s="20" t="s">
        <v>154</v>
      </c>
      <c r="D6" s="21" t="s">
        <v>155</v>
      </c>
      <c r="E6" s="22">
        <v>1</v>
      </c>
      <c r="F6" s="18" t="s">
        <v>893</v>
      </c>
      <c r="G6" t="s">
        <v>896</v>
      </c>
      <c r="H6" s="21"/>
    </row>
    <row r="7" spans="1:8" ht="85.15" customHeight="1" x14ac:dyDescent="0.25">
      <c r="A7" s="14" t="s">
        <v>150</v>
      </c>
      <c r="B7" s="14" t="s">
        <v>151</v>
      </c>
      <c r="C7" s="15" t="s">
        <v>156</v>
      </c>
      <c r="D7" s="16" t="s">
        <v>157</v>
      </c>
      <c r="E7" s="23">
        <v>3</v>
      </c>
      <c r="F7" s="18" t="s">
        <v>893</v>
      </c>
      <c r="G7" t="s">
        <v>897</v>
      </c>
      <c r="H7" s="16"/>
    </row>
    <row r="8" spans="1:8" x14ac:dyDescent="0.25">
      <c r="A8" s="13" t="s">
        <v>158</v>
      </c>
      <c r="B8" s="13" t="s">
        <v>159</v>
      </c>
      <c r="C8" s="13"/>
      <c r="D8" s="13"/>
      <c r="E8" s="13"/>
      <c r="F8" s="13"/>
      <c r="G8" s="13"/>
      <c r="H8" s="13"/>
    </row>
    <row r="9" spans="1:8" ht="72" customHeight="1" x14ac:dyDescent="0.25">
      <c r="A9" s="14" t="s">
        <v>158</v>
      </c>
      <c r="B9" s="14" t="s">
        <v>159</v>
      </c>
      <c r="C9" s="15" t="s">
        <v>160</v>
      </c>
      <c r="D9" s="16" t="s">
        <v>161</v>
      </c>
      <c r="E9" s="22">
        <v>1</v>
      </c>
      <c r="F9" s="18" t="s">
        <v>893</v>
      </c>
      <c r="G9" s="25" t="s">
        <v>901</v>
      </c>
      <c r="H9" s="16"/>
    </row>
    <row r="10" spans="1:8" ht="72" customHeight="1" x14ac:dyDescent="0.25">
      <c r="A10" s="19" t="s">
        <v>158</v>
      </c>
      <c r="B10" s="19" t="s">
        <v>159</v>
      </c>
      <c r="C10" s="20" t="s">
        <v>162</v>
      </c>
      <c r="D10" s="21" t="s">
        <v>163</v>
      </c>
      <c r="E10" s="17">
        <v>2</v>
      </c>
      <c r="F10" s="18" t="s">
        <v>893</v>
      </c>
      <c r="G10" t="s">
        <v>898</v>
      </c>
      <c r="H10" s="21"/>
    </row>
    <row r="11" spans="1:8" ht="72" customHeight="1" x14ac:dyDescent="0.25">
      <c r="A11" s="14" t="s">
        <v>158</v>
      </c>
      <c r="B11" s="14" t="s">
        <v>159</v>
      </c>
      <c r="C11" s="15" t="s">
        <v>164</v>
      </c>
      <c r="D11" s="16" t="s">
        <v>165</v>
      </c>
      <c r="E11" s="17">
        <v>2</v>
      </c>
      <c r="F11" s="18" t="s">
        <v>893</v>
      </c>
      <c r="G11" t="s">
        <v>898</v>
      </c>
      <c r="H11" s="16"/>
    </row>
    <row r="12" spans="1:8" ht="72" customHeight="1" x14ac:dyDescent="0.25">
      <c r="A12" s="19" t="s">
        <v>158</v>
      </c>
      <c r="B12" s="19" t="s">
        <v>159</v>
      </c>
      <c r="C12" s="20" t="s">
        <v>166</v>
      </c>
      <c r="D12" s="21" t="s">
        <v>167</v>
      </c>
      <c r="E12" s="17">
        <v>2</v>
      </c>
      <c r="F12" s="18" t="s">
        <v>893</v>
      </c>
      <c r="G12" s="26" t="s">
        <v>900</v>
      </c>
      <c r="H12" s="21"/>
    </row>
    <row r="13" spans="1:8" ht="72" customHeight="1" x14ac:dyDescent="0.25">
      <c r="A13" s="14" t="s">
        <v>158</v>
      </c>
      <c r="B13" s="14" t="s">
        <v>159</v>
      </c>
      <c r="C13" s="15" t="s">
        <v>168</v>
      </c>
      <c r="D13" s="16" t="s">
        <v>169</v>
      </c>
      <c r="E13" s="23">
        <v>3</v>
      </c>
      <c r="F13" s="18" t="s">
        <v>893</v>
      </c>
      <c r="G13" t="s">
        <v>899</v>
      </c>
      <c r="H13" s="16"/>
    </row>
    <row r="14" spans="1:8" x14ac:dyDescent="0.25">
      <c r="A14" s="13" t="s">
        <v>170</v>
      </c>
      <c r="B14" s="13" t="s">
        <v>171</v>
      </c>
      <c r="C14" s="13"/>
      <c r="D14" s="13"/>
      <c r="E14" s="13"/>
      <c r="F14" s="13"/>
      <c r="G14" s="13"/>
      <c r="H14" s="13"/>
    </row>
    <row r="15" spans="1:8" ht="72" customHeight="1" x14ac:dyDescent="0.25">
      <c r="A15" s="14" t="s">
        <v>170</v>
      </c>
      <c r="B15" s="14" t="s">
        <v>171</v>
      </c>
      <c r="C15" s="15" t="s">
        <v>172</v>
      </c>
      <c r="D15" s="16" t="s">
        <v>173</v>
      </c>
      <c r="E15" s="22">
        <v>1</v>
      </c>
      <c r="F15" s="18" t="s">
        <v>892</v>
      </c>
      <c r="G15" s="25" t="s">
        <v>1053</v>
      </c>
      <c r="H15" s="16"/>
    </row>
    <row r="16" spans="1:8" ht="104.25" customHeight="1" x14ac:dyDescent="0.25">
      <c r="A16" s="19" t="s">
        <v>170</v>
      </c>
      <c r="B16" s="19" t="s">
        <v>171</v>
      </c>
      <c r="C16" s="20" t="s">
        <v>174</v>
      </c>
      <c r="D16" s="21" t="s">
        <v>175</v>
      </c>
      <c r="E16" s="22">
        <v>1</v>
      </c>
      <c r="F16" s="18" t="s">
        <v>892</v>
      </c>
      <c r="G16" s="26" t="s">
        <v>1054</v>
      </c>
      <c r="H16" s="21"/>
    </row>
    <row r="17" spans="1:8" ht="138" customHeight="1" x14ac:dyDescent="0.25">
      <c r="A17" s="14" t="s">
        <v>170</v>
      </c>
      <c r="B17" s="14" t="s">
        <v>171</v>
      </c>
      <c r="C17" s="15" t="s">
        <v>176</v>
      </c>
      <c r="D17" s="16" t="s">
        <v>177</v>
      </c>
      <c r="E17" s="17">
        <v>2</v>
      </c>
      <c r="F17" s="18" t="s">
        <v>45</v>
      </c>
      <c r="G17" s="25" t="s">
        <v>1055</v>
      </c>
      <c r="H17" s="16"/>
    </row>
    <row r="18" spans="1:8" ht="78" customHeight="1" x14ac:dyDescent="0.25">
      <c r="A18" s="19" t="s">
        <v>170</v>
      </c>
      <c r="B18" s="19" t="s">
        <v>171</v>
      </c>
      <c r="C18" s="20" t="s">
        <v>178</v>
      </c>
      <c r="D18" s="21" t="s">
        <v>179</v>
      </c>
      <c r="E18" s="17">
        <v>2</v>
      </c>
      <c r="F18" s="18" t="s">
        <v>892</v>
      </c>
      <c r="G18" s="26" t="s">
        <v>1056</v>
      </c>
      <c r="H18" s="21"/>
    </row>
    <row r="19" spans="1:8" ht="105" x14ac:dyDescent="0.25">
      <c r="A19" s="14" t="s">
        <v>170</v>
      </c>
      <c r="B19" s="14" t="s">
        <v>171</v>
      </c>
      <c r="C19" s="15" t="s">
        <v>180</v>
      </c>
      <c r="D19" s="16" t="s">
        <v>181</v>
      </c>
      <c r="E19" s="17">
        <v>2</v>
      </c>
      <c r="F19" s="18" t="s">
        <v>893</v>
      </c>
      <c r="G19" s="25" t="s">
        <v>1057</v>
      </c>
      <c r="H19" s="16"/>
    </row>
    <row r="20" spans="1:8" ht="90" x14ac:dyDescent="0.25">
      <c r="A20" s="19" t="s">
        <v>170</v>
      </c>
      <c r="B20" s="19" t="s">
        <v>171</v>
      </c>
      <c r="C20" s="20" t="s">
        <v>182</v>
      </c>
      <c r="D20" s="21" t="s">
        <v>183</v>
      </c>
      <c r="E20" s="17">
        <v>2</v>
      </c>
      <c r="F20" s="18" t="s">
        <v>893</v>
      </c>
      <c r="G20" s="26" t="s">
        <v>1058</v>
      </c>
      <c r="H20" s="21"/>
    </row>
    <row r="21" spans="1:8" ht="72" customHeight="1" x14ac:dyDescent="0.25">
      <c r="A21" s="14" t="s">
        <v>170</v>
      </c>
      <c r="B21" s="14" t="s">
        <v>171</v>
      </c>
      <c r="C21" s="15" t="s">
        <v>184</v>
      </c>
      <c r="D21" s="16" t="s">
        <v>185</v>
      </c>
      <c r="E21" s="23">
        <v>3</v>
      </c>
      <c r="F21" s="18" t="s">
        <v>893</v>
      </c>
      <c r="G21" s="25" t="s">
        <v>1059</v>
      </c>
      <c r="H21" s="16"/>
    </row>
    <row r="22" spans="1:8" ht="90" x14ac:dyDescent="0.25">
      <c r="A22" s="19" t="s">
        <v>170</v>
      </c>
      <c r="B22" s="19" t="s">
        <v>171</v>
      </c>
      <c r="C22" s="20" t="s">
        <v>186</v>
      </c>
      <c r="D22" s="21" t="s">
        <v>187</v>
      </c>
      <c r="E22" s="23">
        <v>3</v>
      </c>
      <c r="F22" s="18" t="s">
        <v>893</v>
      </c>
      <c r="G22" s="26" t="s">
        <v>1060</v>
      </c>
      <c r="H22" s="21"/>
    </row>
    <row r="23" spans="1:8" x14ac:dyDescent="0.25">
      <c r="A23" s="13" t="s">
        <v>188</v>
      </c>
      <c r="B23" s="13" t="s">
        <v>189</v>
      </c>
      <c r="C23" s="13"/>
      <c r="D23" s="13"/>
      <c r="E23" s="13"/>
      <c r="F23" s="13"/>
      <c r="G23" s="13"/>
      <c r="H23" s="13"/>
    </row>
    <row r="24" spans="1:8" ht="120" x14ac:dyDescent="0.25">
      <c r="A24" s="14" t="s">
        <v>188</v>
      </c>
      <c r="B24" s="14" t="s">
        <v>189</v>
      </c>
      <c r="C24" s="15" t="s">
        <v>190</v>
      </c>
      <c r="D24" s="16" t="s">
        <v>191</v>
      </c>
      <c r="E24" s="22">
        <v>1</v>
      </c>
      <c r="F24" s="18" t="s">
        <v>892</v>
      </c>
      <c r="G24" s="25" t="s">
        <v>1061</v>
      </c>
      <c r="H24" s="16"/>
    </row>
    <row r="25" spans="1:8" ht="105" x14ac:dyDescent="0.25">
      <c r="A25" s="19" t="s">
        <v>188</v>
      </c>
      <c r="B25" s="19" t="s">
        <v>189</v>
      </c>
      <c r="C25" s="20" t="s">
        <v>192</v>
      </c>
      <c r="D25" s="21" t="s">
        <v>193</v>
      </c>
      <c r="E25" s="22">
        <v>1</v>
      </c>
      <c r="F25" s="18" t="s">
        <v>892</v>
      </c>
      <c r="G25" s="26" t="s">
        <v>1062</v>
      </c>
      <c r="H25" s="21"/>
    </row>
    <row r="26" spans="1:8" ht="120" x14ac:dyDescent="0.25">
      <c r="A26" s="14" t="s">
        <v>188</v>
      </c>
      <c r="B26" s="14" t="s">
        <v>189</v>
      </c>
      <c r="C26" s="15" t="s">
        <v>194</v>
      </c>
      <c r="D26" s="16" t="s">
        <v>195</v>
      </c>
      <c r="E26" s="22">
        <v>1</v>
      </c>
      <c r="F26" s="18" t="s">
        <v>892</v>
      </c>
      <c r="G26" s="25" t="s">
        <v>1063</v>
      </c>
      <c r="H26" s="16"/>
    </row>
    <row r="27" spans="1:8" ht="75" x14ac:dyDescent="0.25">
      <c r="A27" s="19" t="s">
        <v>188</v>
      </c>
      <c r="B27" s="19" t="s">
        <v>189</v>
      </c>
      <c r="C27" s="20" t="s">
        <v>196</v>
      </c>
      <c r="D27" s="21" t="s">
        <v>197</v>
      </c>
      <c r="E27" s="17">
        <v>2</v>
      </c>
      <c r="F27" s="18" t="s">
        <v>893</v>
      </c>
      <c r="G27" s="26" t="s">
        <v>1064</v>
      </c>
      <c r="H27" s="21"/>
    </row>
    <row r="28" spans="1:8" ht="72" customHeight="1" x14ac:dyDescent="0.25">
      <c r="A28" s="14" t="s">
        <v>188</v>
      </c>
      <c r="B28" s="14" t="s">
        <v>189</v>
      </c>
      <c r="C28" s="15" t="s">
        <v>198</v>
      </c>
      <c r="D28" s="16" t="s">
        <v>199</v>
      </c>
      <c r="E28" s="17">
        <v>2</v>
      </c>
      <c r="F28" s="18" t="s">
        <v>893</v>
      </c>
      <c r="G28" s="25" t="s">
        <v>1065</v>
      </c>
      <c r="H28" s="16"/>
    </row>
    <row r="29" spans="1:8" ht="72" customHeight="1" x14ac:dyDescent="0.25">
      <c r="A29" s="19" t="s">
        <v>188</v>
      </c>
      <c r="B29" s="19" t="s">
        <v>189</v>
      </c>
      <c r="C29" s="20" t="s">
        <v>200</v>
      </c>
      <c r="D29" s="21" t="s">
        <v>201</v>
      </c>
      <c r="E29" s="23">
        <v>3</v>
      </c>
      <c r="F29" s="18" t="s">
        <v>893</v>
      </c>
      <c r="G29" s="26" t="s">
        <v>1066</v>
      </c>
      <c r="H29" s="21"/>
    </row>
    <row r="30" spans="1:8" ht="72" customHeight="1" x14ac:dyDescent="0.25">
      <c r="A30" s="14" t="s">
        <v>188</v>
      </c>
      <c r="B30" s="14" t="s">
        <v>189</v>
      </c>
      <c r="C30" s="15" t="s">
        <v>202</v>
      </c>
      <c r="D30" s="16" t="s">
        <v>203</v>
      </c>
      <c r="E30" s="23">
        <v>3</v>
      </c>
      <c r="F30" s="18" t="s">
        <v>893</v>
      </c>
      <c r="G30" s="25" t="s">
        <v>1067</v>
      </c>
      <c r="H30" s="16"/>
    </row>
    <row r="31" spans="1:8" ht="120.4" customHeight="1" x14ac:dyDescent="0.25">
      <c r="A31" s="19" t="s">
        <v>188</v>
      </c>
      <c r="B31" s="19" t="s">
        <v>189</v>
      </c>
      <c r="C31" s="20" t="s">
        <v>204</v>
      </c>
      <c r="D31" s="21" t="s">
        <v>205</v>
      </c>
      <c r="E31" s="23">
        <v>3</v>
      </c>
      <c r="F31" s="18" t="s">
        <v>893</v>
      </c>
      <c r="G31" s="26"/>
      <c r="H31" s="21"/>
    </row>
    <row r="32" spans="1:8" x14ac:dyDescent="0.25">
      <c r="A32" s="13" t="s">
        <v>206</v>
      </c>
      <c r="B32" s="13" t="s">
        <v>207</v>
      </c>
      <c r="C32" s="13"/>
      <c r="D32" s="13"/>
      <c r="E32" s="13"/>
      <c r="F32" s="13"/>
      <c r="G32" s="13"/>
      <c r="H32" s="13"/>
    </row>
    <row r="33" spans="1:8" ht="106.5" customHeight="1" x14ac:dyDescent="0.25">
      <c r="A33" s="14" t="s">
        <v>206</v>
      </c>
      <c r="B33" s="14" t="s">
        <v>207</v>
      </c>
      <c r="C33" s="15" t="s">
        <v>208</v>
      </c>
      <c r="D33" s="16" t="s">
        <v>209</v>
      </c>
      <c r="E33" s="23">
        <v>3</v>
      </c>
      <c r="F33" s="18" t="s">
        <v>893</v>
      </c>
      <c r="G33" t="s">
        <v>903</v>
      </c>
      <c r="H33" s="16"/>
    </row>
    <row r="34" spans="1:8" x14ac:dyDescent="0.25">
      <c r="A34" s="13" t="s">
        <v>210</v>
      </c>
      <c r="B34" s="13" t="s">
        <v>211</v>
      </c>
      <c r="C34" s="13"/>
      <c r="D34" s="13"/>
      <c r="E34" s="13"/>
      <c r="F34" s="13"/>
      <c r="G34" s="13"/>
      <c r="H34" s="13"/>
    </row>
    <row r="35" spans="1:8" ht="72" customHeight="1" x14ac:dyDescent="0.25">
      <c r="A35" s="14" t="s">
        <v>210</v>
      </c>
      <c r="B35" s="14" t="s">
        <v>211</v>
      </c>
      <c r="C35" s="15" t="s">
        <v>212</v>
      </c>
      <c r="D35" s="16" t="s">
        <v>213</v>
      </c>
      <c r="E35" s="17">
        <v>2</v>
      </c>
      <c r="F35" s="18" t="s">
        <v>893</v>
      </c>
      <c r="G35" t="s">
        <v>1052</v>
      </c>
      <c r="H35" s="16"/>
    </row>
    <row r="36" spans="1:8" ht="72" customHeight="1" x14ac:dyDescent="0.25">
      <c r="A36" s="19" t="s">
        <v>210</v>
      </c>
      <c r="B36" s="19" t="s">
        <v>211</v>
      </c>
      <c r="C36" s="20" t="s">
        <v>214</v>
      </c>
      <c r="D36" s="21" t="s">
        <v>215</v>
      </c>
      <c r="E36" s="17">
        <v>2</v>
      </c>
      <c r="F36" s="18" t="s">
        <v>45</v>
      </c>
      <c r="G36" s="26"/>
      <c r="H36" s="21"/>
    </row>
    <row r="37" spans="1:8" ht="72" customHeight="1" x14ac:dyDescent="0.25">
      <c r="A37" s="14" t="s">
        <v>210</v>
      </c>
      <c r="B37" s="14" t="s">
        <v>211</v>
      </c>
      <c r="C37" s="15" t="s">
        <v>216</v>
      </c>
      <c r="D37" s="16" t="s">
        <v>217</v>
      </c>
      <c r="E37" s="23">
        <v>3</v>
      </c>
      <c r="F37" s="18" t="s">
        <v>893</v>
      </c>
      <c r="G37" t="s">
        <v>968</v>
      </c>
      <c r="H37" s="16"/>
    </row>
    <row r="38" spans="1:8" ht="72" customHeight="1" x14ac:dyDescent="0.25">
      <c r="A38" s="19" t="s">
        <v>210</v>
      </c>
      <c r="B38" s="19" t="s">
        <v>211</v>
      </c>
      <c r="C38" s="20" t="s">
        <v>218</v>
      </c>
      <c r="D38" s="21" t="s">
        <v>219</v>
      </c>
      <c r="E38" s="23">
        <v>3</v>
      </c>
      <c r="F38" s="18" t="s">
        <v>893</v>
      </c>
      <c r="G38" s="26"/>
      <c r="H38" s="21"/>
    </row>
    <row r="39" spans="1:8" ht="72" customHeight="1" x14ac:dyDescent="0.25">
      <c r="A39" s="14" t="s">
        <v>210</v>
      </c>
      <c r="B39" s="14" t="s">
        <v>211</v>
      </c>
      <c r="C39" s="15" t="s">
        <v>220</v>
      </c>
      <c r="D39" s="16" t="s">
        <v>221</v>
      </c>
      <c r="E39" s="23">
        <v>3</v>
      </c>
      <c r="F39" s="18" t="s">
        <v>893</v>
      </c>
      <c r="G39" t="s">
        <v>902</v>
      </c>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tabSelected="1" zoomScale="75" zoomScaleNormal="75" workbookViewId="0">
      <pane ySplit="1" topLeftCell="A2" activePane="bottomLeft" state="frozen"/>
      <selection pane="bottomLeft" activeCell="G4" sqref="G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87.42578125" bestFit="1"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222</v>
      </c>
      <c r="B2" s="13" t="s">
        <v>223</v>
      </c>
      <c r="C2" s="13"/>
      <c r="D2" s="13"/>
      <c r="E2" s="13"/>
      <c r="F2" s="13"/>
      <c r="G2" s="13"/>
      <c r="H2" s="13"/>
    </row>
    <row r="3" spans="1:8" ht="75" x14ac:dyDescent="0.25">
      <c r="A3" s="14" t="s">
        <v>222</v>
      </c>
      <c r="B3" s="14" t="s">
        <v>223</v>
      </c>
      <c r="C3" s="15" t="s">
        <v>224</v>
      </c>
      <c r="D3" s="16" t="s">
        <v>225</v>
      </c>
      <c r="E3" s="22">
        <v>1</v>
      </c>
      <c r="F3" s="18" t="s">
        <v>892</v>
      </c>
      <c r="G3" s="16" t="s">
        <v>1069</v>
      </c>
      <c r="H3" s="16"/>
    </row>
    <row r="4" spans="1:8" ht="105" x14ac:dyDescent="0.25">
      <c r="A4" s="19" t="s">
        <v>222</v>
      </c>
      <c r="B4" s="19" t="s">
        <v>223</v>
      </c>
      <c r="C4" s="20" t="s">
        <v>226</v>
      </c>
      <c r="D4" s="21" t="s">
        <v>227</v>
      </c>
      <c r="E4" s="17">
        <v>2</v>
      </c>
      <c r="F4" s="18" t="s">
        <v>892</v>
      </c>
      <c r="G4" s="21" t="s">
        <v>1068</v>
      </c>
      <c r="H4" s="21"/>
    </row>
    <row r="5" spans="1:8" ht="75" x14ac:dyDescent="0.25">
      <c r="A5" s="14" t="s">
        <v>222</v>
      </c>
      <c r="B5" s="14" t="s">
        <v>223</v>
      </c>
      <c r="C5" s="15" t="s">
        <v>228</v>
      </c>
      <c r="D5" s="16" t="s">
        <v>229</v>
      </c>
      <c r="E5" s="17">
        <v>2</v>
      </c>
      <c r="F5" s="18" t="s">
        <v>892</v>
      </c>
      <c r="G5" s="16" t="s">
        <v>1070</v>
      </c>
      <c r="H5" s="16"/>
    </row>
    <row r="6" spans="1:8" ht="30" customHeight="1" x14ac:dyDescent="0.25">
      <c r="A6" s="19" t="s">
        <v>222</v>
      </c>
      <c r="B6" s="19" t="s">
        <v>223</v>
      </c>
      <c r="C6" s="20" t="s">
        <v>230</v>
      </c>
      <c r="D6" s="21" t="s">
        <v>231</v>
      </c>
      <c r="E6" s="23">
        <v>3</v>
      </c>
      <c r="F6" s="18" t="s">
        <v>893</v>
      </c>
      <c r="G6" s="21"/>
      <c r="H6" s="21"/>
    </row>
    <row r="7" spans="1:8" ht="30" customHeight="1" x14ac:dyDescent="0.25">
      <c r="A7" s="14" t="s">
        <v>222</v>
      </c>
      <c r="B7" s="14" t="s">
        <v>223</v>
      </c>
      <c r="C7" s="15" t="s">
        <v>232</v>
      </c>
      <c r="D7" s="16" t="s">
        <v>233</v>
      </c>
      <c r="E7" s="23">
        <v>3</v>
      </c>
      <c r="F7" s="18" t="s">
        <v>893</v>
      </c>
      <c r="G7" s="16"/>
      <c r="H7" s="16"/>
    </row>
    <row r="8" spans="1:8" ht="18" customHeight="1" x14ac:dyDescent="0.25">
      <c r="A8" s="13" t="s">
        <v>234</v>
      </c>
      <c r="B8" s="13" t="s">
        <v>235</v>
      </c>
      <c r="C8" s="13"/>
      <c r="D8" s="13"/>
      <c r="E8" s="13"/>
      <c r="F8" s="13"/>
      <c r="G8" s="13"/>
      <c r="H8" s="13"/>
    </row>
    <row r="9" spans="1:8" ht="30" customHeight="1" x14ac:dyDescent="0.25">
      <c r="A9" s="14" t="s">
        <v>234</v>
      </c>
      <c r="B9" s="14" t="s">
        <v>235</v>
      </c>
      <c r="C9" s="15" t="s">
        <v>236</v>
      </c>
      <c r="D9" s="16" t="s">
        <v>237</v>
      </c>
      <c r="E9" s="17">
        <v>2</v>
      </c>
      <c r="F9" s="18" t="s">
        <v>892</v>
      </c>
      <c r="G9" s="16" t="s">
        <v>910</v>
      </c>
      <c r="H9" s="16"/>
    </row>
    <row r="10" spans="1:8" ht="30" customHeight="1" x14ac:dyDescent="0.25">
      <c r="A10" s="19" t="s">
        <v>234</v>
      </c>
      <c r="B10" s="19" t="s">
        <v>235</v>
      </c>
      <c r="C10" s="20" t="s">
        <v>238</v>
      </c>
      <c r="D10" s="21" t="s">
        <v>239</v>
      </c>
      <c r="E10" s="23">
        <v>3</v>
      </c>
      <c r="F10" s="18" t="s">
        <v>893</v>
      </c>
      <c r="G10" s="21"/>
      <c r="H10" s="21"/>
    </row>
    <row r="11" spans="1:8" ht="30" customHeight="1" x14ac:dyDescent="0.25">
      <c r="A11" s="14" t="s">
        <v>234</v>
      </c>
      <c r="B11" s="14" t="s">
        <v>235</v>
      </c>
      <c r="C11" s="15" t="s">
        <v>240</v>
      </c>
      <c r="D11" s="16" t="s">
        <v>241</v>
      </c>
      <c r="E11" s="23">
        <v>3</v>
      </c>
      <c r="F11" s="18" t="s">
        <v>893</v>
      </c>
      <c r="G11" s="16"/>
      <c r="H11" s="16"/>
    </row>
    <row r="12" spans="1:8" ht="30" customHeight="1" x14ac:dyDescent="0.25">
      <c r="A12" s="19" t="s">
        <v>234</v>
      </c>
      <c r="B12" s="19" t="s">
        <v>235</v>
      </c>
      <c r="C12" s="20" t="s">
        <v>242</v>
      </c>
      <c r="D12" s="21" t="s">
        <v>243</v>
      </c>
      <c r="E12" s="23">
        <v>3</v>
      </c>
      <c r="F12" s="18" t="s">
        <v>893</v>
      </c>
      <c r="G12" s="21"/>
      <c r="H12" s="21"/>
    </row>
    <row r="13" spans="1:8" ht="30" customHeight="1" x14ac:dyDescent="0.25">
      <c r="A13" s="14" t="s">
        <v>234</v>
      </c>
      <c r="B13" s="14" t="s">
        <v>235</v>
      </c>
      <c r="C13" s="15" t="s">
        <v>244</v>
      </c>
      <c r="D13" s="16" t="s">
        <v>245</v>
      </c>
      <c r="E13" s="23">
        <v>3</v>
      </c>
      <c r="F13" s="18" t="s">
        <v>893</v>
      </c>
      <c r="G13" s="16"/>
      <c r="H13" s="16"/>
    </row>
    <row r="14" spans="1:8" ht="18" customHeight="1" x14ac:dyDescent="0.25">
      <c r="A14" s="13" t="s">
        <v>246</v>
      </c>
      <c r="B14" s="13" t="s">
        <v>247</v>
      </c>
      <c r="C14" s="13"/>
      <c r="D14" s="13"/>
      <c r="E14" s="13"/>
      <c r="F14" s="13"/>
      <c r="G14" s="13"/>
      <c r="H14" s="13"/>
    </row>
    <row r="15" spans="1:8" ht="60" x14ac:dyDescent="0.25">
      <c r="A15" s="14" t="s">
        <v>246</v>
      </c>
      <c r="B15" s="14" t="s">
        <v>247</v>
      </c>
      <c r="C15" s="15" t="s">
        <v>248</v>
      </c>
      <c r="D15" s="16" t="s">
        <v>249</v>
      </c>
      <c r="E15" s="17">
        <v>2</v>
      </c>
      <c r="F15" s="18" t="s">
        <v>893</v>
      </c>
      <c r="G15" s="16" t="s">
        <v>909</v>
      </c>
      <c r="H15" s="16"/>
    </row>
    <row r="16" spans="1:8" ht="30" customHeight="1" x14ac:dyDescent="0.25">
      <c r="A16" s="19" t="s">
        <v>246</v>
      </c>
      <c r="B16" s="19" t="s">
        <v>247</v>
      </c>
      <c r="C16" s="20" t="s">
        <v>250</v>
      </c>
      <c r="D16" s="21" t="s">
        <v>251</v>
      </c>
      <c r="E16" s="17">
        <v>2</v>
      </c>
      <c r="F16" s="18" t="s">
        <v>893</v>
      </c>
      <c r="G16" s="21" t="s">
        <v>908</v>
      </c>
      <c r="H16" s="21"/>
    </row>
    <row r="17" spans="1:8" ht="18" customHeight="1" x14ac:dyDescent="0.25">
      <c r="A17" s="13" t="s">
        <v>252</v>
      </c>
      <c r="B17" s="13" t="s">
        <v>253</v>
      </c>
      <c r="C17" s="13"/>
      <c r="D17" s="13"/>
      <c r="E17" s="13"/>
      <c r="F17" s="13"/>
      <c r="G17" s="13"/>
      <c r="H17" s="13"/>
    </row>
    <row r="18" spans="1:8" ht="30" customHeight="1" x14ac:dyDescent="0.25">
      <c r="A18" s="14" t="s">
        <v>252</v>
      </c>
      <c r="B18" s="14" t="s">
        <v>253</v>
      </c>
      <c r="C18" s="15" t="s">
        <v>254</v>
      </c>
      <c r="D18" s="16" t="s">
        <v>255</v>
      </c>
      <c r="E18" s="22">
        <v>1</v>
      </c>
      <c r="F18" s="18" t="s">
        <v>893</v>
      </c>
      <c r="G18" s="16" t="s">
        <v>907</v>
      </c>
      <c r="H18" s="16"/>
    </row>
    <row r="19" spans="1:8" ht="30" customHeight="1" x14ac:dyDescent="0.25">
      <c r="A19" s="19" t="s">
        <v>252</v>
      </c>
      <c r="B19" s="19" t="s">
        <v>253</v>
      </c>
      <c r="C19" s="20" t="s">
        <v>256</v>
      </c>
      <c r="D19" s="21" t="s">
        <v>257</v>
      </c>
      <c r="E19" s="17">
        <v>2</v>
      </c>
      <c r="F19" s="18" t="s">
        <v>893</v>
      </c>
      <c r="G19" t="s">
        <v>904</v>
      </c>
      <c r="H19" s="21"/>
    </row>
    <row r="20" spans="1:8" ht="30" customHeight="1" x14ac:dyDescent="0.25">
      <c r="A20" s="14" t="s">
        <v>252</v>
      </c>
      <c r="B20" s="14" t="s">
        <v>253</v>
      </c>
      <c r="C20" s="15" t="s">
        <v>258</v>
      </c>
      <c r="D20" s="16" t="s">
        <v>259</v>
      </c>
      <c r="E20" s="17">
        <v>2</v>
      </c>
      <c r="F20" s="18" t="s">
        <v>893</v>
      </c>
      <c r="G20" t="s">
        <v>905</v>
      </c>
      <c r="H20" s="16"/>
    </row>
    <row r="21" spans="1:8" ht="30" customHeight="1" x14ac:dyDescent="0.25">
      <c r="A21" s="19" t="s">
        <v>252</v>
      </c>
      <c r="B21" s="19" t="s">
        <v>253</v>
      </c>
      <c r="C21" s="20" t="s">
        <v>260</v>
      </c>
      <c r="D21" s="21" t="s">
        <v>261</v>
      </c>
      <c r="E21" s="17">
        <v>2</v>
      </c>
      <c r="F21" s="18" t="s">
        <v>893</v>
      </c>
      <c r="G21" t="s">
        <v>906</v>
      </c>
      <c r="H21" s="21"/>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topLeftCell="B1" zoomScale="70" zoomScaleNormal="70" workbookViewId="0">
      <pane ySplit="1" topLeftCell="A2" activePane="bottomLeft" state="frozen"/>
      <selection pane="bottomLeft" activeCell="D9" sqref="D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262</v>
      </c>
      <c r="B2" s="13" t="s">
        <v>263</v>
      </c>
      <c r="C2" s="13"/>
      <c r="D2" s="13"/>
      <c r="E2" s="13"/>
      <c r="F2" s="13"/>
      <c r="G2" s="13"/>
      <c r="H2" s="13"/>
    </row>
    <row r="3" spans="1:8" ht="150" x14ac:dyDescent="0.25">
      <c r="A3" s="14" t="s">
        <v>262</v>
      </c>
      <c r="B3" s="14" t="s">
        <v>263</v>
      </c>
      <c r="C3" s="15" t="s">
        <v>264</v>
      </c>
      <c r="D3" s="16" t="s">
        <v>265</v>
      </c>
      <c r="E3" s="17">
        <v>2</v>
      </c>
      <c r="F3" s="18" t="s">
        <v>892</v>
      </c>
      <c r="G3" s="16" t="s">
        <v>967</v>
      </c>
      <c r="H3" s="16"/>
    </row>
    <row r="4" spans="1:8" ht="18" customHeight="1" x14ac:dyDescent="0.25">
      <c r="A4" s="13" t="s">
        <v>266</v>
      </c>
      <c r="B4" s="13" t="s">
        <v>267</v>
      </c>
      <c r="C4" s="13"/>
      <c r="D4" s="13"/>
      <c r="E4" s="13"/>
      <c r="F4" s="13"/>
      <c r="G4" s="13"/>
      <c r="H4" s="13"/>
    </row>
    <row r="5" spans="1:8" ht="30" customHeight="1" x14ac:dyDescent="0.25">
      <c r="A5" s="14" t="s">
        <v>266</v>
      </c>
      <c r="B5" s="14" t="s">
        <v>267</v>
      </c>
      <c r="C5" s="15" t="s">
        <v>268</v>
      </c>
      <c r="D5" s="16" t="s">
        <v>269</v>
      </c>
      <c r="E5" s="22">
        <v>1</v>
      </c>
      <c r="F5" s="18" t="s">
        <v>892</v>
      </c>
      <c r="G5" s="16" t="s">
        <v>963</v>
      </c>
      <c r="H5" s="16"/>
    </row>
    <row r="6" spans="1:8" ht="150" x14ac:dyDescent="0.25">
      <c r="A6" s="19" t="s">
        <v>266</v>
      </c>
      <c r="B6" s="19" t="s">
        <v>267</v>
      </c>
      <c r="C6" s="20" t="s">
        <v>270</v>
      </c>
      <c r="D6" s="21" t="s">
        <v>271</v>
      </c>
      <c r="E6" s="22">
        <v>1</v>
      </c>
      <c r="F6" s="18" t="s">
        <v>892</v>
      </c>
      <c r="G6" s="21" t="s">
        <v>964</v>
      </c>
      <c r="H6" s="21"/>
    </row>
    <row r="7" spans="1:8" ht="45" x14ac:dyDescent="0.25">
      <c r="A7" s="14" t="s">
        <v>266</v>
      </c>
      <c r="B7" s="14" t="s">
        <v>267</v>
      </c>
      <c r="C7" s="15" t="s">
        <v>272</v>
      </c>
      <c r="D7" s="16" t="s">
        <v>273</v>
      </c>
      <c r="E7" s="17">
        <v>2</v>
      </c>
      <c r="F7" s="18" t="s">
        <v>893</v>
      </c>
      <c r="G7" s="16" t="s">
        <v>966</v>
      </c>
      <c r="H7" s="16"/>
    </row>
    <row r="8" spans="1:8" ht="30" customHeight="1" x14ac:dyDescent="0.25">
      <c r="A8" s="19" t="s">
        <v>266</v>
      </c>
      <c r="B8" s="19" t="s">
        <v>267</v>
      </c>
      <c r="C8" s="20" t="s">
        <v>274</v>
      </c>
      <c r="D8" s="21" t="s">
        <v>275</v>
      </c>
      <c r="E8" s="23">
        <v>3</v>
      </c>
      <c r="F8" s="18" t="s">
        <v>893</v>
      </c>
      <c r="G8" s="21"/>
      <c r="H8" s="21"/>
    </row>
    <row r="9" spans="1:8" ht="60" x14ac:dyDescent="0.25">
      <c r="A9" s="14" t="s">
        <v>266</v>
      </c>
      <c r="B9" s="14" t="s">
        <v>267</v>
      </c>
      <c r="C9" s="15" t="s">
        <v>276</v>
      </c>
      <c r="D9" s="16" t="s">
        <v>277</v>
      </c>
      <c r="E9" s="23">
        <v>3</v>
      </c>
      <c r="F9" s="18" t="s">
        <v>893</v>
      </c>
      <c r="G9" s="16" t="s">
        <v>965</v>
      </c>
      <c r="H9" s="16"/>
    </row>
    <row r="10" spans="1:8" ht="30" customHeight="1" x14ac:dyDescent="0.25">
      <c r="A10" s="19" t="s">
        <v>266</v>
      </c>
      <c r="B10" s="19" t="s">
        <v>267</v>
      </c>
      <c r="C10" s="20" t="s">
        <v>278</v>
      </c>
      <c r="D10" s="21" t="s">
        <v>279</v>
      </c>
      <c r="E10" s="23">
        <v>3</v>
      </c>
      <c r="F10" s="18" t="s">
        <v>893</v>
      </c>
      <c r="G10" s="21"/>
      <c r="H10" s="21"/>
    </row>
    <row r="11" spans="1:8" ht="18" customHeight="1" x14ac:dyDescent="0.25">
      <c r="A11" s="13" t="s">
        <v>280</v>
      </c>
      <c r="B11" s="13" t="s">
        <v>281</v>
      </c>
      <c r="C11" s="13"/>
      <c r="D11" s="13"/>
      <c r="E11" s="13"/>
      <c r="F11" s="13"/>
      <c r="G11" s="13"/>
      <c r="H11" s="13"/>
    </row>
    <row r="12" spans="1:8" ht="30" customHeight="1" x14ac:dyDescent="0.25">
      <c r="A12" s="14" t="s">
        <v>280</v>
      </c>
      <c r="B12" s="14" t="s">
        <v>281</v>
      </c>
      <c r="C12" s="15" t="s">
        <v>282</v>
      </c>
      <c r="D12" s="16" t="s">
        <v>283</v>
      </c>
      <c r="E12" s="22">
        <v>1</v>
      </c>
      <c r="F12" s="18" t="s">
        <v>45</v>
      </c>
      <c r="G12" s="16"/>
      <c r="H12" s="16"/>
    </row>
    <row r="13" spans="1:8" ht="30" customHeight="1" x14ac:dyDescent="0.25">
      <c r="A13" s="19" t="s">
        <v>280</v>
      </c>
      <c r="B13" s="19" t="s">
        <v>281</v>
      </c>
      <c r="C13" s="20" t="s">
        <v>284</v>
      </c>
      <c r="D13" s="21" t="s">
        <v>285</v>
      </c>
      <c r="E13" s="22">
        <v>1</v>
      </c>
      <c r="F13" s="18" t="s">
        <v>45</v>
      </c>
      <c r="G13" s="21"/>
      <c r="H13" s="21"/>
    </row>
    <row r="14" spans="1:8" ht="60" x14ac:dyDescent="0.25">
      <c r="A14" s="14" t="s">
        <v>280</v>
      </c>
      <c r="B14" s="14" t="s">
        <v>281</v>
      </c>
      <c r="C14" s="15" t="s">
        <v>286</v>
      </c>
      <c r="D14" s="16" t="s">
        <v>287</v>
      </c>
      <c r="E14" s="23">
        <v>3</v>
      </c>
      <c r="F14" s="18" t="s">
        <v>893</v>
      </c>
      <c r="G14" s="16" t="s">
        <v>962</v>
      </c>
      <c r="H14" s="16"/>
    </row>
    <row r="15" spans="1:8" ht="18" customHeight="1" x14ac:dyDescent="0.25">
      <c r="A15" s="13" t="s">
        <v>288</v>
      </c>
      <c r="B15" s="13" t="s">
        <v>289</v>
      </c>
      <c r="C15" s="13"/>
      <c r="D15" s="13"/>
      <c r="E15" s="13"/>
      <c r="F15" s="13"/>
      <c r="G15" s="13"/>
      <c r="H15" s="13"/>
    </row>
    <row r="16" spans="1:8" ht="30" customHeight="1" x14ac:dyDescent="0.25">
      <c r="A16" s="14" t="s">
        <v>288</v>
      </c>
      <c r="B16" s="14" t="s">
        <v>289</v>
      </c>
      <c r="C16" s="15" t="s">
        <v>290</v>
      </c>
      <c r="D16" s="16" t="s">
        <v>291</v>
      </c>
      <c r="E16" s="17">
        <v>2</v>
      </c>
      <c r="F16" s="18" t="s">
        <v>45</v>
      </c>
      <c r="G16" s="16"/>
      <c r="H16" s="16"/>
    </row>
    <row r="17" spans="1:8" ht="30" customHeight="1" x14ac:dyDescent="0.25">
      <c r="A17" s="19" t="s">
        <v>288</v>
      </c>
      <c r="B17" s="19" t="s">
        <v>289</v>
      </c>
      <c r="C17" s="20" t="s">
        <v>292</v>
      </c>
      <c r="D17" s="21" t="s">
        <v>293</v>
      </c>
      <c r="E17" s="17">
        <v>2</v>
      </c>
      <c r="F17" s="18" t="s">
        <v>45</v>
      </c>
      <c r="G17" s="21"/>
      <c r="H17" s="21"/>
    </row>
    <row r="18" spans="1:8" ht="30" customHeight="1" x14ac:dyDescent="0.25">
      <c r="A18" s="14" t="s">
        <v>288</v>
      </c>
      <c r="B18" s="14" t="s">
        <v>289</v>
      </c>
      <c r="C18" s="15" t="s">
        <v>294</v>
      </c>
      <c r="D18" s="16" t="s">
        <v>295</v>
      </c>
      <c r="E18" s="17">
        <v>2</v>
      </c>
      <c r="F18" s="18" t="s">
        <v>45</v>
      </c>
      <c r="G18" s="16"/>
      <c r="H18" s="16"/>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70" zoomScaleNormal="70" workbookViewId="0">
      <pane ySplit="1" topLeftCell="A2" activePane="bottomLeft" state="frozen"/>
      <selection pane="bottomLeft" activeCell="O56" sqref="O5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33</v>
      </c>
      <c r="B1" s="12" t="s">
        <v>34</v>
      </c>
      <c r="C1" s="12" t="s">
        <v>35</v>
      </c>
      <c r="D1" s="12" t="s">
        <v>36</v>
      </c>
      <c r="E1" s="12" t="s">
        <v>37</v>
      </c>
      <c r="F1" s="12" t="s">
        <v>38</v>
      </c>
      <c r="G1" s="12" t="s">
        <v>39</v>
      </c>
      <c r="H1" s="12" t="s">
        <v>40</v>
      </c>
    </row>
    <row r="2" spans="1:8" ht="18" customHeight="1" x14ac:dyDescent="0.25">
      <c r="A2" s="13" t="s">
        <v>296</v>
      </c>
      <c r="B2" s="13" t="s">
        <v>297</v>
      </c>
      <c r="C2" s="13"/>
      <c r="D2" s="13"/>
      <c r="E2" s="13"/>
      <c r="F2" s="13"/>
      <c r="G2" s="13"/>
      <c r="H2" s="13"/>
    </row>
    <row r="3" spans="1:8" ht="90" x14ac:dyDescent="0.25">
      <c r="A3" s="14" t="s">
        <v>296</v>
      </c>
      <c r="B3" s="14" t="s">
        <v>297</v>
      </c>
      <c r="C3" s="15" t="s">
        <v>298</v>
      </c>
      <c r="D3" s="16" t="s">
        <v>299</v>
      </c>
      <c r="E3" s="22">
        <v>1</v>
      </c>
      <c r="F3" s="18" t="s">
        <v>892</v>
      </c>
      <c r="G3" s="16" t="s">
        <v>1088</v>
      </c>
      <c r="H3" s="16"/>
    </row>
    <row r="4" spans="1:8" ht="75" x14ac:dyDescent="0.25">
      <c r="A4" s="19" t="s">
        <v>296</v>
      </c>
      <c r="B4" s="19" t="s">
        <v>297</v>
      </c>
      <c r="C4" s="20" t="s">
        <v>300</v>
      </c>
      <c r="D4" s="21" t="s">
        <v>301</v>
      </c>
      <c r="E4" s="17">
        <v>2</v>
      </c>
      <c r="F4" s="18" t="s">
        <v>892</v>
      </c>
      <c r="G4" s="21" t="s">
        <v>1087</v>
      </c>
      <c r="H4" s="21"/>
    </row>
    <row r="5" spans="1:8" ht="120" x14ac:dyDescent="0.25">
      <c r="A5" s="14" t="s">
        <v>296</v>
      </c>
      <c r="B5" s="14" t="s">
        <v>297</v>
      </c>
      <c r="C5" s="15" t="s">
        <v>302</v>
      </c>
      <c r="D5" s="16" t="s">
        <v>303</v>
      </c>
      <c r="E5" s="17">
        <v>2</v>
      </c>
      <c r="F5" s="18" t="s">
        <v>892</v>
      </c>
      <c r="G5" s="16" t="s">
        <v>1084</v>
      </c>
      <c r="H5" s="16"/>
    </row>
    <row r="6" spans="1:8" ht="18" customHeight="1" x14ac:dyDescent="0.25">
      <c r="A6" s="13" t="s">
        <v>304</v>
      </c>
      <c r="B6" s="13" t="s">
        <v>305</v>
      </c>
      <c r="C6" s="13"/>
      <c r="D6" s="13"/>
      <c r="E6" s="13"/>
      <c r="F6" s="13"/>
      <c r="G6" s="13"/>
      <c r="H6" s="13"/>
    </row>
    <row r="7" spans="1:8" ht="60" x14ac:dyDescent="0.25">
      <c r="A7" s="14" t="s">
        <v>304</v>
      </c>
      <c r="B7" s="14" t="s">
        <v>305</v>
      </c>
      <c r="C7" s="15" t="s">
        <v>306</v>
      </c>
      <c r="D7" s="16" t="s">
        <v>307</v>
      </c>
      <c r="E7" s="22">
        <v>1</v>
      </c>
      <c r="F7" s="18" t="s">
        <v>892</v>
      </c>
      <c r="G7" s="16" t="s">
        <v>1085</v>
      </c>
      <c r="H7" s="16"/>
    </row>
    <row r="8" spans="1:8" ht="60" x14ac:dyDescent="0.25">
      <c r="A8" s="19" t="s">
        <v>304</v>
      </c>
      <c r="B8" s="19" t="s">
        <v>305</v>
      </c>
      <c r="C8" s="20" t="s">
        <v>308</v>
      </c>
      <c r="D8" s="21" t="s">
        <v>309</v>
      </c>
      <c r="E8" s="22">
        <v>1</v>
      </c>
      <c r="F8" s="18" t="s">
        <v>892</v>
      </c>
      <c r="G8" s="21" t="s">
        <v>1086</v>
      </c>
      <c r="H8" s="21"/>
    </row>
    <row r="9" spans="1:8" ht="60" x14ac:dyDescent="0.25">
      <c r="A9" s="14" t="s">
        <v>304</v>
      </c>
      <c r="B9" s="14" t="s">
        <v>305</v>
      </c>
      <c r="C9" s="15" t="s">
        <v>310</v>
      </c>
      <c r="D9" s="16" t="s">
        <v>311</v>
      </c>
      <c r="E9" s="22">
        <v>1</v>
      </c>
      <c r="F9" s="18" t="s">
        <v>892</v>
      </c>
      <c r="G9" s="16" t="s">
        <v>1089</v>
      </c>
      <c r="H9" s="16"/>
    </row>
    <row r="10" spans="1:8" ht="105" x14ac:dyDescent="0.25">
      <c r="A10" s="19" t="s">
        <v>304</v>
      </c>
      <c r="B10" s="19" t="s">
        <v>305</v>
      </c>
      <c r="C10" s="20" t="s">
        <v>312</v>
      </c>
      <c r="D10" s="21" t="s">
        <v>313</v>
      </c>
      <c r="E10" s="22">
        <v>1</v>
      </c>
      <c r="F10" s="18" t="s">
        <v>892</v>
      </c>
      <c r="G10" s="21" t="s">
        <v>1090</v>
      </c>
      <c r="H10" s="21"/>
    </row>
    <row r="11" spans="1:8" ht="90" x14ac:dyDescent="0.25">
      <c r="A11" s="14" t="s">
        <v>304</v>
      </c>
      <c r="B11" s="14" t="s">
        <v>305</v>
      </c>
      <c r="C11" s="15" t="s">
        <v>314</v>
      </c>
      <c r="D11" s="16" t="s">
        <v>315</v>
      </c>
      <c r="E11" s="22">
        <v>1</v>
      </c>
      <c r="F11" s="18" t="s">
        <v>892</v>
      </c>
      <c r="G11" s="16" t="s">
        <v>1091</v>
      </c>
      <c r="H11" s="16"/>
    </row>
    <row r="12" spans="1:8" ht="60" x14ac:dyDescent="0.25">
      <c r="A12" s="19" t="s">
        <v>304</v>
      </c>
      <c r="B12" s="19" t="s">
        <v>305</v>
      </c>
      <c r="C12" s="20" t="s">
        <v>316</v>
      </c>
      <c r="D12" s="21" t="s">
        <v>317</v>
      </c>
      <c r="E12" s="22">
        <v>1</v>
      </c>
      <c r="F12" s="18" t="s">
        <v>893</v>
      </c>
      <c r="G12" s="21" t="s">
        <v>1092</v>
      </c>
      <c r="H12" s="21"/>
    </row>
    <row r="13" spans="1:8" ht="60" x14ac:dyDescent="0.25">
      <c r="A13" s="14" t="s">
        <v>304</v>
      </c>
      <c r="B13" s="14" t="s">
        <v>305</v>
      </c>
      <c r="C13" s="15" t="s">
        <v>318</v>
      </c>
      <c r="D13" s="16" t="s">
        <v>319</v>
      </c>
      <c r="E13" s="22">
        <v>1</v>
      </c>
      <c r="F13" s="18" t="s">
        <v>893</v>
      </c>
      <c r="G13" s="16" t="s">
        <v>1093</v>
      </c>
      <c r="H13" s="16"/>
    </row>
    <row r="14" spans="1:8" ht="75" x14ac:dyDescent="0.25">
      <c r="A14" s="19" t="s">
        <v>304</v>
      </c>
      <c r="B14" s="19" t="s">
        <v>305</v>
      </c>
      <c r="C14" s="20" t="s">
        <v>320</v>
      </c>
      <c r="D14" s="21" t="s">
        <v>321</v>
      </c>
      <c r="E14" s="22">
        <v>1</v>
      </c>
      <c r="F14" s="18" t="s">
        <v>892</v>
      </c>
      <c r="G14" s="21" t="s">
        <v>1094</v>
      </c>
      <c r="H14" s="21"/>
    </row>
    <row r="15" spans="1:8" ht="60" x14ac:dyDescent="0.25">
      <c r="A15" s="14" t="s">
        <v>304</v>
      </c>
      <c r="B15" s="14" t="s">
        <v>305</v>
      </c>
      <c r="C15" s="15" t="s">
        <v>322</v>
      </c>
      <c r="D15" s="16" t="s">
        <v>323</v>
      </c>
      <c r="E15" s="17">
        <v>2</v>
      </c>
      <c r="F15" s="18" t="s">
        <v>892</v>
      </c>
      <c r="G15" s="16" t="s">
        <v>1095</v>
      </c>
      <c r="H15" s="16"/>
    </row>
    <row r="16" spans="1:8" ht="60" x14ac:dyDescent="0.25">
      <c r="A16" s="19" t="s">
        <v>304</v>
      </c>
      <c r="B16" s="19" t="s">
        <v>305</v>
      </c>
      <c r="C16" s="20" t="s">
        <v>324</v>
      </c>
      <c r="D16" s="21" t="s">
        <v>325</v>
      </c>
      <c r="E16" s="17">
        <v>2</v>
      </c>
      <c r="F16" s="18" t="s">
        <v>892</v>
      </c>
      <c r="G16" s="21" t="s">
        <v>1096</v>
      </c>
      <c r="H16" s="21"/>
    </row>
    <row r="17" spans="1:8" ht="90" x14ac:dyDescent="0.25">
      <c r="A17" s="14" t="s">
        <v>304</v>
      </c>
      <c r="B17" s="14" t="s">
        <v>305</v>
      </c>
      <c r="C17" s="15" t="s">
        <v>326</v>
      </c>
      <c r="D17" s="16" t="s">
        <v>327</v>
      </c>
      <c r="E17" s="17">
        <v>2</v>
      </c>
      <c r="F17" s="18" t="s">
        <v>892</v>
      </c>
      <c r="G17" s="16" t="s">
        <v>1098</v>
      </c>
      <c r="H17" s="16"/>
    </row>
    <row r="18" spans="1:8" ht="105" x14ac:dyDescent="0.25">
      <c r="A18" s="19" t="s">
        <v>304</v>
      </c>
      <c r="B18" s="19" t="s">
        <v>305</v>
      </c>
      <c r="C18" s="20" t="s">
        <v>328</v>
      </c>
      <c r="D18" s="21" t="s">
        <v>329</v>
      </c>
      <c r="E18" s="17">
        <v>2</v>
      </c>
      <c r="F18" s="18" t="s">
        <v>892</v>
      </c>
      <c r="G18" s="21" t="s">
        <v>1097</v>
      </c>
      <c r="H18" s="21"/>
    </row>
    <row r="19" spans="1:8" ht="18" customHeight="1" x14ac:dyDescent="0.25">
      <c r="A19" s="13" t="s">
        <v>330</v>
      </c>
      <c r="B19" s="13" t="s">
        <v>331</v>
      </c>
      <c r="C19" s="13"/>
      <c r="D19" s="13"/>
      <c r="E19" s="13"/>
      <c r="F19" s="13"/>
      <c r="G19" s="13"/>
      <c r="H19" s="13"/>
    </row>
    <row r="20" spans="1:8" ht="75" x14ac:dyDescent="0.25">
      <c r="A20" s="14" t="s">
        <v>330</v>
      </c>
      <c r="B20" s="14" t="s">
        <v>331</v>
      </c>
      <c r="C20" s="15" t="s">
        <v>332</v>
      </c>
      <c r="D20" s="16" t="s">
        <v>333</v>
      </c>
      <c r="E20" s="22">
        <v>1</v>
      </c>
      <c r="F20" s="18" t="s">
        <v>892</v>
      </c>
      <c r="G20" s="16" t="s">
        <v>1099</v>
      </c>
      <c r="H20" s="16"/>
    </row>
    <row r="21" spans="1:8" ht="105" x14ac:dyDescent="0.25">
      <c r="A21" s="19" t="s">
        <v>330</v>
      </c>
      <c r="B21" s="19" t="s">
        <v>331</v>
      </c>
      <c r="C21" s="20" t="s">
        <v>334</v>
      </c>
      <c r="D21" s="21" t="s">
        <v>335</v>
      </c>
      <c r="E21" s="22">
        <v>1</v>
      </c>
      <c r="F21" s="18" t="s">
        <v>892</v>
      </c>
      <c r="G21" s="21" t="s">
        <v>1100</v>
      </c>
      <c r="H21" s="21"/>
    </row>
    <row r="22" spans="1:8" ht="165" x14ac:dyDescent="0.25">
      <c r="A22" s="14" t="s">
        <v>330</v>
      </c>
      <c r="B22" s="14" t="s">
        <v>331</v>
      </c>
      <c r="C22" s="15" t="s">
        <v>336</v>
      </c>
      <c r="D22" s="16" t="s">
        <v>337</v>
      </c>
      <c r="E22" s="17">
        <v>2</v>
      </c>
      <c r="F22" s="18" t="s">
        <v>892</v>
      </c>
      <c r="G22" s="16" t="s">
        <v>1101</v>
      </c>
      <c r="H22" s="16"/>
    </row>
    <row r="23" spans="1:8" ht="75" x14ac:dyDescent="0.25">
      <c r="A23" s="19" t="s">
        <v>330</v>
      </c>
      <c r="B23" s="19" t="s">
        <v>331</v>
      </c>
      <c r="C23" s="20" t="s">
        <v>338</v>
      </c>
      <c r="D23" s="21" t="s">
        <v>339</v>
      </c>
      <c r="E23" s="17">
        <v>2</v>
      </c>
      <c r="F23" s="18" t="s">
        <v>892</v>
      </c>
      <c r="G23" s="21" t="s">
        <v>1102</v>
      </c>
      <c r="H23" s="21"/>
    </row>
    <row r="24" spans="1:8" ht="30" customHeight="1" x14ac:dyDescent="0.25">
      <c r="A24" s="14" t="s">
        <v>330</v>
      </c>
      <c r="B24" s="14" t="s">
        <v>331</v>
      </c>
      <c r="C24" s="15" t="s">
        <v>340</v>
      </c>
      <c r="D24" s="16" t="s">
        <v>341</v>
      </c>
      <c r="E24" s="23">
        <v>3</v>
      </c>
      <c r="F24" s="18" t="s">
        <v>893</v>
      </c>
      <c r="G24" s="16"/>
      <c r="H24" s="16"/>
    </row>
    <row r="25" spans="1:8" ht="30" customHeight="1" x14ac:dyDescent="0.25">
      <c r="A25" s="19" t="s">
        <v>330</v>
      </c>
      <c r="B25" s="19" t="s">
        <v>331</v>
      </c>
      <c r="C25" s="20" t="s">
        <v>342</v>
      </c>
      <c r="D25" s="21" t="s">
        <v>343</v>
      </c>
      <c r="E25" s="23">
        <v>3</v>
      </c>
      <c r="F25" s="18" t="s">
        <v>893</v>
      </c>
      <c r="G25" s="21"/>
      <c r="H25" s="21"/>
    </row>
    <row r="26" spans="1:8" ht="30" customHeight="1" x14ac:dyDescent="0.25">
      <c r="A26" s="14" t="s">
        <v>330</v>
      </c>
      <c r="B26" s="14" t="s">
        <v>331</v>
      </c>
      <c r="C26" s="15" t="s">
        <v>344</v>
      </c>
      <c r="D26" s="16" t="s">
        <v>345</v>
      </c>
      <c r="E26" s="23">
        <v>3</v>
      </c>
      <c r="F26" s="18" t="s">
        <v>893</v>
      </c>
      <c r="G26" s="16"/>
      <c r="H26" s="16"/>
    </row>
    <row r="27" spans="1:8" ht="30" customHeight="1" x14ac:dyDescent="0.25">
      <c r="A27" s="19" t="s">
        <v>330</v>
      </c>
      <c r="B27" s="19" t="s">
        <v>331</v>
      </c>
      <c r="C27" s="20" t="s">
        <v>346</v>
      </c>
      <c r="D27" s="21" t="s">
        <v>347</v>
      </c>
      <c r="E27" s="23">
        <v>3</v>
      </c>
      <c r="F27" s="18" t="s">
        <v>893</v>
      </c>
      <c r="G27" s="21"/>
      <c r="H27" s="21"/>
    </row>
    <row r="28" spans="1:8" ht="18" customHeight="1" x14ac:dyDescent="0.25">
      <c r="A28" s="13" t="s">
        <v>348</v>
      </c>
      <c r="B28" s="13" t="s">
        <v>349</v>
      </c>
      <c r="C28" s="13"/>
      <c r="D28" s="13"/>
      <c r="E28" s="13"/>
      <c r="F28" s="13"/>
      <c r="G28" s="13"/>
      <c r="H28" s="13"/>
    </row>
    <row r="29" spans="1:8" ht="90" x14ac:dyDescent="0.25">
      <c r="A29" s="14" t="s">
        <v>348</v>
      </c>
      <c r="B29" s="14" t="s">
        <v>349</v>
      </c>
      <c r="C29" s="15" t="s">
        <v>350</v>
      </c>
      <c r="D29" s="16" t="s">
        <v>351</v>
      </c>
      <c r="E29" s="22">
        <v>1</v>
      </c>
      <c r="F29" s="18" t="s">
        <v>892</v>
      </c>
      <c r="G29" s="16" t="s">
        <v>1103</v>
      </c>
      <c r="H29" s="16"/>
    </row>
    <row r="30" spans="1:8" ht="90" x14ac:dyDescent="0.25">
      <c r="A30" s="19" t="s">
        <v>348</v>
      </c>
      <c r="B30" s="19" t="s">
        <v>349</v>
      </c>
      <c r="C30" s="20" t="s">
        <v>352</v>
      </c>
      <c r="D30" s="21" t="s">
        <v>353</v>
      </c>
      <c r="E30" s="22">
        <v>1</v>
      </c>
      <c r="F30" s="18" t="s">
        <v>892</v>
      </c>
      <c r="G30" s="21" t="s">
        <v>1104</v>
      </c>
      <c r="H30" s="21"/>
    </row>
    <row r="31" spans="1:8" ht="90" x14ac:dyDescent="0.25">
      <c r="A31" s="14" t="s">
        <v>348</v>
      </c>
      <c r="B31" s="14" t="s">
        <v>349</v>
      </c>
      <c r="C31" s="15" t="s">
        <v>354</v>
      </c>
      <c r="D31" s="16" t="s">
        <v>355</v>
      </c>
      <c r="E31" s="17">
        <v>2</v>
      </c>
      <c r="F31" s="18" t="s">
        <v>892</v>
      </c>
      <c r="G31" s="16" t="s">
        <v>1105</v>
      </c>
      <c r="H31" s="16"/>
    </row>
    <row r="32" spans="1:8" ht="60" x14ac:dyDescent="0.25">
      <c r="A32" s="19" t="s">
        <v>348</v>
      </c>
      <c r="B32" s="19" t="s">
        <v>349</v>
      </c>
      <c r="C32" s="20" t="s">
        <v>356</v>
      </c>
      <c r="D32" s="21" t="s">
        <v>357</v>
      </c>
      <c r="E32" s="17">
        <v>2</v>
      </c>
      <c r="F32" s="18" t="s">
        <v>892</v>
      </c>
      <c r="G32" s="21" t="s">
        <v>1106</v>
      </c>
      <c r="H32" s="21"/>
    </row>
    <row r="33" spans="1:8" ht="30" customHeight="1" x14ac:dyDescent="0.25">
      <c r="A33" s="14" t="s">
        <v>348</v>
      </c>
      <c r="B33" s="14" t="s">
        <v>349</v>
      </c>
      <c r="C33" s="15" t="s">
        <v>358</v>
      </c>
      <c r="D33" s="16" t="s">
        <v>359</v>
      </c>
      <c r="E33" s="23">
        <v>3</v>
      </c>
      <c r="F33" s="18" t="s">
        <v>893</v>
      </c>
      <c r="G33" s="16"/>
      <c r="H33" s="16"/>
    </row>
    <row r="34" spans="1:8" ht="30" customHeight="1" x14ac:dyDescent="0.25">
      <c r="A34" s="19" t="s">
        <v>348</v>
      </c>
      <c r="B34" s="19" t="s">
        <v>349</v>
      </c>
      <c r="C34" s="20" t="s">
        <v>360</v>
      </c>
      <c r="D34" s="21" t="s">
        <v>361</v>
      </c>
      <c r="E34" s="23">
        <v>3</v>
      </c>
      <c r="F34" s="18" t="s">
        <v>893</v>
      </c>
      <c r="G34" s="21"/>
      <c r="H34" s="21"/>
    </row>
    <row r="35" spans="1:8" ht="18" customHeight="1" x14ac:dyDescent="0.25">
      <c r="A35" s="13" t="s">
        <v>362</v>
      </c>
      <c r="B35" s="13" t="s">
        <v>363</v>
      </c>
      <c r="C35" s="13"/>
      <c r="D35" s="13"/>
      <c r="E35" s="13"/>
      <c r="F35" s="13"/>
      <c r="G35" s="13"/>
      <c r="H35" s="13"/>
    </row>
    <row r="36" spans="1:8" ht="75" x14ac:dyDescent="0.25">
      <c r="A36" s="14" t="s">
        <v>362</v>
      </c>
      <c r="B36" s="14" t="s">
        <v>363</v>
      </c>
      <c r="C36" s="15" t="s">
        <v>364</v>
      </c>
      <c r="D36" s="16" t="s">
        <v>365</v>
      </c>
      <c r="E36" s="17">
        <v>2</v>
      </c>
      <c r="F36" s="18" t="s">
        <v>892</v>
      </c>
      <c r="G36" s="16" t="s">
        <v>1110</v>
      </c>
      <c r="H36" s="16"/>
    </row>
    <row r="37" spans="1:8" ht="90" x14ac:dyDescent="0.25">
      <c r="A37" s="19" t="s">
        <v>362</v>
      </c>
      <c r="B37" s="19" t="s">
        <v>363</v>
      </c>
      <c r="C37" s="20" t="s">
        <v>366</v>
      </c>
      <c r="D37" s="21" t="s">
        <v>367</v>
      </c>
      <c r="E37" s="17">
        <v>2</v>
      </c>
      <c r="F37" s="18" t="s">
        <v>892</v>
      </c>
      <c r="G37" s="21" t="s">
        <v>1107</v>
      </c>
      <c r="H37" s="21"/>
    </row>
    <row r="38" spans="1:8" ht="105" x14ac:dyDescent="0.25">
      <c r="A38" s="14" t="s">
        <v>362</v>
      </c>
      <c r="B38" s="14" t="s">
        <v>363</v>
      </c>
      <c r="C38" s="15" t="s">
        <v>368</v>
      </c>
      <c r="D38" s="16" t="s">
        <v>369</v>
      </c>
      <c r="E38" s="17">
        <v>2</v>
      </c>
      <c r="F38" s="18" t="s">
        <v>892</v>
      </c>
      <c r="G38" s="16" t="s">
        <v>1108</v>
      </c>
      <c r="H38" s="16"/>
    </row>
    <row r="39" spans="1:8" ht="105" x14ac:dyDescent="0.25">
      <c r="A39" s="19" t="s">
        <v>362</v>
      </c>
      <c r="B39" s="19" t="s">
        <v>363</v>
      </c>
      <c r="C39" s="20" t="s">
        <v>370</v>
      </c>
      <c r="D39" s="21" t="s">
        <v>371</v>
      </c>
      <c r="E39" s="17">
        <v>2</v>
      </c>
      <c r="F39" s="18" t="s">
        <v>892</v>
      </c>
      <c r="G39" s="21" t="s">
        <v>1113</v>
      </c>
      <c r="H39" s="21"/>
    </row>
    <row r="40" spans="1:8" ht="75" x14ac:dyDescent="0.25">
      <c r="A40" s="14" t="s">
        <v>362</v>
      </c>
      <c r="B40" s="14" t="s">
        <v>363</v>
      </c>
      <c r="C40" s="15" t="s">
        <v>372</v>
      </c>
      <c r="D40" s="16" t="s">
        <v>373</v>
      </c>
      <c r="E40" s="17">
        <v>2</v>
      </c>
      <c r="F40" s="18" t="s">
        <v>892</v>
      </c>
      <c r="G40" s="16" t="s">
        <v>1109</v>
      </c>
      <c r="H40" s="16"/>
    </row>
    <row r="41" spans="1:8" ht="30" customHeight="1" x14ac:dyDescent="0.25">
      <c r="A41" s="19" t="s">
        <v>362</v>
      </c>
      <c r="B41" s="19" t="s">
        <v>363</v>
      </c>
      <c r="C41" s="20" t="s">
        <v>374</v>
      </c>
      <c r="D41" s="21" t="s">
        <v>375</v>
      </c>
      <c r="E41" s="23">
        <v>3</v>
      </c>
      <c r="F41" s="18" t="s">
        <v>893</v>
      </c>
      <c r="G41" s="21"/>
      <c r="H41" s="21"/>
    </row>
    <row r="42" spans="1:8" ht="30" customHeight="1" x14ac:dyDescent="0.25">
      <c r="A42" s="14" t="s">
        <v>362</v>
      </c>
      <c r="B42" s="14" t="s">
        <v>363</v>
      </c>
      <c r="C42" s="15" t="s">
        <v>376</v>
      </c>
      <c r="D42" s="16" t="s">
        <v>377</v>
      </c>
      <c r="E42" s="23">
        <v>3</v>
      </c>
      <c r="F42" s="18" t="s">
        <v>893</v>
      </c>
      <c r="G42" s="16"/>
      <c r="H42" s="16"/>
    </row>
    <row r="43" spans="1:8" ht="30" customHeight="1" x14ac:dyDescent="0.25">
      <c r="A43" s="19" t="s">
        <v>362</v>
      </c>
      <c r="B43" s="19" t="s">
        <v>363</v>
      </c>
      <c r="C43" s="20" t="s">
        <v>378</v>
      </c>
      <c r="D43" s="21" t="s">
        <v>379</v>
      </c>
      <c r="E43" s="23">
        <v>3</v>
      </c>
      <c r="F43" s="18" t="s">
        <v>893</v>
      </c>
      <c r="G43" s="21"/>
      <c r="H43" s="21"/>
    </row>
    <row r="44" spans="1:8" ht="18" customHeight="1" x14ac:dyDescent="0.25">
      <c r="A44" s="13" t="s">
        <v>380</v>
      </c>
      <c r="B44" s="13" t="s">
        <v>381</v>
      </c>
      <c r="C44" s="13"/>
      <c r="D44" s="13"/>
      <c r="E44" s="13"/>
      <c r="F44" s="13"/>
      <c r="G44" s="13"/>
      <c r="H44" s="13"/>
    </row>
    <row r="45" spans="1:8" ht="30" customHeight="1" x14ac:dyDescent="0.25">
      <c r="A45" s="14" t="s">
        <v>380</v>
      </c>
      <c r="B45" s="14" t="s">
        <v>381</v>
      </c>
      <c r="C45" s="15" t="s">
        <v>382</v>
      </c>
      <c r="D45" s="16" t="s">
        <v>383</v>
      </c>
      <c r="E45" s="17">
        <v>2</v>
      </c>
      <c r="F45" s="18" t="s">
        <v>893</v>
      </c>
      <c r="G45" s="16" t="s">
        <v>1111</v>
      </c>
      <c r="H45" s="16"/>
    </row>
    <row r="46" spans="1:8" ht="30" customHeight="1" x14ac:dyDescent="0.25">
      <c r="A46" s="19" t="s">
        <v>380</v>
      </c>
      <c r="B46" s="19" t="s">
        <v>381</v>
      </c>
      <c r="C46" s="20" t="s">
        <v>384</v>
      </c>
      <c r="D46" s="21" t="s">
        <v>385</v>
      </c>
      <c r="E46" s="17">
        <v>2</v>
      </c>
      <c r="F46" s="18" t="s">
        <v>892</v>
      </c>
      <c r="G46" s="21" t="s">
        <v>1112</v>
      </c>
      <c r="H46" s="21"/>
    </row>
    <row r="47" spans="1:8" ht="72" customHeight="1" x14ac:dyDescent="0.25">
      <c r="A47" s="14" t="s">
        <v>380</v>
      </c>
      <c r="B47" s="14" t="s">
        <v>381</v>
      </c>
      <c r="C47" s="15" t="s">
        <v>386</v>
      </c>
      <c r="D47" s="16" t="s">
        <v>387</v>
      </c>
      <c r="E47" s="17">
        <v>2</v>
      </c>
      <c r="F47" s="18" t="s">
        <v>892</v>
      </c>
      <c r="G47" s="16" t="s">
        <v>1114</v>
      </c>
      <c r="H47" s="16"/>
    </row>
    <row r="48" spans="1:8" ht="30" customHeight="1" x14ac:dyDescent="0.25">
      <c r="A48" s="19" t="s">
        <v>380</v>
      </c>
      <c r="B48" s="19" t="s">
        <v>381</v>
      </c>
      <c r="C48" s="20" t="s">
        <v>388</v>
      </c>
      <c r="D48" s="21" t="s">
        <v>389</v>
      </c>
      <c r="E48" s="23">
        <v>3</v>
      </c>
      <c r="F48" s="18" t="s">
        <v>893</v>
      </c>
      <c r="G48" s="21"/>
      <c r="H48" s="21"/>
    </row>
    <row r="49" spans="1:8" ht="18" customHeight="1" x14ac:dyDescent="0.25">
      <c r="A49" s="13" t="s">
        <v>390</v>
      </c>
      <c r="B49" s="13" t="s">
        <v>391</v>
      </c>
      <c r="C49" s="13"/>
      <c r="D49" s="13"/>
      <c r="E49" s="13"/>
      <c r="F49" s="13"/>
      <c r="G49" s="13"/>
      <c r="H49" s="13"/>
    </row>
    <row r="50" spans="1:8" ht="30" customHeight="1" x14ac:dyDescent="0.25">
      <c r="A50" s="14" t="s">
        <v>390</v>
      </c>
      <c r="B50" s="14" t="s">
        <v>391</v>
      </c>
      <c r="C50" s="15" t="s">
        <v>392</v>
      </c>
      <c r="D50" s="16" t="s">
        <v>393</v>
      </c>
      <c r="E50" s="23">
        <v>3</v>
      </c>
      <c r="F50" s="18" t="s">
        <v>893</v>
      </c>
      <c r="G50" s="16"/>
      <c r="H50" s="16"/>
    </row>
    <row r="51" spans="1:8" ht="30" customHeight="1" x14ac:dyDescent="0.25">
      <c r="A51" s="19" t="s">
        <v>390</v>
      </c>
      <c r="B51" s="19" t="s">
        <v>391</v>
      </c>
      <c r="C51" s="20" t="s">
        <v>394</v>
      </c>
      <c r="D51" s="21" t="s">
        <v>395</v>
      </c>
      <c r="E51" s="23">
        <v>3</v>
      </c>
      <c r="F51" s="18" t="s">
        <v>893</v>
      </c>
      <c r="G51" s="21"/>
      <c r="H51" s="21"/>
    </row>
    <row r="52" spans="1:8" ht="18" customHeight="1" x14ac:dyDescent="0.25">
      <c r="A52" s="13" t="s">
        <v>396</v>
      </c>
      <c r="B52" s="13" t="s">
        <v>397</v>
      </c>
      <c r="C52" s="13"/>
      <c r="D52" s="13"/>
      <c r="E52" s="13"/>
      <c r="F52" s="13"/>
      <c r="G52" s="13"/>
      <c r="H52" s="13"/>
    </row>
    <row r="53" spans="1:8" ht="90" x14ac:dyDescent="0.25">
      <c r="A53" s="14" t="s">
        <v>396</v>
      </c>
      <c r="B53" s="14" t="s">
        <v>397</v>
      </c>
      <c r="C53" s="15" t="s">
        <v>398</v>
      </c>
      <c r="D53" s="16" t="s">
        <v>399</v>
      </c>
      <c r="E53" s="17">
        <v>2</v>
      </c>
      <c r="F53" s="18" t="s">
        <v>893</v>
      </c>
      <c r="G53" s="16" t="s">
        <v>1115</v>
      </c>
      <c r="H53" s="16"/>
    </row>
    <row r="54" spans="1:8" ht="90" x14ac:dyDescent="0.25">
      <c r="A54" s="19" t="s">
        <v>396</v>
      </c>
      <c r="B54" s="19" t="s">
        <v>397</v>
      </c>
      <c r="C54" s="20" t="s">
        <v>400</v>
      </c>
      <c r="D54" s="21" t="s">
        <v>401</v>
      </c>
      <c r="E54" s="17">
        <v>2</v>
      </c>
      <c r="F54" s="18" t="s">
        <v>892</v>
      </c>
      <c r="G54" s="21" t="s">
        <v>1116</v>
      </c>
      <c r="H54" s="21"/>
    </row>
    <row r="55" spans="1:8" ht="75" x14ac:dyDescent="0.25">
      <c r="A55" s="14" t="s">
        <v>396</v>
      </c>
      <c r="B55" s="14" t="s">
        <v>397</v>
      </c>
      <c r="C55" s="15" t="s">
        <v>402</v>
      </c>
      <c r="D55" s="16" t="s">
        <v>403</v>
      </c>
      <c r="E55" s="17">
        <v>2</v>
      </c>
      <c r="F55" s="18" t="s">
        <v>892</v>
      </c>
      <c r="G55" s="16" t="s">
        <v>1117</v>
      </c>
      <c r="H55" s="16"/>
    </row>
    <row r="56" spans="1:8" ht="150" x14ac:dyDescent="0.25">
      <c r="A56" s="19" t="s">
        <v>396</v>
      </c>
      <c r="B56" s="19" t="s">
        <v>397</v>
      </c>
      <c r="C56" s="20" t="s">
        <v>404</v>
      </c>
      <c r="D56" s="21" t="s">
        <v>405</v>
      </c>
      <c r="E56" s="17">
        <v>2</v>
      </c>
      <c r="F56" s="18" t="s">
        <v>893</v>
      </c>
      <c r="G56" s="21" t="s">
        <v>1118</v>
      </c>
      <c r="H56" s="21"/>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2" activePane="bottomLeft" state="frozen"/>
      <selection pane="bottomLeft" activeCell="F23" sqref="F2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406</v>
      </c>
      <c r="B2" s="13" t="s">
        <v>407</v>
      </c>
      <c r="C2" s="13"/>
      <c r="D2" s="13"/>
      <c r="E2" s="13"/>
      <c r="F2" s="13"/>
      <c r="G2" s="13"/>
      <c r="H2" s="13"/>
    </row>
    <row r="3" spans="1:8" ht="30" customHeight="1" x14ac:dyDescent="0.25">
      <c r="A3" s="14" t="s">
        <v>406</v>
      </c>
      <c r="B3" s="14" t="s">
        <v>407</v>
      </c>
      <c r="C3" s="15" t="s">
        <v>408</v>
      </c>
      <c r="D3" s="16" t="s">
        <v>409</v>
      </c>
      <c r="E3" s="17">
        <v>2</v>
      </c>
      <c r="F3" s="18" t="s">
        <v>892</v>
      </c>
      <c r="G3" s="16" t="s">
        <v>1071</v>
      </c>
      <c r="H3" s="16"/>
    </row>
    <row r="4" spans="1:8" ht="30" customHeight="1" x14ac:dyDescent="0.25">
      <c r="A4" s="19" t="s">
        <v>406</v>
      </c>
      <c r="B4" s="19" t="s">
        <v>407</v>
      </c>
      <c r="C4" s="20" t="s">
        <v>410</v>
      </c>
      <c r="D4" s="21" t="s">
        <v>411</v>
      </c>
      <c r="E4" s="17">
        <v>2</v>
      </c>
      <c r="F4" s="18" t="s">
        <v>892</v>
      </c>
      <c r="G4" s="21" t="s">
        <v>1072</v>
      </c>
      <c r="H4" s="21"/>
    </row>
    <row r="5" spans="1:8" ht="30" customHeight="1" x14ac:dyDescent="0.25">
      <c r="A5" s="14" t="s">
        <v>406</v>
      </c>
      <c r="B5" s="14" t="s">
        <v>407</v>
      </c>
      <c r="C5" s="15" t="s">
        <v>412</v>
      </c>
      <c r="D5" s="16" t="s">
        <v>413</v>
      </c>
      <c r="E5" s="17">
        <v>2</v>
      </c>
      <c r="F5" s="18" t="s">
        <v>892</v>
      </c>
      <c r="G5" s="16" t="s">
        <v>1073</v>
      </c>
      <c r="H5" s="16"/>
    </row>
    <row r="6" spans="1:8" ht="18" customHeight="1" x14ac:dyDescent="0.25">
      <c r="A6" s="13" t="s">
        <v>414</v>
      </c>
      <c r="B6" s="13" t="s">
        <v>415</v>
      </c>
      <c r="C6" s="13"/>
      <c r="D6" s="13"/>
      <c r="E6" s="13"/>
      <c r="F6" s="13"/>
      <c r="G6" s="13"/>
      <c r="H6" s="13"/>
    </row>
    <row r="7" spans="1:8" ht="30" customHeight="1" x14ac:dyDescent="0.25">
      <c r="A7" s="14" t="s">
        <v>414</v>
      </c>
      <c r="B7" s="14" t="s">
        <v>415</v>
      </c>
      <c r="C7" s="15" t="s">
        <v>416</v>
      </c>
      <c r="D7" s="16" t="s">
        <v>417</v>
      </c>
      <c r="E7" s="22">
        <v>1</v>
      </c>
      <c r="F7" s="18" t="s">
        <v>45</v>
      </c>
      <c r="G7" s="16"/>
      <c r="H7" s="16"/>
    </row>
    <row r="8" spans="1:8" ht="30" customHeight="1" x14ac:dyDescent="0.25">
      <c r="A8" s="19" t="s">
        <v>414</v>
      </c>
      <c r="B8" s="19" t="s">
        <v>415</v>
      </c>
      <c r="C8" s="20" t="s">
        <v>418</v>
      </c>
      <c r="D8" s="21" t="s">
        <v>419</v>
      </c>
      <c r="E8" s="22">
        <v>1</v>
      </c>
      <c r="F8" s="18" t="s">
        <v>45</v>
      </c>
      <c r="G8" s="21"/>
      <c r="H8" s="21"/>
    </row>
    <row r="9" spans="1:8" ht="30" customHeight="1" x14ac:dyDescent="0.25">
      <c r="A9" s="14" t="s">
        <v>414</v>
      </c>
      <c r="B9" s="14" t="s">
        <v>415</v>
      </c>
      <c r="C9" s="15" t="s">
        <v>420</v>
      </c>
      <c r="D9" s="16" t="s">
        <v>421</v>
      </c>
      <c r="E9" s="22">
        <v>1</v>
      </c>
      <c r="F9" s="18" t="s">
        <v>45</v>
      </c>
      <c r="G9" s="16"/>
      <c r="H9" s="16"/>
    </row>
    <row r="10" spans="1:8" ht="30" customHeight="1" x14ac:dyDescent="0.25">
      <c r="A10" s="19" t="s">
        <v>414</v>
      </c>
      <c r="B10" s="19" t="s">
        <v>415</v>
      </c>
      <c r="C10" s="20" t="s">
        <v>422</v>
      </c>
      <c r="D10" s="21" t="s">
        <v>423</v>
      </c>
      <c r="E10" s="22">
        <v>1</v>
      </c>
      <c r="F10" s="18" t="s">
        <v>45</v>
      </c>
      <c r="G10" s="21"/>
      <c r="H10" s="21"/>
    </row>
    <row r="11" spans="1:8" ht="18" customHeight="1" x14ac:dyDescent="0.25">
      <c r="A11" s="13" t="s">
        <v>424</v>
      </c>
      <c r="B11" s="13" t="s">
        <v>425</v>
      </c>
      <c r="C11" s="13"/>
      <c r="D11" s="13"/>
      <c r="E11" s="13"/>
      <c r="F11" s="13"/>
      <c r="G11" s="13"/>
      <c r="H11" s="13"/>
    </row>
    <row r="12" spans="1:8" ht="30" customHeight="1" x14ac:dyDescent="0.25">
      <c r="A12" s="14" t="s">
        <v>424</v>
      </c>
      <c r="B12" s="14" t="s">
        <v>425</v>
      </c>
      <c r="C12" s="15" t="s">
        <v>426</v>
      </c>
      <c r="D12" s="16" t="s">
        <v>427</v>
      </c>
      <c r="E12" s="17">
        <v>2</v>
      </c>
      <c r="F12" s="18" t="s">
        <v>45</v>
      </c>
      <c r="G12" s="16"/>
      <c r="H12" s="16"/>
    </row>
    <row r="13" spans="1:8" ht="30" customHeight="1" x14ac:dyDescent="0.25">
      <c r="A13" s="19" t="s">
        <v>424</v>
      </c>
      <c r="B13" s="19" t="s">
        <v>425</v>
      </c>
      <c r="C13" s="20" t="s">
        <v>428</v>
      </c>
      <c r="D13" s="21" t="s">
        <v>429</v>
      </c>
      <c r="E13" s="17">
        <v>2</v>
      </c>
      <c r="F13" s="18" t="s">
        <v>45</v>
      </c>
      <c r="G13" s="21"/>
      <c r="H13" s="21"/>
    </row>
    <row r="14" spans="1:8" ht="18" customHeight="1" x14ac:dyDescent="0.25">
      <c r="A14" s="13" t="s">
        <v>430</v>
      </c>
      <c r="B14" s="13" t="s">
        <v>431</v>
      </c>
      <c r="C14" s="13"/>
      <c r="D14" s="13"/>
      <c r="E14" s="13"/>
      <c r="F14" s="13"/>
      <c r="G14" s="13"/>
      <c r="H14" s="13"/>
    </row>
    <row r="15" spans="1:8" ht="30" customHeight="1" x14ac:dyDescent="0.25">
      <c r="A15" s="14" t="s">
        <v>430</v>
      </c>
      <c r="B15" s="14" t="s">
        <v>431</v>
      </c>
      <c r="C15" s="15" t="s">
        <v>432</v>
      </c>
      <c r="D15" s="16" t="s">
        <v>433</v>
      </c>
      <c r="E15" s="22">
        <v>1</v>
      </c>
      <c r="F15" s="18" t="s">
        <v>45</v>
      </c>
      <c r="G15" s="16"/>
      <c r="H15" s="16"/>
    </row>
    <row r="16" spans="1:8" ht="30" customHeight="1" x14ac:dyDescent="0.25">
      <c r="A16" s="19" t="s">
        <v>430</v>
      </c>
      <c r="B16" s="19" t="s">
        <v>431</v>
      </c>
      <c r="C16" s="20" t="s">
        <v>434</v>
      </c>
      <c r="D16" s="21" t="s">
        <v>435</v>
      </c>
      <c r="E16" s="22">
        <v>1</v>
      </c>
      <c r="F16" s="18" t="s">
        <v>45</v>
      </c>
      <c r="G16" s="21"/>
      <c r="H16" s="21"/>
    </row>
    <row r="17" spans="1:8" ht="30" customHeight="1" x14ac:dyDescent="0.25">
      <c r="A17" s="14" t="s">
        <v>430</v>
      </c>
      <c r="B17" s="14" t="s">
        <v>431</v>
      </c>
      <c r="C17" s="15" t="s">
        <v>436</v>
      </c>
      <c r="D17" s="16" t="s">
        <v>437</v>
      </c>
      <c r="E17" s="17">
        <v>2</v>
      </c>
      <c r="F17" s="18" t="s">
        <v>45</v>
      </c>
      <c r="G17" s="16"/>
      <c r="H17" s="16"/>
    </row>
    <row r="18" spans="1:8" ht="30" customHeight="1" x14ac:dyDescent="0.25">
      <c r="A18" s="19" t="s">
        <v>430</v>
      </c>
      <c r="B18" s="19" t="s">
        <v>431</v>
      </c>
      <c r="C18" s="20" t="s">
        <v>438</v>
      </c>
      <c r="D18" s="21" t="s">
        <v>439</v>
      </c>
      <c r="E18" s="17">
        <v>2</v>
      </c>
      <c r="F18" s="18" t="s">
        <v>45</v>
      </c>
      <c r="G18" s="21"/>
      <c r="H18" s="21"/>
    </row>
    <row r="19" spans="1:8" ht="30" customHeight="1" x14ac:dyDescent="0.25">
      <c r="A19" s="14" t="s">
        <v>430</v>
      </c>
      <c r="B19" s="14" t="s">
        <v>431</v>
      </c>
      <c r="C19" s="15" t="s">
        <v>440</v>
      </c>
      <c r="D19" s="16" t="s">
        <v>441</v>
      </c>
      <c r="E19" s="17">
        <v>2</v>
      </c>
      <c r="F19" s="18" t="s">
        <v>45</v>
      </c>
      <c r="G19" s="16"/>
      <c r="H19" s="16"/>
    </row>
    <row r="20" spans="1:8" ht="18" customHeight="1" x14ac:dyDescent="0.25">
      <c r="A20" s="13" t="s">
        <v>442</v>
      </c>
      <c r="B20" s="13" t="s">
        <v>443</v>
      </c>
      <c r="C20" s="13"/>
      <c r="D20" s="13"/>
      <c r="E20" s="13"/>
      <c r="F20" s="13"/>
      <c r="G20" s="13"/>
      <c r="H20" s="13"/>
    </row>
    <row r="21" spans="1:8" ht="30" customHeight="1" x14ac:dyDescent="0.25">
      <c r="A21" s="14" t="s">
        <v>442</v>
      </c>
      <c r="B21" s="14" t="s">
        <v>443</v>
      </c>
      <c r="C21" s="15" t="s">
        <v>444</v>
      </c>
      <c r="D21" s="16" t="s">
        <v>445</v>
      </c>
      <c r="E21" s="17">
        <v>2</v>
      </c>
      <c r="F21" s="18" t="s">
        <v>45</v>
      </c>
      <c r="G21" s="16"/>
      <c r="H21" s="16"/>
    </row>
    <row r="22" spans="1:8" ht="30" customHeight="1" x14ac:dyDescent="0.25">
      <c r="A22" s="19" t="s">
        <v>442</v>
      </c>
      <c r="B22" s="19" t="s">
        <v>443</v>
      </c>
      <c r="C22" s="20" t="s">
        <v>446</v>
      </c>
      <c r="D22" s="21" t="s">
        <v>447</v>
      </c>
      <c r="E22" s="17">
        <v>2</v>
      </c>
      <c r="F22" s="18" t="s">
        <v>45</v>
      </c>
      <c r="G22" s="21"/>
      <c r="H22" s="21"/>
    </row>
    <row r="23" spans="1:8" ht="30" customHeight="1" x14ac:dyDescent="0.25">
      <c r="A23" s="14" t="s">
        <v>442</v>
      </c>
      <c r="B23" s="14" t="s">
        <v>443</v>
      </c>
      <c r="C23" s="15" t="s">
        <v>448</v>
      </c>
      <c r="D23" s="16" t="s">
        <v>449</v>
      </c>
      <c r="E23" s="23">
        <v>3</v>
      </c>
      <c r="F23" s="18" t="s">
        <v>893</v>
      </c>
      <c r="G23" s="16"/>
      <c r="H23" s="16"/>
    </row>
    <row r="24" spans="1:8" ht="18" customHeight="1" x14ac:dyDescent="0.25">
      <c r="A24" s="13" t="s">
        <v>450</v>
      </c>
      <c r="B24" s="13" t="s">
        <v>451</v>
      </c>
      <c r="C24" s="13"/>
      <c r="D24" s="13"/>
      <c r="E24" s="13"/>
      <c r="F24" s="13"/>
      <c r="G24" s="13"/>
      <c r="H24" s="13"/>
    </row>
    <row r="25" spans="1:8" ht="30" customHeight="1" x14ac:dyDescent="0.25">
      <c r="A25" s="14" t="s">
        <v>450</v>
      </c>
      <c r="B25" s="14" t="s">
        <v>451</v>
      </c>
      <c r="C25" s="15" t="s">
        <v>452</v>
      </c>
      <c r="D25" s="16" t="s">
        <v>453</v>
      </c>
      <c r="E25" s="17">
        <v>2</v>
      </c>
      <c r="F25" s="18" t="s">
        <v>45</v>
      </c>
      <c r="G25" s="16"/>
      <c r="H25" s="16"/>
    </row>
    <row r="26" spans="1:8" ht="30" customHeight="1" x14ac:dyDescent="0.25">
      <c r="A26" s="19" t="s">
        <v>450</v>
      </c>
      <c r="B26" s="19" t="s">
        <v>451</v>
      </c>
      <c r="C26" s="20" t="s">
        <v>454</v>
      </c>
      <c r="D26" s="21" t="s">
        <v>455</v>
      </c>
      <c r="E26" s="17">
        <v>2</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zoomScale="75" zoomScaleNormal="75" workbookViewId="0">
      <pane ySplit="1" topLeftCell="A2" activePane="bottomLeft" state="frozen"/>
      <selection pane="bottomLeft" activeCell="F14" sqref="F1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456</v>
      </c>
      <c r="B2" s="13" t="s">
        <v>457</v>
      </c>
      <c r="C2" s="13"/>
      <c r="D2" s="13"/>
      <c r="E2" s="13"/>
      <c r="F2" s="13"/>
      <c r="G2" s="13"/>
      <c r="H2" s="13"/>
    </row>
    <row r="3" spans="1:8" ht="30" customHeight="1" x14ac:dyDescent="0.25">
      <c r="A3" s="14" t="s">
        <v>456</v>
      </c>
      <c r="B3" s="14" t="s">
        <v>457</v>
      </c>
      <c r="C3" s="15" t="s">
        <v>458</v>
      </c>
      <c r="D3" s="16" t="s">
        <v>459</v>
      </c>
      <c r="E3" s="22">
        <v>1</v>
      </c>
      <c r="F3" s="18" t="s">
        <v>892</v>
      </c>
      <c r="G3" s="16" t="s">
        <v>1074</v>
      </c>
      <c r="H3" s="16"/>
    </row>
    <row r="4" spans="1:8" ht="30" customHeight="1" x14ac:dyDescent="0.25">
      <c r="A4" s="19" t="s">
        <v>456</v>
      </c>
      <c r="B4" s="19" t="s">
        <v>457</v>
      </c>
      <c r="C4" s="20" t="s">
        <v>460</v>
      </c>
      <c r="D4" s="21" t="s">
        <v>461</v>
      </c>
      <c r="E4" s="17">
        <v>2</v>
      </c>
      <c r="F4" s="18" t="s">
        <v>892</v>
      </c>
      <c r="G4" s="21" t="s">
        <v>1075</v>
      </c>
      <c r="H4" s="21"/>
    </row>
    <row r="5" spans="1:8" ht="30" customHeight="1" x14ac:dyDescent="0.25">
      <c r="A5" s="14" t="s">
        <v>456</v>
      </c>
      <c r="B5" s="14" t="s">
        <v>457</v>
      </c>
      <c r="C5" s="15" t="s">
        <v>462</v>
      </c>
      <c r="D5" s="16" t="s">
        <v>463</v>
      </c>
      <c r="E5" s="23">
        <v>3</v>
      </c>
      <c r="F5" s="18" t="s">
        <v>893</v>
      </c>
      <c r="G5" s="16" t="s">
        <v>1076</v>
      </c>
      <c r="H5" s="16"/>
    </row>
    <row r="6" spans="1:8" ht="90" x14ac:dyDescent="0.25">
      <c r="A6" s="19" t="s">
        <v>456</v>
      </c>
      <c r="B6" s="19" t="s">
        <v>457</v>
      </c>
      <c r="C6" s="20" t="s">
        <v>464</v>
      </c>
      <c r="D6" s="21" t="s">
        <v>465</v>
      </c>
      <c r="E6" s="23">
        <v>3</v>
      </c>
      <c r="F6" s="18" t="s">
        <v>893</v>
      </c>
      <c r="G6" s="21" t="s">
        <v>1077</v>
      </c>
      <c r="H6" s="21"/>
    </row>
    <row r="7" spans="1:8" ht="18" customHeight="1" x14ac:dyDescent="0.25">
      <c r="A7" s="13" t="s">
        <v>466</v>
      </c>
      <c r="B7" s="13" t="s">
        <v>467</v>
      </c>
      <c r="C7" s="13"/>
      <c r="D7" s="13"/>
      <c r="E7" s="13"/>
      <c r="F7" s="13"/>
      <c r="G7" s="13"/>
      <c r="H7" s="13"/>
    </row>
    <row r="8" spans="1:8" ht="30" customHeight="1" x14ac:dyDescent="0.25">
      <c r="A8" s="14" t="s">
        <v>466</v>
      </c>
      <c r="B8" s="14" t="s">
        <v>467</v>
      </c>
      <c r="C8" s="15" t="s">
        <v>468</v>
      </c>
      <c r="D8" s="16" t="s">
        <v>469</v>
      </c>
      <c r="E8" s="22">
        <v>1</v>
      </c>
      <c r="F8" s="18" t="s">
        <v>892</v>
      </c>
      <c r="G8" s="16" t="s">
        <v>1078</v>
      </c>
      <c r="H8" s="16"/>
    </row>
    <row r="9" spans="1:8" ht="30" customHeight="1" x14ac:dyDescent="0.25">
      <c r="A9" s="19" t="s">
        <v>466</v>
      </c>
      <c r="B9" s="19" t="s">
        <v>467</v>
      </c>
      <c r="C9" s="20" t="s">
        <v>470</v>
      </c>
      <c r="D9" s="21" t="s">
        <v>471</v>
      </c>
      <c r="E9" s="22">
        <v>1</v>
      </c>
      <c r="F9" s="18" t="s">
        <v>892</v>
      </c>
      <c r="G9" s="21" t="s">
        <v>1079</v>
      </c>
      <c r="H9" s="21"/>
    </row>
    <row r="10" spans="1:8" ht="30" customHeight="1" x14ac:dyDescent="0.25">
      <c r="A10" s="14" t="s">
        <v>466</v>
      </c>
      <c r="B10" s="14" t="s">
        <v>467</v>
      </c>
      <c r="C10" s="15" t="s">
        <v>472</v>
      </c>
      <c r="D10" s="16" t="s">
        <v>473</v>
      </c>
      <c r="E10" s="17">
        <v>2</v>
      </c>
      <c r="F10" s="18" t="s">
        <v>892</v>
      </c>
      <c r="G10" s="16" t="s">
        <v>1080</v>
      </c>
      <c r="H10" s="16"/>
    </row>
    <row r="11" spans="1:8" ht="105" x14ac:dyDescent="0.25">
      <c r="A11" s="19" t="s">
        <v>466</v>
      </c>
      <c r="B11" s="19" t="s">
        <v>467</v>
      </c>
      <c r="C11" s="20" t="s">
        <v>474</v>
      </c>
      <c r="D11" s="21" t="s">
        <v>475</v>
      </c>
      <c r="E11" s="23">
        <v>3</v>
      </c>
      <c r="F11" s="18" t="s">
        <v>893</v>
      </c>
      <c r="G11" s="21" t="s">
        <v>1081</v>
      </c>
      <c r="H11" s="21"/>
    </row>
    <row r="12" spans="1:8" ht="18" customHeight="1" x14ac:dyDescent="0.25">
      <c r="A12" s="13" t="s">
        <v>476</v>
      </c>
      <c r="B12" s="13" t="s">
        <v>477</v>
      </c>
      <c r="C12" s="13"/>
      <c r="D12" s="13"/>
      <c r="E12" s="13"/>
      <c r="F12" s="13"/>
      <c r="G12" s="13"/>
      <c r="H12" s="13"/>
    </row>
    <row r="13" spans="1:8" ht="30" customHeight="1" x14ac:dyDescent="0.25">
      <c r="A13" s="14" t="s">
        <v>476</v>
      </c>
      <c r="B13" s="14" t="s">
        <v>477</v>
      </c>
      <c r="C13" s="15" t="s">
        <v>478</v>
      </c>
      <c r="D13" s="16" t="s">
        <v>479</v>
      </c>
      <c r="E13" s="22">
        <v>1</v>
      </c>
      <c r="F13" s="18" t="s">
        <v>45</v>
      </c>
      <c r="G13" s="16"/>
      <c r="H13" s="16"/>
    </row>
    <row r="14" spans="1:8" ht="30" customHeight="1" x14ac:dyDescent="0.25">
      <c r="A14" s="19" t="s">
        <v>476</v>
      </c>
      <c r="B14" s="19" t="s">
        <v>477</v>
      </c>
      <c r="C14" s="20" t="s">
        <v>480</v>
      </c>
      <c r="D14" s="21" t="s">
        <v>481</v>
      </c>
      <c r="E14" s="23">
        <v>3</v>
      </c>
      <c r="F14" s="18" t="s">
        <v>893</v>
      </c>
      <c r="G14" s="21"/>
      <c r="H14" s="21"/>
    </row>
    <row r="15" spans="1:8" ht="30" customHeight="1" x14ac:dyDescent="0.25">
      <c r="A15" s="14" t="s">
        <v>476</v>
      </c>
      <c r="B15" s="14" t="s">
        <v>477</v>
      </c>
      <c r="C15" s="15" t="s">
        <v>482</v>
      </c>
      <c r="D15" s="16" t="s">
        <v>483</v>
      </c>
      <c r="E15" s="23">
        <v>3</v>
      </c>
      <c r="F15" s="18" t="s">
        <v>893</v>
      </c>
      <c r="G15" s="16" t="s">
        <v>1082</v>
      </c>
      <c r="H15" s="16"/>
    </row>
    <row r="16" spans="1:8" ht="18" customHeight="1" x14ac:dyDescent="0.25">
      <c r="A16" s="13" t="s">
        <v>484</v>
      </c>
      <c r="B16" s="13" t="s">
        <v>485</v>
      </c>
      <c r="C16" s="13"/>
      <c r="D16" s="13"/>
      <c r="E16" s="13"/>
      <c r="F16" s="13"/>
      <c r="G16" s="13"/>
      <c r="H16" s="13"/>
    </row>
    <row r="17" spans="1:8" ht="30" customHeight="1" x14ac:dyDescent="0.25">
      <c r="A17" s="14" t="s">
        <v>484</v>
      </c>
      <c r="B17" s="14" t="s">
        <v>485</v>
      </c>
      <c r="C17" s="15" t="s">
        <v>486</v>
      </c>
      <c r="D17" s="16" t="s">
        <v>487</v>
      </c>
      <c r="E17" s="17">
        <v>2</v>
      </c>
      <c r="F17" s="18" t="s">
        <v>893</v>
      </c>
      <c r="G17" s="16" t="s">
        <v>1083</v>
      </c>
      <c r="H17" s="16"/>
    </row>
    <row r="18" spans="1:8" ht="30" customHeight="1" x14ac:dyDescent="0.25">
      <c r="A18" s="19" t="s">
        <v>484</v>
      </c>
      <c r="B18" s="19" t="s">
        <v>485</v>
      </c>
      <c r="C18" s="20" t="s">
        <v>488</v>
      </c>
      <c r="D18" s="21" t="s">
        <v>489</v>
      </c>
      <c r="E18" s="23">
        <v>3</v>
      </c>
      <c r="F18" s="18" t="s">
        <v>893</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9" zoomScaleNormal="75" workbookViewId="0">
      <pane ySplit="1" topLeftCell="A2" activePane="bottomLeft" state="frozen"/>
      <selection pane="bottomLeft" activeCell="D9" sqref="D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490</v>
      </c>
      <c r="B2" s="13" t="s">
        <v>491</v>
      </c>
      <c r="C2" s="13"/>
      <c r="D2" s="13"/>
      <c r="E2" s="13"/>
      <c r="F2" s="13"/>
      <c r="G2" s="13"/>
      <c r="H2" s="13"/>
    </row>
    <row r="3" spans="1:8" ht="90" x14ac:dyDescent="0.25">
      <c r="A3" s="14" t="s">
        <v>490</v>
      </c>
      <c r="B3" s="14" t="s">
        <v>491</v>
      </c>
      <c r="C3" s="15" t="s">
        <v>492</v>
      </c>
      <c r="D3" s="16" t="s">
        <v>493</v>
      </c>
      <c r="E3" s="22">
        <v>1</v>
      </c>
      <c r="F3" s="18" t="s">
        <v>892</v>
      </c>
      <c r="G3" s="16" t="s">
        <v>955</v>
      </c>
      <c r="H3" s="16"/>
    </row>
    <row r="4" spans="1:8" ht="105" x14ac:dyDescent="0.25">
      <c r="A4" s="19" t="s">
        <v>490</v>
      </c>
      <c r="B4" s="19" t="s">
        <v>491</v>
      </c>
      <c r="C4" s="20" t="s">
        <v>494</v>
      </c>
      <c r="D4" s="21" t="s">
        <v>495</v>
      </c>
      <c r="E4" s="22">
        <v>1</v>
      </c>
      <c r="F4" s="18" t="s">
        <v>892</v>
      </c>
      <c r="G4" s="21" t="s">
        <v>956</v>
      </c>
      <c r="H4" s="21"/>
    </row>
    <row r="5" spans="1:8" ht="105" x14ac:dyDescent="0.25">
      <c r="A5" s="14" t="s">
        <v>490</v>
      </c>
      <c r="B5" s="14" t="s">
        <v>491</v>
      </c>
      <c r="C5" s="15" t="s">
        <v>496</v>
      </c>
      <c r="D5" s="16" t="s">
        <v>497</v>
      </c>
      <c r="E5" s="22">
        <v>1</v>
      </c>
      <c r="F5" s="18" t="s">
        <v>892</v>
      </c>
      <c r="G5" s="16" t="s">
        <v>959</v>
      </c>
      <c r="H5" s="16"/>
    </row>
    <row r="6" spans="1:8" ht="18" customHeight="1" x14ac:dyDescent="0.25">
      <c r="A6" s="13" t="s">
        <v>498</v>
      </c>
      <c r="B6" s="13" t="s">
        <v>499</v>
      </c>
      <c r="C6" s="13"/>
      <c r="D6" s="13"/>
      <c r="E6" s="13"/>
      <c r="F6" s="13"/>
      <c r="G6" s="13"/>
      <c r="H6" s="13"/>
    </row>
    <row r="7" spans="1:8" ht="75" x14ac:dyDescent="0.25">
      <c r="A7" s="14" t="s">
        <v>498</v>
      </c>
      <c r="B7" s="14" t="s">
        <v>499</v>
      </c>
      <c r="C7" s="15" t="s">
        <v>500</v>
      </c>
      <c r="D7" s="16" t="s">
        <v>501</v>
      </c>
      <c r="E7" s="22">
        <v>1</v>
      </c>
      <c r="F7" s="18" t="s">
        <v>892</v>
      </c>
      <c r="G7" s="16" t="s">
        <v>960</v>
      </c>
      <c r="H7" s="16"/>
    </row>
    <row r="8" spans="1:8" ht="75" x14ac:dyDescent="0.25">
      <c r="A8" s="19" t="s">
        <v>498</v>
      </c>
      <c r="B8" s="19" t="s">
        <v>499</v>
      </c>
      <c r="C8" s="20" t="s">
        <v>502</v>
      </c>
      <c r="D8" s="21" t="s">
        <v>503</v>
      </c>
      <c r="E8" s="17">
        <v>2</v>
      </c>
      <c r="F8" s="18" t="s">
        <v>892</v>
      </c>
      <c r="G8" s="21" t="s">
        <v>961</v>
      </c>
      <c r="H8" s="21"/>
    </row>
    <row r="9" spans="1:8" ht="75" x14ac:dyDescent="0.25">
      <c r="A9" s="14" t="s">
        <v>498</v>
      </c>
      <c r="B9" s="14" t="s">
        <v>499</v>
      </c>
      <c r="C9" s="15" t="s">
        <v>504</v>
      </c>
      <c r="D9" s="16" t="s">
        <v>505</v>
      </c>
      <c r="E9" s="17">
        <v>2</v>
      </c>
      <c r="F9" s="18" t="s">
        <v>892</v>
      </c>
      <c r="G9" s="16" t="s">
        <v>958</v>
      </c>
      <c r="H9" s="16"/>
    </row>
    <row r="10" spans="1:8" ht="120" x14ac:dyDescent="0.25">
      <c r="A10" s="19" t="s">
        <v>498</v>
      </c>
      <c r="B10" s="19" t="s">
        <v>499</v>
      </c>
      <c r="C10" s="20" t="s">
        <v>506</v>
      </c>
      <c r="D10" s="21" t="s">
        <v>507</v>
      </c>
      <c r="E10" s="17">
        <v>2</v>
      </c>
      <c r="F10" s="18" t="s">
        <v>892</v>
      </c>
      <c r="G10" s="21" t="s">
        <v>957</v>
      </c>
      <c r="H10" s="21"/>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95" zoomScaleNormal="75" workbookViewId="0">
      <pane ySplit="1" topLeftCell="A2" activePane="bottomLeft" state="frozen"/>
      <selection pane="bottomLeft" activeCell="G39" sqref="G3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508</v>
      </c>
      <c r="B2" s="13" t="s">
        <v>509</v>
      </c>
      <c r="C2" s="13"/>
      <c r="D2" s="13"/>
      <c r="E2" s="13"/>
      <c r="F2" s="13"/>
      <c r="G2" s="13"/>
      <c r="H2" s="13"/>
    </row>
    <row r="3" spans="1:8" ht="60" x14ac:dyDescent="0.25">
      <c r="A3" s="14" t="s">
        <v>508</v>
      </c>
      <c r="B3" s="14" t="s">
        <v>509</v>
      </c>
      <c r="C3" s="15" t="s">
        <v>510</v>
      </c>
      <c r="D3" s="16" t="s">
        <v>511</v>
      </c>
      <c r="E3" s="17">
        <v>2</v>
      </c>
      <c r="F3" s="18" t="s">
        <v>893</v>
      </c>
      <c r="G3" s="16" t="s">
        <v>920</v>
      </c>
      <c r="H3" s="16"/>
    </row>
    <row r="4" spans="1:8" ht="135" x14ac:dyDescent="0.25">
      <c r="A4" s="19" t="s">
        <v>508</v>
      </c>
      <c r="B4" s="19" t="s">
        <v>509</v>
      </c>
      <c r="C4" s="20" t="s">
        <v>512</v>
      </c>
      <c r="D4" s="21" t="s">
        <v>513</v>
      </c>
      <c r="E4" s="17">
        <v>2</v>
      </c>
      <c r="F4" s="18" t="s">
        <v>893</v>
      </c>
      <c r="G4" s="21" t="s">
        <v>921</v>
      </c>
      <c r="H4" s="21"/>
    </row>
    <row r="5" spans="1:8" ht="18" customHeight="1" x14ac:dyDescent="0.25">
      <c r="A5" s="13" t="s">
        <v>514</v>
      </c>
      <c r="B5" s="13" t="s">
        <v>515</v>
      </c>
      <c r="C5" s="13"/>
      <c r="D5" s="13"/>
      <c r="E5" s="13"/>
      <c r="F5" s="13"/>
      <c r="G5" s="13"/>
      <c r="H5" s="13"/>
    </row>
    <row r="6" spans="1:8" ht="90" x14ac:dyDescent="0.25">
      <c r="A6" s="14" t="s">
        <v>514</v>
      </c>
      <c r="B6" s="14" t="s">
        <v>515</v>
      </c>
      <c r="C6" s="15" t="s">
        <v>516</v>
      </c>
      <c r="D6" s="16" t="s">
        <v>517</v>
      </c>
      <c r="E6" s="17">
        <v>2</v>
      </c>
      <c r="F6" s="18" t="s">
        <v>893</v>
      </c>
      <c r="G6" s="16" t="s">
        <v>922</v>
      </c>
      <c r="H6" s="16"/>
    </row>
    <row r="7" spans="1:8" ht="75" x14ac:dyDescent="0.25">
      <c r="A7" s="19" t="s">
        <v>514</v>
      </c>
      <c r="B7" s="19" t="s">
        <v>515</v>
      </c>
      <c r="C7" s="20" t="s">
        <v>518</v>
      </c>
      <c r="D7" s="21" t="s">
        <v>519</v>
      </c>
      <c r="E7" s="17">
        <v>2</v>
      </c>
      <c r="F7" s="18" t="s">
        <v>893</v>
      </c>
      <c r="G7" s="21" t="s">
        <v>923</v>
      </c>
      <c r="H7" s="21"/>
    </row>
    <row r="8" spans="1:8" ht="45" x14ac:dyDescent="0.25">
      <c r="A8" s="14" t="s">
        <v>514</v>
      </c>
      <c r="B8" s="14" t="s">
        <v>515</v>
      </c>
      <c r="C8" s="15" t="s">
        <v>520</v>
      </c>
      <c r="D8" s="16" t="s">
        <v>521</v>
      </c>
      <c r="E8" s="23">
        <v>3</v>
      </c>
      <c r="F8" s="18" t="s">
        <v>893</v>
      </c>
      <c r="G8" s="16" t="s">
        <v>924</v>
      </c>
      <c r="H8" s="16"/>
    </row>
    <row r="9" spans="1:8" ht="18" customHeight="1" x14ac:dyDescent="0.25">
      <c r="A9" s="13" t="s">
        <v>522</v>
      </c>
      <c r="B9" s="13" t="s">
        <v>523</v>
      </c>
      <c r="C9" s="13"/>
      <c r="D9" s="13"/>
      <c r="E9" s="13"/>
      <c r="F9" s="13"/>
      <c r="G9" s="13"/>
      <c r="H9" s="13"/>
    </row>
    <row r="10" spans="1:8" ht="75" x14ac:dyDescent="0.25">
      <c r="A10" s="14" t="s">
        <v>522</v>
      </c>
      <c r="B10" s="14" t="s">
        <v>523</v>
      </c>
      <c r="C10" s="15" t="s">
        <v>524</v>
      </c>
      <c r="D10" s="16" t="s">
        <v>525</v>
      </c>
      <c r="E10" s="17">
        <v>2</v>
      </c>
      <c r="F10" s="18" t="s">
        <v>892</v>
      </c>
      <c r="G10" s="16" t="s">
        <v>926</v>
      </c>
      <c r="H10" s="16"/>
    </row>
    <row r="11" spans="1:8" ht="75" x14ac:dyDescent="0.25">
      <c r="A11" s="19" t="s">
        <v>522</v>
      </c>
      <c r="B11" s="19" t="s">
        <v>523</v>
      </c>
      <c r="C11" s="20" t="s">
        <v>526</v>
      </c>
      <c r="D11" s="21" t="s">
        <v>527</v>
      </c>
      <c r="E11" s="17">
        <v>2</v>
      </c>
      <c r="F11" s="18" t="s">
        <v>892</v>
      </c>
      <c r="G11" s="21" t="s">
        <v>925</v>
      </c>
      <c r="H11" s="21"/>
    </row>
    <row r="12" spans="1:8" ht="75" x14ac:dyDescent="0.25">
      <c r="A12" s="14" t="s">
        <v>522</v>
      </c>
      <c r="B12" s="14" t="s">
        <v>523</v>
      </c>
      <c r="C12" s="15" t="s">
        <v>528</v>
      </c>
      <c r="D12" s="16" t="s">
        <v>529</v>
      </c>
      <c r="E12" s="17">
        <v>2</v>
      </c>
      <c r="F12" s="18" t="s">
        <v>892</v>
      </c>
      <c r="G12" s="16" t="s">
        <v>927</v>
      </c>
      <c r="H12" s="16"/>
    </row>
    <row r="13" spans="1:8" ht="73.150000000000006" customHeight="1" x14ac:dyDescent="0.25">
      <c r="A13" s="19" t="s">
        <v>522</v>
      </c>
      <c r="B13" s="19" t="s">
        <v>523</v>
      </c>
      <c r="C13" s="20" t="s">
        <v>530</v>
      </c>
      <c r="D13" s="21" t="s">
        <v>531</v>
      </c>
      <c r="E13" s="17">
        <v>2</v>
      </c>
      <c r="F13" s="18" t="s">
        <v>893</v>
      </c>
      <c r="G13" s="21" t="s">
        <v>928</v>
      </c>
      <c r="H13" s="21"/>
    </row>
    <row r="14" spans="1:8" ht="75" x14ac:dyDescent="0.25">
      <c r="A14" s="14" t="s">
        <v>522</v>
      </c>
      <c r="B14" s="14" t="s">
        <v>523</v>
      </c>
      <c r="C14" s="15" t="s">
        <v>532</v>
      </c>
      <c r="D14" s="16" t="s">
        <v>533</v>
      </c>
      <c r="E14" s="23">
        <v>3</v>
      </c>
      <c r="F14" s="18" t="s">
        <v>893</v>
      </c>
      <c r="G14" s="16" t="s">
        <v>929</v>
      </c>
      <c r="H14" s="16"/>
    </row>
    <row r="15" spans="1:8" ht="18" customHeight="1" x14ac:dyDescent="0.25">
      <c r="A15" s="13" t="s">
        <v>534</v>
      </c>
      <c r="B15" s="13" t="s">
        <v>535</v>
      </c>
      <c r="C15" s="13"/>
      <c r="D15" s="13"/>
      <c r="E15" s="13"/>
      <c r="F15" s="13"/>
      <c r="G15" s="13"/>
      <c r="H15" s="13"/>
    </row>
    <row r="16" spans="1:8" ht="30" customHeight="1" x14ac:dyDescent="0.25">
      <c r="A16" s="14" t="s">
        <v>534</v>
      </c>
      <c r="B16" s="14" t="s">
        <v>535</v>
      </c>
      <c r="C16" s="15" t="s">
        <v>536</v>
      </c>
      <c r="D16" s="16" t="s">
        <v>537</v>
      </c>
      <c r="E16" s="22">
        <v>1</v>
      </c>
      <c r="F16" s="18" t="s">
        <v>893</v>
      </c>
      <c r="G16" s="16" t="s">
        <v>932</v>
      </c>
      <c r="H16" s="16"/>
    </row>
    <row r="17" spans="1:8" ht="90" x14ac:dyDescent="0.25">
      <c r="A17" s="19" t="s">
        <v>534</v>
      </c>
      <c r="B17" s="19" t="s">
        <v>535</v>
      </c>
      <c r="C17" s="20" t="s">
        <v>538</v>
      </c>
      <c r="D17" s="21" t="s">
        <v>539</v>
      </c>
      <c r="E17" s="22">
        <v>1</v>
      </c>
      <c r="F17" s="18" t="s">
        <v>893</v>
      </c>
      <c r="G17" s="21" t="s">
        <v>933</v>
      </c>
      <c r="H17" s="21"/>
    </row>
    <row r="18" spans="1:8" ht="45" x14ac:dyDescent="0.25">
      <c r="A18" s="14" t="s">
        <v>534</v>
      </c>
      <c r="B18" s="14" t="s">
        <v>535</v>
      </c>
      <c r="C18" s="15" t="s">
        <v>540</v>
      </c>
      <c r="D18" s="16" t="s">
        <v>541</v>
      </c>
      <c r="E18" s="22">
        <v>1</v>
      </c>
      <c r="F18" s="18" t="s">
        <v>893</v>
      </c>
      <c r="G18" s="16" t="s">
        <v>934</v>
      </c>
      <c r="H18" s="16"/>
    </row>
    <row r="19" spans="1:8" ht="60" x14ac:dyDescent="0.25">
      <c r="A19" s="19" t="s">
        <v>534</v>
      </c>
      <c r="B19" s="19" t="s">
        <v>535</v>
      </c>
      <c r="C19" s="20" t="s">
        <v>542</v>
      </c>
      <c r="D19" s="21" t="s">
        <v>543</v>
      </c>
      <c r="E19" s="22">
        <v>1</v>
      </c>
      <c r="F19" s="18" t="s">
        <v>893</v>
      </c>
      <c r="G19" s="21" t="s">
        <v>935</v>
      </c>
      <c r="H19" s="21"/>
    </row>
    <row r="20" spans="1:8" ht="135" x14ac:dyDescent="0.25">
      <c r="A20" s="14" t="s">
        <v>534</v>
      </c>
      <c r="B20" s="14" t="s">
        <v>535</v>
      </c>
      <c r="C20" s="15" t="s">
        <v>544</v>
      </c>
      <c r="D20" s="16" t="s">
        <v>545</v>
      </c>
      <c r="E20" s="22">
        <v>1</v>
      </c>
      <c r="F20" s="18" t="s">
        <v>893</v>
      </c>
      <c r="G20" s="16" t="s">
        <v>936</v>
      </c>
      <c r="H20" s="16"/>
    </row>
    <row r="21" spans="1:8" ht="105" x14ac:dyDescent="0.25">
      <c r="A21" s="19" t="s">
        <v>534</v>
      </c>
      <c r="B21" s="19" t="s">
        <v>535</v>
      </c>
      <c r="C21" s="20" t="s">
        <v>546</v>
      </c>
      <c r="D21" s="21" t="s">
        <v>547</v>
      </c>
      <c r="E21" s="17">
        <v>2</v>
      </c>
      <c r="F21" s="18" t="s">
        <v>893</v>
      </c>
      <c r="G21" s="21" t="s">
        <v>937</v>
      </c>
      <c r="H21" s="21"/>
    </row>
    <row r="22" spans="1:8" ht="90" x14ac:dyDescent="0.25">
      <c r="A22" s="14" t="s">
        <v>534</v>
      </c>
      <c r="B22" s="14" t="s">
        <v>535</v>
      </c>
      <c r="C22" s="15" t="s">
        <v>548</v>
      </c>
      <c r="D22" s="16" t="s">
        <v>549</v>
      </c>
      <c r="E22" s="17">
        <v>2</v>
      </c>
      <c r="F22" s="18" t="s">
        <v>893</v>
      </c>
      <c r="G22" s="16" t="s">
        <v>938</v>
      </c>
      <c r="H22" s="16"/>
    </row>
    <row r="23" spans="1:8" ht="73.900000000000006" customHeight="1" x14ac:dyDescent="0.25">
      <c r="A23" s="19" t="s">
        <v>534</v>
      </c>
      <c r="B23" s="19" t="s">
        <v>535</v>
      </c>
      <c r="C23" s="20" t="s">
        <v>550</v>
      </c>
      <c r="D23" s="21" t="s">
        <v>551</v>
      </c>
      <c r="E23" s="17">
        <v>2</v>
      </c>
      <c r="F23" s="18" t="s">
        <v>45</v>
      </c>
      <c r="G23" s="21" t="s">
        <v>930</v>
      </c>
      <c r="H23" s="21"/>
    </row>
    <row r="24" spans="1:8" ht="75" x14ac:dyDescent="0.25">
      <c r="A24" s="14" t="s">
        <v>534</v>
      </c>
      <c r="B24" s="14" t="s">
        <v>535</v>
      </c>
      <c r="C24" s="15" t="s">
        <v>552</v>
      </c>
      <c r="D24" s="16" t="s">
        <v>553</v>
      </c>
      <c r="E24" s="17">
        <v>2</v>
      </c>
      <c r="F24" s="18" t="s">
        <v>45</v>
      </c>
      <c r="G24" s="16" t="s">
        <v>931</v>
      </c>
      <c r="H24" s="16"/>
    </row>
    <row r="25" spans="1:8" ht="65.650000000000006" customHeight="1" x14ac:dyDescent="0.25">
      <c r="A25" s="19" t="s">
        <v>534</v>
      </c>
      <c r="B25" s="19" t="s">
        <v>535</v>
      </c>
      <c r="C25" s="20" t="s">
        <v>554</v>
      </c>
      <c r="D25" s="21" t="s">
        <v>555</v>
      </c>
      <c r="E25" s="17">
        <v>2</v>
      </c>
      <c r="F25" s="18" t="s">
        <v>893</v>
      </c>
      <c r="G25" s="21" t="s">
        <v>939</v>
      </c>
      <c r="H25" s="21"/>
    </row>
    <row r="26" spans="1:8" ht="45" x14ac:dyDescent="0.25">
      <c r="A26" s="14" t="s">
        <v>534</v>
      </c>
      <c r="B26" s="14" t="s">
        <v>535</v>
      </c>
      <c r="C26" s="15" t="s">
        <v>556</v>
      </c>
      <c r="D26" s="16" t="s">
        <v>557</v>
      </c>
      <c r="E26" s="17">
        <v>2</v>
      </c>
      <c r="F26" s="18" t="s">
        <v>893</v>
      </c>
      <c r="G26" s="16" t="s">
        <v>940</v>
      </c>
      <c r="H26" s="16"/>
    </row>
    <row r="27" spans="1:8" ht="75" x14ac:dyDescent="0.25">
      <c r="A27" s="19" t="s">
        <v>534</v>
      </c>
      <c r="B27" s="19" t="s">
        <v>535</v>
      </c>
      <c r="C27" s="20" t="s">
        <v>558</v>
      </c>
      <c r="D27" s="21" t="s">
        <v>559</v>
      </c>
      <c r="E27" s="23">
        <v>3</v>
      </c>
      <c r="F27" s="18" t="s">
        <v>893</v>
      </c>
      <c r="G27" s="21" t="s">
        <v>941</v>
      </c>
      <c r="H27" s="21"/>
    </row>
    <row r="28" spans="1:8" ht="30" x14ac:dyDescent="0.25">
      <c r="A28" s="14" t="s">
        <v>534</v>
      </c>
      <c r="B28" s="14" t="s">
        <v>535</v>
      </c>
      <c r="C28" s="15" t="s">
        <v>560</v>
      </c>
      <c r="D28" s="16" t="s">
        <v>561</v>
      </c>
      <c r="E28" s="23">
        <v>3</v>
      </c>
      <c r="F28" s="18" t="s">
        <v>893</v>
      </c>
      <c r="G28" s="16" t="s">
        <v>942</v>
      </c>
      <c r="H28" s="16"/>
    </row>
    <row r="29" spans="1:8" ht="30" customHeight="1" x14ac:dyDescent="0.25">
      <c r="A29" s="19" t="s">
        <v>534</v>
      </c>
      <c r="B29" s="19" t="s">
        <v>535</v>
      </c>
      <c r="C29" s="20" t="s">
        <v>562</v>
      </c>
      <c r="D29" s="21" t="s">
        <v>563</v>
      </c>
      <c r="E29" s="23">
        <v>3</v>
      </c>
      <c r="F29" s="18" t="s">
        <v>893</v>
      </c>
      <c r="G29" s="21" t="s">
        <v>946</v>
      </c>
      <c r="H29" s="21"/>
    </row>
    <row r="30" spans="1:8" ht="30" customHeight="1" x14ac:dyDescent="0.25">
      <c r="A30" s="14" t="s">
        <v>534</v>
      </c>
      <c r="B30" s="14" t="s">
        <v>535</v>
      </c>
      <c r="C30" s="15" t="s">
        <v>564</v>
      </c>
      <c r="D30" s="16" t="s">
        <v>565</v>
      </c>
      <c r="E30" s="23">
        <v>3</v>
      </c>
      <c r="F30" s="18" t="s">
        <v>893</v>
      </c>
      <c r="G30" s="16" t="s">
        <v>943</v>
      </c>
      <c r="H30" s="16"/>
    </row>
    <row r="31" spans="1:8" ht="30" customHeight="1" x14ac:dyDescent="0.25">
      <c r="A31" s="19" t="s">
        <v>534</v>
      </c>
      <c r="B31" s="19" t="s">
        <v>535</v>
      </c>
      <c r="C31" s="20" t="s">
        <v>566</v>
      </c>
      <c r="D31" s="21" t="s">
        <v>567</v>
      </c>
      <c r="E31" s="23">
        <v>3</v>
      </c>
      <c r="F31" s="18" t="s">
        <v>893</v>
      </c>
      <c r="G31" s="21" t="s">
        <v>944</v>
      </c>
      <c r="H31" s="21"/>
    </row>
    <row r="32" spans="1:8" ht="18" customHeight="1" x14ac:dyDescent="0.25">
      <c r="A32" s="13" t="s">
        <v>568</v>
      </c>
      <c r="B32" s="13" t="s">
        <v>569</v>
      </c>
      <c r="C32" s="13"/>
      <c r="D32" s="13"/>
      <c r="E32" s="13"/>
      <c r="F32" s="13"/>
      <c r="G32" s="13"/>
      <c r="H32" s="13"/>
    </row>
    <row r="33" spans="1:8" ht="90" x14ac:dyDescent="0.25">
      <c r="A33" s="14" t="s">
        <v>568</v>
      </c>
      <c r="B33" s="14" t="s">
        <v>569</v>
      </c>
      <c r="C33" s="15" t="s">
        <v>570</v>
      </c>
      <c r="D33" s="16" t="s">
        <v>571</v>
      </c>
      <c r="E33" s="17">
        <v>2</v>
      </c>
      <c r="F33" s="18" t="s">
        <v>893</v>
      </c>
      <c r="G33" s="16" t="s">
        <v>945</v>
      </c>
      <c r="H33" s="16"/>
    </row>
    <row r="34" spans="1:8" ht="60" x14ac:dyDescent="0.25">
      <c r="A34" s="19" t="s">
        <v>568</v>
      </c>
      <c r="B34" s="19" t="s">
        <v>569</v>
      </c>
      <c r="C34" s="20" t="s">
        <v>572</v>
      </c>
      <c r="D34" s="21" t="s">
        <v>573</v>
      </c>
      <c r="E34" s="17">
        <v>2</v>
      </c>
      <c r="F34" s="18" t="s">
        <v>893</v>
      </c>
      <c r="G34" s="21" t="s">
        <v>947</v>
      </c>
      <c r="H34" s="21"/>
    </row>
    <row r="35" spans="1:8" ht="90" x14ac:dyDescent="0.25">
      <c r="A35" s="14" t="s">
        <v>568</v>
      </c>
      <c r="B35" s="14" t="s">
        <v>569</v>
      </c>
      <c r="C35" s="15" t="s">
        <v>574</v>
      </c>
      <c r="D35" s="16" t="s">
        <v>575</v>
      </c>
      <c r="E35" s="17">
        <v>2</v>
      </c>
      <c r="F35" s="18" t="s">
        <v>893</v>
      </c>
      <c r="G35" s="16" t="s">
        <v>952</v>
      </c>
      <c r="H35" s="16"/>
    </row>
    <row r="36" spans="1:8" ht="45" x14ac:dyDescent="0.25">
      <c r="A36" s="19" t="s">
        <v>568</v>
      </c>
      <c r="B36" s="19" t="s">
        <v>569</v>
      </c>
      <c r="C36" s="20" t="s">
        <v>576</v>
      </c>
      <c r="D36" s="21" t="s">
        <v>577</v>
      </c>
      <c r="E36" s="17">
        <v>2</v>
      </c>
      <c r="F36" s="18" t="s">
        <v>893</v>
      </c>
      <c r="G36" s="21" t="s">
        <v>953</v>
      </c>
      <c r="H36" s="21"/>
    </row>
    <row r="37" spans="1:8" ht="105" x14ac:dyDescent="0.25">
      <c r="A37" s="14" t="s">
        <v>568</v>
      </c>
      <c r="B37" s="14" t="s">
        <v>569</v>
      </c>
      <c r="C37" s="15" t="s">
        <v>578</v>
      </c>
      <c r="D37" s="16" t="s">
        <v>579</v>
      </c>
      <c r="E37" s="17">
        <v>2</v>
      </c>
      <c r="F37" s="18" t="s">
        <v>893</v>
      </c>
      <c r="G37" s="16" t="s">
        <v>954</v>
      </c>
      <c r="H37" s="16"/>
    </row>
    <row r="38" spans="1:8" ht="18" customHeight="1" x14ac:dyDescent="0.25">
      <c r="A38" s="13" t="s">
        <v>580</v>
      </c>
      <c r="B38" s="13" t="s">
        <v>581</v>
      </c>
      <c r="C38" s="13"/>
      <c r="D38" s="13"/>
      <c r="E38" s="13"/>
      <c r="F38" s="13"/>
      <c r="G38" s="13"/>
      <c r="H38" s="13"/>
    </row>
    <row r="39" spans="1:8" ht="30" customHeight="1" x14ac:dyDescent="0.25">
      <c r="A39" s="14" t="s">
        <v>580</v>
      </c>
      <c r="B39" s="14" t="s">
        <v>581</v>
      </c>
      <c r="C39" s="15" t="s">
        <v>582</v>
      </c>
      <c r="D39" s="16" t="s">
        <v>583</v>
      </c>
      <c r="E39" s="17">
        <v>2</v>
      </c>
      <c r="F39" s="18" t="s">
        <v>893</v>
      </c>
      <c r="G39" s="16" t="s">
        <v>948</v>
      </c>
      <c r="H39" s="16"/>
    </row>
    <row r="40" spans="1:8" ht="40.5" customHeight="1" x14ac:dyDescent="0.25">
      <c r="A40" s="19" t="s">
        <v>580</v>
      </c>
      <c r="B40" s="19" t="s">
        <v>581</v>
      </c>
      <c r="C40" s="20" t="s">
        <v>584</v>
      </c>
      <c r="D40" s="21" t="s">
        <v>585</v>
      </c>
      <c r="E40" s="17">
        <v>2</v>
      </c>
      <c r="F40" s="18" t="s">
        <v>893</v>
      </c>
      <c r="G40" s="21" t="s">
        <v>948</v>
      </c>
      <c r="H40" s="21"/>
    </row>
    <row r="41" spans="1:8" ht="18" customHeight="1" x14ac:dyDescent="0.25">
      <c r="A41" s="13" t="s">
        <v>586</v>
      </c>
      <c r="B41" s="13" t="s">
        <v>587</v>
      </c>
      <c r="C41" s="13"/>
      <c r="D41" s="13"/>
      <c r="E41" s="13"/>
      <c r="F41" s="13"/>
      <c r="G41" s="13"/>
      <c r="H41" s="13"/>
    </row>
    <row r="42" spans="1:8" ht="75" x14ac:dyDescent="0.25">
      <c r="A42" s="14" t="s">
        <v>586</v>
      </c>
      <c r="B42" s="14" t="s">
        <v>587</v>
      </c>
      <c r="C42" s="15" t="s">
        <v>588</v>
      </c>
      <c r="D42" s="16" t="s">
        <v>589</v>
      </c>
      <c r="E42" s="17">
        <v>2</v>
      </c>
      <c r="F42" s="18" t="s">
        <v>893</v>
      </c>
      <c r="G42" s="16" t="s">
        <v>951</v>
      </c>
      <c r="H42" s="16"/>
    </row>
    <row r="43" spans="1:8" ht="105" x14ac:dyDescent="0.25">
      <c r="A43" s="19" t="s">
        <v>586</v>
      </c>
      <c r="B43" s="19" t="s">
        <v>587</v>
      </c>
      <c r="C43" s="20" t="s">
        <v>590</v>
      </c>
      <c r="D43" s="21" t="s">
        <v>591</v>
      </c>
      <c r="E43" s="17">
        <v>2</v>
      </c>
      <c r="F43" s="18" t="s">
        <v>893</v>
      </c>
      <c r="G43" s="21" t="s">
        <v>949</v>
      </c>
      <c r="H43" s="21"/>
    </row>
    <row r="44" spans="1:8" ht="60" x14ac:dyDescent="0.25">
      <c r="A44" s="14" t="s">
        <v>586</v>
      </c>
      <c r="B44" s="14" t="s">
        <v>587</v>
      </c>
      <c r="C44" s="15" t="s">
        <v>592</v>
      </c>
      <c r="D44" s="16" t="s">
        <v>593</v>
      </c>
      <c r="E44" s="17">
        <v>2</v>
      </c>
      <c r="F44" s="18" t="s">
        <v>893</v>
      </c>
      <c r="G44" s="16" t="s">
        <v>950</v>
      </c>
      <c r="H44" s="16"/>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28" activePane="bottomLeft" state="frozen"/>
      <selection pane="bottomLeft" activeCell="F32" sqref="F32"/>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33</v>
      </c>
      <c r="B1" s="12" t="s">
        <v>34</v>
      </c>
      <c r="C1" s="12" t="s">
        <v>35</v>
      </c>
      <c r="D1" s="12" t="s">
        <v>36</v>
      </c>
      <c r="E1" s="12" t="s">
        <v>37</v>
      </c>
      <c r="F1" s="12" t="s">
        <v>38</v>
      </c>
      <c r="G1" s="12" t="s">
        <v>39</v>
      </c>
      <c r="H1" s="12" t="s">
        <v>40</v>
      </c>
    </row>
    <row r="2" spans="1:8" x14ac:dyDescent="0.25">
      <c r="A2" s="13" t="s">
        <v>594</v>
      </c>
      <c r="B2" s="13" t="s">
        <v>595</v>
      </c>
      <c r="C2" s="13"/>
      <c r="D2" s="13"/>
      <c r="E2" s="13"/>
      <c r="F2" s="13"/>
      <c r="G2" s="13"/>
      <c r="H2" s="13"/>
    </row>
    <row r="3" spans="1:8" ht="210" x14ac:dyDescent="0.25">
      <c r="A3" s="14" t="s">
        <v>594</v>
      </c>
      <c r="B3" s="14" t="s">
        <v>595</v>
      </c>
      <c r="C3" s="15" t="s">
        <v>596</v>
      </c>
      <c r="D3" s="16" t="s">
        <v>597</v>
      </c>
      <c r="E3" s="17">
        <v>2</v>
      </c>
      <c r="F3" s="18" t="s">
        <v>892</v>
      </c>
      <c r="G3" s="16" t="s">
        <v>973</v>
      </c>
      <c r="H3" s="16"/>
    </row>
    <row r="4" spans="1:8" ht="180" x14ac:dyDescent="0.25">
      <c r="A4" s="19" t="s">
        <v>594</v>
      </c>
      <c r="B4" s="19" t="s">
        <v>595</v>
      </c>
      <c r="C4" s="20" t="s">
        <v>598</v>
      </c>
      <c r="D4" s="21" t="s">
        <v>599</v>
      </c>
      <c r="E4" s="17">
        <v>2</v>
      </c>
      <c r="F4" s="18" t="s">
        <v>892</v>
      </c>
      <c r="G4" s="16" t="s">
        <v>974</v>
      </c>
      <c r="H4" s="21"/>
    </row>
    <row r="5" spans="1:8" ht="45" x14ac:dyDescent="0.25">
      <c r="A5" s="14" t="s">
        <v>594</v>
      </c>
      <c r="B5" s="14" t="s">
        <v>595</v>
      </c>
      <c r="C5" s="15" t="s">
        <v>600</v>
      </c>
      <c r="D5" s="16" t="s">
        <v>601</v>
      </c>
      <c r="E5" s="23">
        <v>3</v>
      </c>
      <c r="F5" s="18" t="s">
        <v>893</v>
      </c>
      <c r="G5" s="21"/>
      <c r="H5" s="16"/>
    </row>
    <row r="6" spans="1:8" ht="60" x14ac:dyDescent="0.25">
      <c r="A6" s="19" t="s">
        <v>594</v>
      </c>
      <c r="B6" s="19" t="s">
        <v>595</v>
      </c>
      <c r="C6" s="20" t="s">
        <v>602</v>
      </c>
      <c r="D6" s="21" t="s">
        <v>603</v>
      </c>
      <c r="E6" s="23">
        <v>3</v>
      </c>
      <c r="F6" s="18" t="s">
        <v>893</v>
      </c>
      <c r="G6" s="16"/>
      <c r="H6" s="21"/>
    </row>
    <row r="7" spans="1:8" x14ac:dyDescent="0.25">
      <c r="A7" s="13" t="s">
        <v>604</v>
      </c>
      <c r="B7" s="13" t="s">
        <v>605</v>
      </c>
      <c r="C7" s="13"/>
      <c r="D7" s="13"/>
      <c r="E7" s="13"/>
      <c r="F7" s="13"/>
      <c r="G7" s="13"/>
      <c r="H7" s="13"/>
    </row>
    <row r="8" spans="1:8" ht="165" x14ac:dyDescent="0.25">
      <c r="A8" s="14" t="s">
        <v>604</v>
      </c>
      <c r="B8" s="14" t="s">
        <v>605</v>
      </c>
      <c r="C8" s="15" t="s">
        <v>606</v>
      </c>
      <c r="D8" s="16" t="s">
        <v>607</v>
      </c>
      <c r="E8" s="17">
        <v>2</v>
      </c>
      <c r="F8" s="18" t="s">
        <v>892</v>
      </c>
      <c r="G8" s="16" t="s">
        <v>975</v>
      </c>
      <c r="H8" s="16"/>
    </row>
    <row r="9" spans="1:8" ht="225" x14ac:dyDescent="0.25">
      <c r="A9" s="19" t="s">
        <v>604</v>
      </c>
      <c r="B9" s="19" t="s">
        <v>605</v>
      </c>
      <c r="C9" s="20" t="s">
        <v>608</v>
      </c>
      <c r="D9" s="21" t="s">
        <v>609</v>
      </c>
      <c r="E9" s="17">
        <v>2</v>
      </c>
      <c r="F9" s="18" t="s">
        <v>892</v>
      </c>
      <c r="G9" s="21" t="s">
        <v>976</v>
      </c>
      <c r="H9" s="21"/>
    </row>
    <row r="10" spans="1:8" ht="150" x14ac:dyDescent="0.25">
      <c r="A10" s="14" t="s">
        <v>604</v>
      </c>
      <c r="B10" s="14" t="s">
        <v>605</v>
      </c>
      <c r="C10" s="15" t="s">
        <v>610</v>
      </c>
      <c r="D10" s="16" t="s">
        <v>611</v>
      </c>
      <c r="E10" s="17">
        <v>2</v>
      </c>
      <c r="F10" s="18" t="s">
        <v>892</v>
      </c>
      <c r="G10" s="16" t="s">
        <v>977</v>
      </c>
      <c r="H10" s="16"/>
    </row>
    <row r="11" spans="1:8" ht="240" x14ac:dyDescent="0.25">
      <c r="A11" s="19" t="s">
        <v>604</v>
      </c>
      <c r="B11" s="19" t="s">
        <v>605</v>
      </c>
      <c r="C11" s="20" t="s">
        <v>612</v>
      </c>
      <c r="D11" s="21" t="s">
        <v>613</v>
      </c>
      <c r="E11" s="23">
        <v>3</v>
      </c>
      <c r="F11" s="18" t="s">
        <v>892</v>
      </c>
      <c r="G11" s="21" t="s">
        <v>978</v>
      </c>
      <c r="H11" s="21"/>
    </row>
    <row r="12" spans="1:8" ht="195" x14ac:dyDescent="0.25">
      <c r="A12" s="14" t="s">
        <v>604</v>
      </c>
      <c r="B12" s="14" t="s">
        <v>605</v>
      </c>
      <c r="C12" s="15" t="s">
        <v>614</v>
      </c>
      <c r="D12" s="16" t="s">
        <v>615</v>
      </c>
      <c r="E12" s="23">
        <v>3</v>
      </c>
      <c r="F12" s="18" t="s">
        <v>893</v>
      </c>
      <c r="G12" s="16" t="s">
        <v>979</v>
      </c>
      <c r="H12" s="16"/>
    </row>
    <row r="13" spans="1:8" x14ac:dyDescent="0.25">
      <c r="A13" s="13" t="s">
        <v>616</v>
      </c>
      <c r="B13" s="13" t="s">
        <v>617</v>
      </c>
      <c r="C13" s="13"/>
      <c r="D13" s="13"/>
      <c r="E13" s="13"/>
      <c r="F13" s="13"/>
      <c r="G13" s="13"/>
      <c r="H13" s="13"/>
    </row>
    <row r="14" spans="1:8" ht="150" x14ac:dyDescent="0.25">
      <c r="A14" s="14" t="s">
        <v>616</v>
      </c>
      <c r="B14" s="14" t="s">
        <v>617</v>
      </c>
      <c r="C14" s="15" t="s">
        <v>618</v>
      </c>
      <c r="D14" s="16" t="s">
        <v>619</v>
      </c>
      <c r="E14" s="22">
        <v>1</v>
      </c>
      <c r="F14" s="18" t="s">
        <v>892</v>
      </c>
      <c r="G14" s="16" t="s">
        <v>980</v>
      </c>
      <c r="H14" s="16"/>
    </row>
    <row r="15" spans="1:8" ht="150" x14ac:dyDescent="0.25">
      <c r="A15" s="19" t="s">
        <v>616</v>
      </c>
      <c r="B15" s="19" t="s">
        <v>617</v>
      </c>
      <c r="C15" s="20" t="s">
        <v>620</v>
      </c>
      <c r="D15" s="21" t="s">
        <v>621</v>
      </c>
      <c r="E15" s="22">
        <v>1</v>
      </c>
      <c r="F15" s="18" t="s">
        <v>892</v>
      </c>
      <c r="G15" s="21" t="s">
        <v>981</v>
      </c>
      <c r="H15" s="21"/>
    </row>
    <row r="16" spans="1:8" ht="150" x14ac:dyDescent="0.25">
      <c r="A16" s="14" t="s">
        <v>616</v>
      </c>
      <c r="B16" s="14" t="s">
        <v>617</v>
      </c>
      <c r="C16" s="15" t="s">
        <v>622</v>
      </c>
      <c r="D16" s="16" t="s">
        <v>623</v>
      </c>
      <c r="E16" s="17">
        <v>2</v>
      </c>
      <c r="F16" s="18" t="s">
        <v>892</v>
      </c>
      <c r="G16" s="16" t="s">
        <v>982</v>
      </c>
      <c r="H16" s="16"/>
    </row>
    <row r="17" spans="1:8" ht="60" x14ac:dyDescent="0.25">
      <c r="A17" s="19" t="s">
        <v>616</v>
      </c>
      <c r="B17" s="19" t="s">
        <v>617</v>
      </c>
      <c r="C17" s="20" t="s">
        <v>624</v>
      </c>
      <c r="D17" s="21" t="s">
        <v>625</v>
      </c>
      <c r="E17" s="23">
        <v>3</v>
      </c>
      <c r="F17" s="18" t="s">
        <v>893</v>
      </c>
      <c r="G17" s="21"/>
      <c r="H17" s="21"/>
    </row>
    <row r="18" spans="1:8" ht="195" x14ac:dyDescent="0.25">
      <c r="A18" s="14" t="s">
        <v>616</v>
      </c>
      <c r="B18" s="14" t="s">
        <v>617</v>
      </c>
      <c r="C18" s="15" t="s">
        <v>626</v>
      </c>
      <c r="D18" s="16" t="s">
        <v>627</v>
      </c>
      <c r="E18" s="23">
        <v>3</v>
      </c>
      <c r="F18" s="18" t="s">
        <v>893</v>
      </c>
      <c r="G18" s="21" t="s">
        <v>983</v>
      </c>
      <c r="H18" s="16"/>
    </row>
    <row r="19" spans="1:8" x14ac:dyDescent="0.25">
      <c r="A19" s="13" t="s">
        <v>628</v>
      </c>
      <c r="B19" s="13" t="s">
        <v>629</v>
      </c>
      <c r="C19" s="13"/>
      <c r="D19" s="13"/>
      <c r="E19" s="13"/>
      <c r="F19" s="13"/>
      <c r="G19" s="13"/>
      <c r="H19" s="13"/>
    </row>
    <row r="20" spans="1:8" ht="135" x14ac:dyDescent="0.25">
      <c r="A20" s="14" t="s">
        <v>628</v>
      </c>
      <c r="B20" s="14" t="s">
        <v>629</v>
      </c>
      <c r="C20" s="15" t="s">
        <v>630</v>
      </c>
      <c r="D20" s="16" t="s">
        <v>631</v>
      </c>
      <c r="E20" s="22">
        <v>1</v>
      </c>
      <c r="F20" s="18" t="s">
        <v>892</v>
      </c>
      <c r="G20" s="27" t="s">
        <v>984</v>
      </c>
      <c r="H20" s="16"/>
    </row>
    <row r="21" spans="1:8" ht="195" x14ac:dyDescent="0.25">
      <c r="A21" s="19" t="s">
        <v>628</v>
      </c>
      <c r="B21" s="19" t="s">
        <v>629</v>
      </c>
      <c r="C21" s="20" t="s">
        <v>632</v>
      </c>
      <c r="D21" s="21" t="s">
        <v>633</v>
      </c>
      <c r="E21" s="17">
        <v>2</v>
      </c>
      <c r="F21" s="18" t="s">
        <v>892</v>
      </c>
      <c r="G21" s="27" t="s">
        <v>985</v>
      </c>
      <c r="H21" s="21"/>
    </row>
    <row r="22" spans="1:8" ht="180" x14ac:dyDescent="0.25">
      <c r="A22" s="14" t="s">
        <v>628</v>
      </c>
      <c r="B22" s="14" t="s">
        <v>629</v>
      </c>
      <c r="C22" s="15" t="s">
        <v>634</v>
      </c>
      <c r="D22" s="16" t="s">
        <v>635</v>
      </c>
      <c r="E22" s="17">
        <v>2</v>
      </c>
      <c r="F22" s="18" t="s">
        <v>892</v>
      </c>
      <c r="G22" s="27" t="s">
        <v>986</v>
      </c>
      <c r="H22" s="16"/>
    </row>
    <row r="23" spans="1:8" ht="180" x14ac:dyDescent="0.25">
      <c r="A23" s="19" t="s">
        <v>628</v>
      </c>
      <c r="B23" s="19" t="s">
        <v>629</v>
      </c>
      <c r="C23" s="20" t="s">
        <v>636</v>
      </c>
      <c r="D23" s="21" t="s">
        <v>637</v>
      </c>
      <c r="E23" s="17">
        <v>2</v>
      </c>
      <c r="F23" s="18" t="s">
        <v>892</v>
      </c>
      <c r="G23" s="21" t="s">
        <v>987</v>
      </c>
      <c r="H23" s="21"/>
    </row>
    <row r="24" spans="1:8" x14ac:dyDescent="0.25">
      <c r="A24" s="13" t="s">
        <v>638</v>
      </c>
      <c r="B24" s="13" t="s">
        <v>639</v>
      </c>
      <c r="C24" s="13"/>
      <c r="D24" s="13"/>
      <c r="E24" s="13"/>
      <c r="F24" s="13"/>
      <c r="G24" s="13"/>
      <c r="H24" s="13"/>
    </row>
    <row r="25" spans="1:8" ht="210" x14ac:dyDescent="0.25">
      <c r="A25" s="14" t="s">
        <v>638</v>
      </c>
      <c r="B25" s="14" t="s">
        <v>639</v>
      </c>
      <c r="C25" s="15" t="s">
        <v>640</v>
      </c>
      <c r="D25" s="16" t="s">
        <v>641</v>
      </c>
      <c r="E25" s="17">
        <v>2</v>
      </c>
      <c r="F25" s="18" t="s">
        <v>892</v>
      </c>
      <c r="G25" s="16" t="s">
        <v>988</v>
      </c>
      <c r="H25" s="16"/>
    </row>
    <row r="26" spans="1:8" ht="210" x14ac:dyDescent="0.25">
      <c r="A26" s="19" t="s">
        <v>638</v>
      </c>
      <c r="B26" s="19" t="s">
        <v>639</v>
      </c>
      <c r="C26" s="20" t="s">
        <v>642</v>
      </c>
      <c r="D26" s="21" t="s">
        <v>643</v>
      </c>
      <c r="E26" s="23">
        <v>3</v>
      </c>
      <c r="F26" s="18" t="s">
        <v>892</v>
      </c>
      <c r="G26" s="21" t="s">
        <v>989</v>
      </c>
      <c r="H26" s="21"/>
    </row>
    <row r="27" spans="1:8" x14ac:dyDescent="0.25">
      <c r="A27" s="13" t="s">
        <v>644</v>
      </c>
      <c r="B27" s="13" t="s">
        <v>645</v>
      </c>
      <c r="C27" s="13"/>
      <c r="D27" s="13"/>
      <c r="E27" s="13"/>
      <c r="F27" s="13"/>
      <c r="G27" s="13"/>
      <c r="H27" s="13"/>
    </row>
    <row r="28" spans="1:8" ht="210" x14ac:dyDescent="0.25">
      <c r="A28" s="14" t="s">
        <v>644</v>
      </c>
      <c r="B28" s="14" t="s">
        <v>645</v>
      </c>
      <c r="C28" s="15" t="s">
        <v>646</v>
      </c>
      <c r="D28" s="16" t="s">
        <v>647</v>
      </c>
      <c r="E28" s="17">
        <v>2</v>
      </c>
      <c r="F28" s="18" t="s">
        <v>892</v>
      </c>
      <c r="G28" s="16" t="s">
        <v>990</v>
      </c>
      <c r="H28" s="16"/>
    </row>
    <row r="29" spans="1:8" ht="150" x14ac:dyDescent="0.25">
      <c r="A29" s="19" t="s">
        <v>644</v>
      </c>
      <c r="B29" s="19" t="s">
        <v>645</v>
      </c>
      <c r="C29" s="20" t="s">
        <v>648</v>
      </c>
      <c r="D29" s="21" t="s">
        <v>649</v>
      </c>
      <c r="E29" s="23">
        <v>3</v>
      </c>
      <c r="F29" s="18" t="s">
        <v>893</v>
      </c>
      <c r="G29" s="21" t="s">
        <v>991</v>
      </c>
      <c r="H29" s="21"/>
    </row>
    <row r="30" spans="1:8" x14ac:dyDescent="0.25">
      <c r="A30" s="13" t="s">
        <v>650</v>
      </c>
      <c r="B30" s="13" t="s">
        <v>651</v>
      </c>
      <c r="C30" s="13"/>
      <c r="D30" s="13"/>
      <c r="E30" s="13"/>
      <c r="F30" s="13"/>
      <c r="G30" s="13"/>
      <c r="H30" s="13"/>
    </row>
    <row r="31" spans="1:8" ht="210" x14ac:dyDescent="0.25">
      <c r="A31" s="14" t="s">
        <v>650</v>
      </c>
      <c r="B31" s="14" t="s">
        <v>651</v>
      </c>
      <c r="C31" s="15" t="s">
        <v>652</v>
      </c>
      <c r="D31" s="16" t="s">
        <v>653</v>
      </c>
      <c r="E31" s="23">
        <v>3</v>
      </c>
      <c r="F31" s="18" t="s">
        <v>893</v>
      </c>
      <c r="G31" s="16" t="s">
        <v>992</v>
      </c>
      <c r="H31" s="16"/>
    </row>
    <row r="32" spans="1:8" ht="45" x14ac:dyDescent="0.25">
      <c r="A32" s="19" t="s">
        <v>650</v>
      </c>
      <c r="B32" s="19" t="s">
        <v>651</v>
      </c>
      <c r="C32" s="20" t="s">
        <v>654</v>
      </c>
      <c r="D32" s="21" t="s">
        <v>655</v>
      </c>
      <c r="E32" s="23">
        <v>3</v>
      </c>
      <c r="F32" s="18" t="s">
        <v>893</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85" zoomScaleNormal="85" workbookViewId="0">
      <pane ySplit="1" topLeftCell="A2" activePane="bottomLeft" state="frozen"/>
      <selection pane="bottomLeft" activeCell="F9" sqref="F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656</v>
      </c>
      <c r="B2" s="13" t="s">
        <v>657</v>
      </c>
      <c r="C2" s="13"/>
      <c r="D2" s="13"/>
      <c r="E2" s="13"/>
      <c r="F2" s="13"/>
      <c r="G2" s="13"/>
      <c r="H2" s="13"/>
    </row>
    <row r="3" spans="1:8" ht="90" x14ac:dyDescent="0.25">
      <c r="A3" s="14" t="s">
        <v>656</v>
      </c>
      <c r="B3" s="14" t="s">
        <v>657</v>
      </c>
      <c r="C3" s="15" t="s">
        <v>658</v>
      </c>
      <c r="D3" s="16" t="s">
        <v>659</v>
      </c>
      <c r="E3" s="22">
        <v>1</v>
      </c>
      <c r="F3" s="18" t="s">
        <v>892</v>
      </c>
      <c r="G3" s="16" t="s">
        <v>918</v>
      </c>
      <c r="H3" s="16"/>
    </row>
    <row r="4" spans="1:8" ht="90" x14ac:dyDescent="0.25">
      <c r="A4" s="19" t="s">
        <v>656</v>
      </c>
      <c r="B4" s="19" t="s">
        <v>657</v>
      </c>
      <c r="C4" s="20" t="s">
        <v>660</v>
      </c>
      <c r="D4" s="21" t="s">
        <v>661</v>
      </c>
      <c r="E4" s="17">
        <v>2</v>
      </c>
      <c r="F4" s="18" t="s">
        <v>892</v>
      </c>
      <c r="G4" s="21" t="s">
        <v>1119</v>
      </c>
      <c r="H4" s="21"/>
    </row>
    <row r="5" spans="1:8" ht="60" x14ac:dyDescent="0.25">
      <c r="A5" s="14" t="s">
        <v>656</v>
      </c>
      <c r="B5" s="14" t="s">
        <v>657</v>
      </c>
      <c r="C5" s="15" t="s">
        <v>662</v>
      </c>
      <c r="D5" s="16" t="s">
        <v>663</v>
      </c>
      <c r="E5" s="17">
        <v>2</v>
      </c>
      <c r="F5" s="18" t="s">
        <v>893</v>
      </c>
      <c r="G5" s="16" t="s">
        <v>919</v>
      </c>
      <c r="H5" s="16"/>
    </row>
    <row r="6" spans="1:8" ht="30" customHeight="1" x14ac:dyDescent="0.25">
      <c r="A6" s="19" t="s">
        <v>656</v>
      </c>
      <c r="B6" s="19" t="s">
        <v>657</v>
      </c>
      <c r="C6" s="20" t="s">
        <v>664</v>
      </c>
      <c r="D6" s="21" t="s">
        <v>665</v>
      </c>
      <c r="E6" s="23">
        <v>3</v>
      </c>
      <c r="F6" s="18" t="s">
        <v>893</v>
      </c>
      <c r="G6" s="21"/>
      <c r="H6" s="21"/>
    </row>
    <row r="7" spans="1:8" ht="30" customHeight="1" x14ac:dyDescent="0.25">
      <c r="A7" s="14" t="s">
        <v>656</v>
      </c>
      <c r="B7" s="14" t="s">
        <v>657</v>
      </c>
      <c r="C7" s="15" t="s">
        <v>666</v>
      </c>
      <c r="D7" s="16" t="s">
        <v>667</v>
      </c>
      <c r="E7" s="23">
        <v>3</v>
      </c>
      <c r="F7" s="18" t="s">
        <v>893</v>
      </c>
      <c r="G7" s="16"/>
      <c r="H7" s="16"/>
    </row>
    <row r="8" spans="1:8" ht="18" customHeight="1" x14ac:dyDescent="0.25">
      <c r="A8" s="13" t="s">
        <v>668</v>
      </c>
      <c r="B8" s="13" t="s">
        <v>669</v>
      </c>
      <c r="C8" s="13"/>
      <c r="D8" s="13"/>
      <c r="E8" s="13"/>
      <c r="F8" s="13"/>
      <c r="G8" s="13"/>
      <c r="H8" s="13"/>
    </row>
    <row r="9" spans="1:8" ht="90" x14ac:dyDescent="0.25">
      <c r="A9" s="14" t="s">
        <v>668</v>
      </c>
      <c r="B9" s="14" t="s">
        <v>669</v>
      </c>
      <c r="C9" s="15" t="s">
        <v>670</v>
      </c>
      <c r="D9" s="16" t="s">
        <v>671</v>
      </c>
      <c r="E9" s="22">
        <v>1</v>
      </c>
      <c r="F9" s="18" t="s">
        <v>892</v>
      </c>
      <c r="G9" s="16" t="s">
        <v>1120</v>
      </c>
      <c r="H9" s="16"/>
    </row>
    <row r="10" spans="1:8" ht="90" x14ac:dyDescent="0.25">
      <c r="A10" s="19" t="s">
        <v>668</v>
      </c>
      <c r="B10" s="19" t="s">
        <v>669</v>
      </c>
      <c r="C10" s="20" t="s">
        <v>672</v>
      </c>
      <c r="D10" s="21" t="s">
        <v>673</v>
      </c>
      <c r="E10" s="22">
        <v>1</v>
      </c>
      <c r="F10" s="18" t="s">
        <v>892</v>
      </c>
      <c r="G10" s="21" t="s">
        <v>1121</v>
      </c>
      <c r="H10" s="21"/>
    </row>
    <row r="11" spans="1:8" ht="18" customHeight="1" x14ac:dyDescent="0.25">
      <c r="A11" s="13" t="s">
        <v>674</v>
      </c>
      <c r="B11" s="13" t="s">
        <v>675</v>
      </c>
      <c r="C11" s="13"/>
      <c r="D11" s="13"/>
      <c r="E11" s="13"/>
      <c r="F11" s="13"/>
      <c r="G11" s="13"/>
      <c r="H11" s="13"/>
    </row>
    <row r="12" spans="1:8" ht="30" customHeight="1" x14ac:dyDescent="0.25">
      <c r="A12" s="14" t="s">
        <v>674</v>
      </c>
      <c r="B12" s="14" t="s">
        <v>675</v>
      </c>
      <c r="C12" s="15" t="s">
        <v>676</v>
      </c>
      <c r="D12" s="16" t="s">
        <v>677</v>
      </c>
      <c r="E12" s="17">
        <v>2</v>
      </c>
      <c r="F12" s="18" t="s">
        <v>892</v>
      </c>
      <c r="G12" s="16" t="s">
        <v>1123</v>
      </c>
      <c r="H12" s="16"/>
    </row>
    <row r="13" spans="1:8" ht="30" customHeight="1" x14ac:dyDescent="0.25">
      <c r="A13" s="19" t="s">
        <v>674</v>
      </c>
      <c r="B13" s="19" t="s">
        <v>675</v>
      </c>
      <c r="C13" s="20" t="s">
        <v>678</v>
      </c>
      <c r="D13" s="21" t="s">
        <v>679</v>
      </c>
      <c r="E13" s="17">
        <v>2</v>
      </c>
      <c r="F13" s="18" t="s">
        <v>892</v>
      </c>
      <c r="G13" s="21" t="s">
        <v>1124</v>
      </c>
      <c r="H13" s="21"/>
    </row>
    <row r="14" spans="1:8" ht="30" customHeight="1" x14ac:dyDescent="0.25">
      <c r="A14" s="14" t="s">
        <v>674</v>
      </c>
      <c r="B14" s="14" t="s">
        <v>675</v>
      </c>
      <c r="C14" s="15" t="s">
        <v>680</v>
      </c>
      <c r="D14" s="16" t="s">
        <v>681</v>
      </c>
      <c r="E14" s="17">
        <v>2</v>
      </c>
      <c r="F14" s="18" t="s">
        <v>892</v>
      </c>
      <c r="G14" s="16" t="s">
        <v>1122</v>
      </c>
      <c r="H14" s="16"/>
    </row>
    <row r="15" spans="1:8" ht="75" x14ac:dyDescent="0.25">
      <c r="A15" s="19" t="s">
        <v>674</v>
      </c>
      <c r="B15" s="19" t="s">
        <v>675</v>
      </c>
      <c r="C15" s="20" t="s">
        <v>682</v>
      </c>
      <c r="D15" s="21" t="s">
        <v>683</v>
      </c>
      <c r="E15" s="17">
        <v>2</v>
      </c>
      <c r="F15" s="18" t="s">
        <v>892</v>
      </c>
      <c r="G15" s="21" t="s">
        <v>1125</v>
      </c>
      <c r="H15" s="21"/>
    </row>
    <row r="16" spans="1:8" ht="30" customHeight="1" x14ac:dyDescent="0.25">
      <c r="A16" s="14" t="s">
        <v>674</v>
      </c>
      <c r="B16" s="14" t="s">
        <v>675</v>
      </c>
      <c r="C16" s="15" t="s">
        <v>684</v>
      </c>
      <c r="D16" s="16" t="s">
        <v>685</v>
      </c>
      <c r="E16" s="23">
        <v>3</v>
      </c>
      <c r="F16" s="18" t="s">
        <v>893</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zoomScale="75" zoomScaleNormal="75" workbookViewId="0">
      <pane ySplit="1" topLeftCell="A2" activePane="bottomLeft" state="frozen"/>
      <selection pane="bottomLeft" activeCell="G24" sqref="G2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686</v>
      </c>
      <c r="B2" s="13" t="s">
        <v>687</v>
      </c>
      <c r="C2" s="13"/>
      <c r="D2" s="13"/>
      <c r="E2" s="13"/>
      <c r="F2" s="13"/>
      <c r="G2" s="13"/>
      <c r="H2" s="13"/>
    </row>
    <row r="3" spans="1:8" ht="30" customHeight="1" x14ac:dyDescent="0.25">
      <c r="A3" s="14" t="s">
        <v>686</v>
      </c>
      <c r="B3" s="14" t="s">
        <v>687</v>
      </c>
      <c r="C3" s="15" t="s">
        <v>688</v>
      </c>
      <c r="D3" s="16" t="s">
        <v>689</v>
      </c>
      <c r="E3" s="17">
        <v>2</v>
      </c>
      <c r="F3" s="18" t="s">
        <v>892</v>
      </c>
      <c r="G3" s="16" t="s">
        <v>1126</v>
      </c>
      <c r="H3" s="16"/>
    </row>
    <row r="4" spans="1:8" ht="30" customHeight="1" x14ac:dyDescent="0.25">
      <c r="A4" s="19" t="s">
        <v>686</v>
      </c>
      <c r="B4" s="19" t="s">
        <v>687</v>
      </c>
      <c r="C4" s="20" t="s">
        <v>690</v>
      </c>
      <c r="D4" s="21" t="s">
        <v>691</v>
      </c>
      <c r="E4" s="23">
        <v>3</v>
      </c>
      <c r="F4" s="18" t="s">
        <v>893</v>
      </c>
      <c r="G4" s="21"/>
      <c r="H4" s="21"/>
    </row>
    <row r="5" spans="1:8" ht="30" customHeight="1" x14ac:dyDescent="0.25">
      <c r="A5" s="14" t="s">
        <v>686</v>
      </c>
      <c r="B5" s="14" t="s">
        <v>687</v>
      </c>
      <c r="C5" s="15" t="s">
        <v>692</v>
      </c>
      <c r="D5" s="16" t="s">
        <v>693</v>
      </c>
      <c r="E5" s="23">
        <v>3</v>
      </c>
      <c r="F5" s="18" t="s">
        <v>893</v>
      </c>
      <c r="G5" s="16"/>
      <c r="H5" s="16"/>
    </row>
    <row r="6" spans="1:8" ht="30" customHeight="1" x14ac:dyDescent="0.25">
      <c r="A6" s="19" t="s">
        <v>686</v>
      </c>
      <c r="B6" s="19" t="s">
        <v>687</v>
      </c>
      <c r="C6" s="20" t="s">
        <v>694</v>
      </c>
      <c r="D6" s="21" t="s">
        <v>695</v>
      </c>
      <c r="E6" s="23">
        <v>3</v>
      </c>
      <c r="F6" s="18" t="s">
        <v>893</v>
      </c>
      <c r="G6" s="21"/>
      <c r="H6" s="21"/>
    </row>
    <row r="7" spans="1:8" ht="18" customHeight="1" x14ac:dyDescent="0.25">
      <c r="A7" s="13" t="s">
        <v>696</v>
      </c>
      <c r="B7" s="13" t="s">
        <v>697</v>
      </c>
      <c r="C7" s="13"/>
      <c r="D7" s="13"/>
      <c r="E7" s="13"/>
      <c r="F7" s="13"/>
      <c r="G7" s="13"/>
      <c r="H7" s="13"/>
    </row>
    <row r="8" spans="1:8" ht="30" customHeight="1" x14ac:dyDescent="0.25">
      <c r="A8" s="14" t="s">
        <v>696</v>
      </c>
      <c r="B8" s="14" t="s">
        <v>697</v>
      </c>
      <c r="C8" s="15" t="s">
        <v>698</v>
      </c>
      <c r="D8" s="16" t="s">
        <v>699</v>
      </c>
      <c r="E8" s="17">
        <v>2</v>
      </c>
      <c r="F8" s="18" t="s">
        <v>45</v>
      </c>
      <c r="G8" s="16"/>
      <c r="H8" s="16"/>
    </row>
    <row r="9" spans="1:8" ht="30" customHeight="1" x14ac:dyDescent="0.25">
      <c r="A9" s="19" t="s">
        <v>696</v>
      </c>
      <c r="B9" s="19" t="s">
        <v>697</v>
      </c>
      <c r="C9" s="20" t="s">
        <v>700</v>
      </c>
      <c r="D9" s="21" t="s">
        <v>701</v>
      </c>
      <c r="E9" s="17">
        <v>2</v>
      </c>
      <c r="F9" s="18" t="s">
        <v>45</v>
      </c>
      <c r="G9" s="21"/>
      <c r="H9" s="21"/>
    </row>
    <row r="10" spans="1:8" ht="30" customHeight="1" x14ac:dyDescent="0.25">
      <c r="A10" s="14" t="s">
        <v>696</v>
      </c>
      <c r="B10" s="14" t="s">
        <v>697</v>
      </c>
      <c r="C10" s="15" t="s">
        <v>702</v>
      </c>
      <c r="D10" s="16" t="s">
        <v>703</v>
      </c>
      <c r="E10" s="17">
        <v>2</v>
      </c>
      <c r="F10" s="18" t="s">
        <v>893</v>
      </c>
      <c r="G10" s="16" t="s">
        <v>1127</v>
      </c>
      <c r="H10" s="16"/>
    </row>
    <row r="11" spans="1:8" ht="30" customHeight="1" x14ac:dyDescent="0.25">
      <c r="A11" s="19" t="s">
        <v>696</v>
      </c>
      <c r="B11" s="19" t="s">
        <v>697</v>
      </c>
      <c r="C11" s="20" t="s">
        <v>704</v>
      </c>
      <c r="D11" s="21" t="s">
        <v>705</v>
      </c>
      <c r="E11" s="17">
        <v>2</v>
      </c>
      <c r="F11" s="18" t="s">
        <v>45</v>
      </c>
      <c r="G11" s="21"/>
      <c r="H11" s="21"/>
    </row>
    <row r="12" spans="1:8" ht="30" customHeight="1" x14ac:dyDescent="0.25">
      <c r="A12" s="14" t="s">
        <v>696</v>
      </c>
      <c r="B12" s="14" t="s">
        <v>697</v>
      </c>
      <c r="C12" s="15" t="s">
        <v>706</v>
      </c>
      <c r="D12" s="16" t="s">
        <v>707</v>
      </c>
      <c r="E12" s="17">
        <v>2</v>
      </c>
      <c r="F12" s="18" t="s">
        <v>893</v>
      </c>
      <c r="G12" s="16" t="s">
        <v>1128</v>
      </c>
      <c r="H12" s="16"/>
    </row>
    <row r="13" spans="1:8" ht="30" customHeight="1" x14ac:dyDescent="0.25">
      <c r="A13" s="19" t="s">
        <v>696</v>
      </c>
      <c r="B13" s="19" t="s">
        <v>697</v>
      </c>
      <c r="C13" s="20" t="s">
        <v>708</v>
      </c>
      <c r="D13" s="21" t="s">
        <v>709</v>
      </c>
      <c r="E13" s="23">
        <v>3</v>
      </c>
      <c r="F13" s="18" t="s">
        <v>893</v>
      </c>
      <c r="G13" s="21"/>
      <c r="H13" s="21"/>
    </row>
    <row r="14" spans="1:8" ht="18" customHeight="1" x14ac:dyDescent="0.25">
      <c r="A14" s="13" t="s">
        <v>710</v>
      </c>
      <c r="B14" s="13" t="s">
        <v>711</v>
      </c>
      <c r="C14" s="13"/>
      <c r="D14" s="13"/>
      <c r="E14" s="13"/>
      <c r="F14" s="13"/>
      <c r="G14" s="13"/>
      <c r="H14" s="13"/>
    </row>
    <row r="15" spans="1:8" ht="30" customHeight="1" x14ac:dyDescent="0.25">
      <c r="A15" s="14" t="s">
        <v>710</v>
      </c>
      <c r="B15" s="14" t="s">
        <v>711</v>
      </c>
      <c r="C15" s="15" t="s">
        <v>712</v>
      </c>
      <c r="D15" s="16" t="s">
        <v>713</v>
      </c>
      <c r="E15" s="17">
        <v>2</v>
      </c>
      <c r="F15" s="18" t="s">
        <v>45</v>
      </c>
      <c r="G15" s="16"/>
      <c r="H15" s="16"/>
    </row>
    <row r="16" spans="1:8" ht="30" customHeight="1" x14ac:dyDescent="0.25">
      <c r="A16" s="19" t="s">
        <v>710</v>
      </c>
      <c r="B16" s="19" t="s">
        <v>711</v>
      </c>
      <c r="C16" s="20" t="s">
        <v>714</v>
      </c>
      <c r="D16" s="21" t="s">
        <v>715</v>
      </c>
      <c r="E16" s="17">
        <v>2</v>
      </c>
      <c r="F16" s="18" t="s">
        <v>45</v>
      </c>
      <c r="G16" s="21"/>
      <c r="H16" s="21"/>
    </row>
    <row r="17" spans="1:8" ht="30" customHeight="1" x14ac:dyDescent="0.25">
      <c r="A17" s="14" t="s">
        <v>710</v>
      </c>
      <c r="B17" s="14" t="s">
        <v>711</v>
      </c>
      <c r="C17" s="15" t="s">
        <v>716</v>
      </c>
      <c r="D17" s="16" t="s">
        <v>717</v>
      </c>
      <c r="E17" s="23">
        <v>3</v>
      </c>
      <c r="F17" s="18" t="s">
        <v>893</v>
      </c>
      <c r="G17" s="16"/>
      <c r="H17" s="16"/>
    </row>
    <row r="18" spans="1:8" ht="30" customHeight="1" x14ac:dyDescent="0.25">
      <c r="A18" s="19" t="s">
        <v>710</v>
      </c>
      <c r="B18" s="19" t="s">
        <v>711</v>
      </c>
      <c r="C18" s="20" t="s">
        <v>718</v>
      </c>
      <c r="D18" s="21" t="s">
        <v>719</v>
      </c>
      <c r="E18" s="23">
        <v>3</v>
      </c>
      <c r="F18" s="18" t="s">
        <v>893</v>
      </c>
      <c r="G18" s="21"/>
      <c r="H18" s="21"/>
    </row>
    <row r="19" spans="1:8" ht="18" customHeight="1" x14ac:dyDescent="0.25">
      <c r="A19" s="13" t="s">
        <v>720</v>
      </c>
      <c r="B19" s="13" t="s">
        <v>721</v>
      </c>
      <c r="C19" s="13"/>
      <c r="D19" s="13"/>
      <c r="E19" s="13"/>
      <c r="F19" s="13"/>
      <c r="G19" s="13"/>
      <c r="H19" s="13"/>
    </row>
    <row r="20" spans="1:8" ht="30" customHeight="1" x14ac:dyDescent="0.25">
      <c r="A20" s="14" t="s">
        <v>720</v>
      </c>
      <c r="B20" s="14" t="s">
        <v>721</v>
      </c>
      <c r="C20" s="15" t="s">
        <v>722</v>
      </c>
      <c r="D20" s="16" t="s">
        <v>723</v>
      </c>
      <c r="E20" s="22">
        <v>1</v>
      </c>
      <c r="F20" s="18" t="s">
        <v>45</v>
      </c>
      <c r="G20" s="16"/>
      <c r="H20" s="16"/>
    </row>
    <row r="21" spans="1:8" ht="30" customHeight="1" x14ac:dyDescent="0.25">
      <c r="A21" s="19" t="s">
        <v>720</v>
      </c>
      <c r="B21" s="19" t="s">
        <v>721</v>
      </c>
      <c r="C21" s="20" t="s">
        <v>724</v>
      </c>
      <c r="D21" s="21" t="s">
        <v>725</v>
      </c>
      <c r="E21" s="17">
        <v>2</v>
      </c>
      <c r="F21" s="18" t="s">
        <v>45</v>
      </c>
      <c r="G21" s="21"/>
      <c r="H21" s="21"/>
    </row>
    <row r="22" spans="1:8" ht="30" customHeight="1" x14ac:dyDescent="0.25">
      <c r="A22" s="14" t="s">
        <v>720</v>
      </c>
      <c r="B22" s="14" t="s">
        <v>721</v>
      </c>
      <c r="C22" s="15" t="s">
        <v>726</v>
      </c>
      <c r="D22" s="16" t="s">
        <v>727</v>
      </c>
      <c r="E22" s="17">
        <v>2</v>
      </c>
      <c r="F22" s="18" t="s">
        <v>893</v>
      </c>
      <c r="G22" s="16" t="s">
        <v>1129</v>
      </c>
      <c r="H22" s="16"/>
    </row>
    <row r="23" spans="1:8" ht="30" customHeight="1" x14ac:dyDescent="0.25">
      <c r="A23" s="19" t="s">
        <v>720</v>
      </c>
      <c r="B23" s="19" t="s">
        <v>721</v>
      </c>
      <c r="C23" s="20" t="s">
        <v>728</v>
      </c>
      <c r="D23" s="21" t="s">
        <v>729</v>
      </c>
      <c r="E23" s="17">
        <v>2</v>
      </c>
      <c r="F23" s="18" t="s">
        <v>45</v>
      </c>
      <c r="G23" s="21"/>
      <c r="H23" s="21"/>
    </row>
    <row r="24" spans="1:8" ht="30" customHeight="1" x14ac:dyDescent="0.25">
      <c r="A24" s="14" t="s">
        <v>720</v>
      </c>
      <c r="B24" s="14" t="s">
        <v>721</v>
      </c>
      <c r="C24" s="15" t="s">
        <v>730</v>
      </c>
      <c r="D24" s="16" t="s">
        <v>731</v>
      </c>
      <c r="E24" s="17">
        <v>2</v>
      </c>
      <c r="F24" s="18" t="s">
        <v>45</v>
      </c>
      <c r="G24" s="16"/>
      <c r="H24" s="16"/>
    </row>
    <row r="25" spans="1:8" ht="30" customHeight="1" x14ac:dyDescent="0.25">
      <c r="A25" s="19" t="s">
        <v>720</v>
      </c>
      <c r="B25" s="19" t="s">
        <v>721</v>
      </c>
      <c r="C25" s="20" t="s">
        <v>732</v>
      </c>
      <c r="D25" s="21" t="s">
        <v>733</v>
      </c>
      <c r="E25" s="23">
        <v>3</v>
      </c>
      <c r="F25" s="18" t="s">
        <v>893</v>
      </c>
      <c r="G25" s="21"/>
      <c r="H25" s="21"/>
    </row>
    <row r="26" spans="1:8" ht="30" customHeight="1" x14ac:dyDescent="0.25">
      <c r="A26" s="14" t="s">
        <v>720</v>
      </c>
      <c r="B26" s="14" t="s">
        <v>721</v>
      </c>
      <c r="C26" s="15" t="s">
        <v>734</v>
      </c>
      <c r="D26" s="16" t="s">
        <v>735</v>
      </c>
      <c r="E26" s="23">
        <v>3</v>
      </c>
      <c r="F26" s="18" t="s">
        <v>893</v>
      </c>
      <c r="G26" s="16" t="s">
        <v>1130</v>
      </c>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zoomScale="70" zoomScaleNormal="70" workbookViewId="0">
      <pane ySplit="1" topLeftCell="A4" activePane="bottomLeft" state="frozen"/>
      <selection pane="bottomLeft" activeCell="G4" sqref="G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8.5703125"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736</v>
      </c>
      <c r="B2" s="13" t="s">
        <v>737</v>
      </c>
      <c r="C2" s="13"/>
      <c r="D2" s="13"/>
      <c r="E2" s="13"/>
      <c r="F2" s="13"/>
      <c r="G2" s="13"/>
      <c r="H2" s="13"/>
    </row>
    <row r="3" spans="1:8" ht="120" x14ac:dyDescent="0.25">
      <c r="A3" s="14" t="s">
        <v>736</v>
      </c>
      <c r="B3" s="14" t="s">
        <v>737</v>
      </c>
      <c r="C3" s="15" t="s">
        <v>738</v>
      </c>
      <c r="D3" s="16" t="s">
        <v>739</v>
      </c>
      <c r="E3" s="17">
        <v>2</v>
      </c>
      <c r="F3" s="18" t="s">
        <v>892</v>
      </c>
      <c r="G3" s="16" t="s">
        <v>917</v>
      </c>
      <c r="H3" s="16"/>
    </row>
    <row r="4" spans="1:8" ht="105.4" customHeight="1" x14ac:dyDescent="0.25">
      <c r="A4" s="19" t="s">
        <v>736</v>
      </c>
      <c r="B4" s="19" t="s">
        <v>737</v>
      </c>
      <c r="C4" s="20" t="s">
        <v>740</v>
      </c>
      <c r="D4" s="21" t="s">
        <v>741</v>
      </c>
      <c r="E4" s="17">
        <v>2</v>
      </c>
      <c r="F4" s="18" t="s">
        <v>893</v>
      </c>
      <c r="G4" s="21" t="s">
        <v>1131</v>
      </c>
      <c r="H4" s="21"/>
    </row>
    <row r="5" spans="1:8" ht="18" customHeight="1" x14ac:dyDescent="0.25">
      <c r="A5" s="13" t="s">
        <v>742</v>
      </c>
      <c r="B5" s="13" t="s">
        <v>743</v>
      </c>
      <c r="C5" s="13"/>
      <c r="D5" s="13"/>
      <c r="E5" s="13"/>
      <c r="F5" s="13"/>
      <c r="G5" s="13"/>
      <c r="H5" s="13"/>
    </row>
    <row r="6" spans="1:8" ht="90" x14ac:dyDescent="0.25">
      <c r="A6" s="14" t="s">
        <v>742</v>
      </c>
      <c r="B6" s="14" t="s">
        <v>743</v>
      </c>
      <c r="C6" s="15" t="s">
        <v>744</v>
      </c>
      <c r="D6" s="16" t="s">
        <v>745</v>
      </c>
      <c r="E6" s="22">
        <v>1</v>
      </c>
      <c r="F6" s="18" t="s">
        <v>892</v>
      </c>
      <c r="G6" s="16" t="s">
        <v>913</v>
      </c>
      <c r="H6" s="16"/>
    </row>
    <row r="7" spans="1:8" ht="50.45" customHeight="1" x14ac:dyDescent="0.25">
      <c r="A7" s="19" t="s">
        <v>742</v>
      </c>
      <c r="B7" s="19" t="s">
        <v>743</v>
      </c>
      <c r="C7" s="20" t="s">
        <v>746</v>
      </c>
      <c r="D7" s="21" t="s">
        <v>747</v>
      </c>
      <c r="E7" s="17">
        <v>2</v>
      </c>
      <c r="F7" s="18" t="s">
        <v>892</v>
      </c>
      <c r="G7" s="21" t="s">
        <v>915</v>
      </c>
      <c r="H7" s="21"/>
    </row>
    <row r="8" spans="1:8" ht="68.650000000000006" customHeight="1" x14ac:dyDescent="0.25">
      <c r="A8" s="14" t="s">
        <v>742</v>
      </c>
      <c r="B8" s="14" t="s">
        <v>743</v>
      </c>
      <c r="C8" s="15" t="s">
        <v>748</v>
      </c>
      <c r="D8" s="16" t="s">
        <v>749</v>
      </c>
      <c r="E8" s="17">
        <v>2</v>
      </c>
      <c r="F8" s="18" t="s">
        <v>892</v>
      </c>
      <c r="G8" s="16" t="s">
        <v>914</v>
      </c>
      <c r="H8" s="16"/>
    </row>
    <row r="9" spans="1:8" ht="90" x14ac:dyDescent="0.25">
      <c r="A9" s="19" t="s">
        <v>742</v>
      </c>
      <c r="B9" s="19" t="s">
        <v>743</v>
      </c>
      <c r="C9" s="20" t="s">
        <v>750</v>
      </c>
      <c r="D9" s="21" t="s">
        <v>751</v>
      </c>
      <c r="E9" s="17">
        <v>2</v>
      </c>
      <c r="F9" s="18" t="s">
        <v>892</v>
      </c>
      <c r="G9" s="21" t="s">
        <v>916</v>
      </c>
      <c r="H9" s="21"/>
    </row>
    <row r="10" spans="1:8" ht="30" customHeight="1" x14ac:dyDescent="0.25">
      <c r="A10" s="14" t="s">
        <v>742</v>
      </c>
      <c r="B10" s="14" t="s">
        <v>743</v>
      </c>
      <c r="C10" s="15" t="s">
        <v>752</v>
      </c>
      <c r="D10" s="16" t="s">
        <v>753</v>
      </c>
      <c r="E10" s="23">
        <v>3</v>
      </c>
      <c r="F10" s="18" t="s">
        <v>893</v>
      </c>
      <c r="G10" s="16"/>
      <c r="H10" s="16"/>
    </row>
    <row r="11" spans="1:8" ht="30" customHeight="1" x14ac:dyDescent="0.25">
      <c r="A11" s="19" t="s">
        <v>742</v>
      </c>
      <c r="B11" s="19" t="s">
        <v>743</v>
      </c>
      <c r="C11" s="20" t="s">
        <v>754</v>
      </c>
      <c r="D11" s="21" t="s">
        <v>755</v>
      </c>
      <c r="E11" s="23">
        <v>3</v>
      </c>
      <c r="F11" s="18" t="s">
        <v>893</v>
      </c>
      <c r="G11" s="21"/>
      <c r="H11" s="21"/>
    </row>
    <row r="12" spans="1:8" ht="30" customHeight="1" x14ac:dyDescent="0.25">
      <c r="A12" s="14" t="s">
        <v>742</v>
      </c>
      <c r="B12" s="14" t="s">
        <v>743</v>
      </c>
      <c r="C12" s="15" t="s">
        <v>756</v>
      </c>
      <c r="D12" s="16" t="s">
        <v>757</v>
      </c>
      <c r="E12" s="23">
        <v>3</v>
      </c>
      <c r="F12" s="18" t="s">
        <v>893</v>
      </c>
      <c r="G12" s="16"/>
      <c r="H12" s="16"/>
    </row>
    <row r="13" spans="1:8" ht="30" customHeight="1" x14ac:dyDescent="0.25">
      <c r="A13" s="19" t="s">
        <v>742</v>
      </c>
      <c r="B13" s="19" t="s">
        <v>743</v>
      </c>
      <c r="C13" s="20" t="s">
        <v>758</v>
      </c>
      <c r="D13" s="21" t="s">
        <v>759</v>
      </c>
      <c r="E13" s="23">
        <v>3</v>
      </c>
      <c r="F13" s="18" t="s">
        <v>893</v>
      </c>
      <c r="G13" s="21"/>
      <c r="H13" s="21"/>
    </row>
    <row r="14" spans="1:8" ht="18" customHeight="1" x14ac:dyDescent="0.25">
      <c r="A14" s="13" t="s">
        <v>760</v>
      </c>
      <c r="B14" s="13" t="s">
        <v>761</v>
      </c>
      <c r="C14" s="13"/>
      <c r="D14" s="13"/>
      <c r="E14" s="13"/>
      <c r="F14" s="13"/>
      <c r="G14" s="13"/>
      <c r="H14" s="13"/>
    </row>
    <row r="15" spans="1:8" ht="30" customHeight="1" x14ac:dyDescent="0.25">
      <c r="A15" s="14" t="s">
        <v>760</v>
      </c>
      <c r="B15" s="14" t="s">
        <v>761</v>
      </c>
      <c r="C15" s="15" t="s">
        <v>762</v>
      </c>
      <c r="D15" s="16" t="s">
        <v>763</v>
      </c>
      <c r="E15" s="22">
        <v>1</v>
      </c>
      <c r="F15" s="18" t="s">
        <v>893</v>
      </c>
      <c r="G15" s="16" t="s">
        <v>911</v>
      </c>
      <c r="H15" s="16"/>
    </row>
    <row r="16" spans="1:8" ht="45" x14ac:dyDescent="0.25">
      <c r="A16" s="19" t="s">
        <v>760</v>
      </c>
      <c r="B16" s="19" t="s">
        <v>761</v>
      </c>
      <c r="C16" s="20" t="s">
        <v>764</v>
      </c>
      <c r="D16" s="21" t="s">
        <v>765</v>
      </c>
      <c r="E16" s="17">
        <v>2</v>
      </c>
      <c r="F16" s="18" t="s">
        <v>892</v>
      </c>
      <c r="G16" s="21" t="s">
        <v>1132</v>
      </c>
      <c r="H16" s="21"/>
    </row>
    <row r="17" spans="1:8" ht="45" x14ac:dyDescent="0.25">
      <c r="A17" s="14" t="s">
        <v>760</v>
      </c>
      <c r="B17" s="14" t="s">
        <v>761</v>
      </c>
      <c r="C17" s="15" t="s">
        <v>766</v>
      </c>
      <c r="D17" s="16" t="s">
        <v>767</v>
      </c>
      <c r="E17" s="17">
        <v>2</v>
      </c>
      <c r="F17" s="18" t="s">
        <v>893</v>
      </c>
      <c r="G17" s="16" t="s">
        <v>912</v>
      </c>
      <c r="H17" s="16"/>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zoomScale="75" zoomScaleNormal="75" workbookViewId="0">
      <pane ySplit="1" topLeftCell="A2" activePane="bottomLeft" state="frozen"/>
      <selection pane="bottomLeft" activeCell="F6" sqref="F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x14ac:dyDescent="0.25">
      <c r="A1" s="12" t="s">
        <v>33</v>
      </c>
      <c r="B1" s="12" t="s">
        <v>34</v>
      </c>
      <c r="C1" s="12" t="s">
        <v>35</v>
      </c>
      <c r="D1" s="12" t="s">
        <v>36</v>
      </c>
      <c r="E1" s="12" t="s">
        <v>37</v>
      </c>
      <c r="F1" s="12" t="s">
        <v>38</v>
      </c>
      <c r="G1" s="12" t="s">
        <v>39</v>
      </c>
      <c r="H1" s="12" t="s">
        <v>40</v>
      </c>
    </row>
    <row r="2" spans="1:8" x14ac:dyDescent="0.25">
      <c r="A2" s="13" t="s">
        <v>768</v>
      </c>
      <c r="B2" s="13" t="s">
        <v>769</v>
      </c>
      <c r="C2" s="13"/>
      <c r="D2" s="13"/>
      <c r="E2" s="13"/>
      <c r="F2" s="13"/>
      <c r="G2" s="13"/>
      <c r="H2" s="13"/>
    </row>
    <row r="3" spans="1:8" ht="105" x14ac:dyDescent="0.25">
      <c r="A3" s="14" t="s">
        <v>768</v>
      </c>
      <c r="B3" s="14" t="s">
        <v>769</v>
      </c>
      <c r="C3" s="15" t="s">
        <v>770</v>
      </c>
      <c r="D3" s="16" t="s">
        <v>771</v>
      </c>
      <c r="E3" s="22">
        <v>1</v>
      </c>
      <c r="F3" s="18" t="s">
        <v>892</v>
      </c>
      <c r="G3" s="16" t="s">
        <v>993</v>
      </c>
      <c r="H3" s="16"/>
    </row>
    <row r="4" spans="1:8" ht="120" x14ac:dyDescent="0.25">
      <c r="A4" s="19" t="s">
        <v>768</v>
      </c>
      <c r="B4" s="19" t="s">
        <v>769</v>
      </c>
      <c r="C4" s="20" t="s">
        <v>772</v>
      </c>
      <c r="D4" s="21" t="s">
        <v>773</v>
      </c>
      <c r="E4" s="17">
        <v>2</v>
      </c>
      <c r="F4" s="18" t="s">
        <v>892</v>
      </c>
      <c r="G4" s="21" t="s">
        <v>994</v>
      </c>
      <c r="H4" s="21"/>
    </row>
    <row r="5" spans="1:8" ht="150" x14ac:dyDescent="0.25">
      <c r="A5" s="14" t="s">
        <v>768</v>
      </c>
      <c r="B5" s="14" t="s">
        <v>769</v>
      </c>
      <c r="C5" s="15" t="s">
        <v>774</v>
      </c>
      <c r="D5" s="16" t="s">
        <v>775</v>
      </c>
      <c r="E5" s="17">
        <v>2</v>
      </c>
      <c r="F5" s="18" t="s">
        <v>892</v>
      </c>
      <c r="G5" s="16" t="s">
        <v>995</v>
      </c>
      <c r="H5" s="16"/>
    </row>
    <row r="6" spans="1:8" ht="30" x14ac:dyDescent="0.25">
      <c r="A6" s="19" t="s">
        <v>768</v>
      </c>
      <c r="B6" s="19" t="s">
        <v>769</v>
      </c>
      <c r="C6" s="20" t="s">
        <v>776</v>
      </c>
      <c r="D6" s="21" t="s">
        <v>777</v>
      </c>
      <c r="E6" s="23">
        <v>3</v>
      </c>
      <c r="F6" s="18" t="s">
        <v>893</v>
      </c>
      <c r="G6" s="21"/>
      <c r="H6" s="21"/>
    </row>
    <row r="7" spans="1:8" ht="255" x14ac:dyDescent="0.25">
      <c r="A7" s="14" t="s">
        <v>768</v>
      </c>
      <c r="B7" s="14" t="s">
        <v>769</v>
      </c>
      <c r="C7" s="15" t="s">
        <v>778</v>
      </c>
      <c r="D7" s="16" t="s">
        <v>779</v>
      </c>
      <c r="E7" s="23">
        <v>3</v>
      </c>
      <c r="F7" s="18" t="s">
        <v>892</v>
      </c>
      <c r="G7" s="16" t="s">
        <v>996</v>
      </c>
      <c r="H7" s="16"/>
    </row>
    <row r="8" spans="1:8" x14ac:dyDescent="0.25">
      <c r="A8" s="13" t="s">
        <v>780</v>
      </c>
      <c r="B8" s="13" t="s">
        <v>781</v>
      </c>
      <c r="C8" s="13"/>
      <c r="D8" s="13"/>
      <c r="E8" s="13"/>
      <c r="F8" s="13"/>
      <c r="G8" s="13"/>
      <c r="H8" s="13"/>
    </row>
    <row r="9" spans="1:8" ht="150" x14ac:dyDescent="0.25">
      <c r="A9" s="14" t="s">
        <v>780</v>
      </c>
      <c r="B9" s="14" t="s">
        <v>781</v>
      </c>
      <c r="C9" s="15" t="s">
        <v>782</v>
      </c>
      <c r="D9" s="16" t="s">
        <v>783</v>
      </c>
      <c r="E9" s="22">
        <v>1</v>
      </c>
      <c r="F9" s="18" t="s">
        <v>892</v>
      </c>
      <c r="G9" s="16" t="s">
        <v>997</v>
      </c>
      <c r="H9" s="16"/>
    </row>
    <row r="10" spans="1:8" ht="165" x14ac:dyDescent="0.25">
      <c r="A10" s="19" t="s">
        <v>780</v>
      </c>
      <c r="B10" s="19" t="s">
        <v>781</v>
      </c>
      <c r="C10" s="20" t="s">
        <v>784</v>
      </c>
      <c r="D10" s="21" t="s">
        <v>785</v>
      </c>
      <c r="E10" s="17">
        <v>2</v>
      </c>
      <c r="F10" s="18" t="s">
        <v>892</v>
      </c>
      <c r="G10" s="21" t="s">
        <v>998</v>
      </c>
      <c r="H10" s="21"/>
    </row>
    <row r="11" spans="1:8" ht="150" x14ac:dyDescent="0.25">
      <c r="A11" s="14" t="s">
        <v>780</v>
      </c>
      <c r="B11" s="14" t="s">
        <v>781</v>
      </c>
      <c r="C11" s="15" t="s">
        <v>786</v>
      </c>
      <c r="D11" s="16" t="s">
        <v>787</v>
      </c>
      <c r="E11" s="17">
        <v>2</v>
      </c>
      <c r="F11" s="18" t="s">
        <v>892</v>
      </c>
      <c r="G11" s="16" t="s">
        <v>999</v>
      </c>
      <c r="H11" s="16"/>
    </row>
    <row r="12" spans="1:8" ht="60" x14ac:dyDescent="0.25">
      <c r="A12" s="19" t="s">
        <v>780</v>
      </c>
      <c r="B12" s="19" t="s">
        <v>781</v>
      </c>
      <c r="C12" s="20" t="s">
        <v>788</v>
      </c>
      <c r="D12" s="21" t="s">
        <v>789</v>
      </c>
      <c r="E12" s="23">
        <v>3</v>
      </c>
      <c r="F12" s="18" t="s">
        <v>893</v>
      </c>
      <c r="G12" s="21"/>
      <c r="H12" s="21"/>
    </row>
    <row r="13" spans="1:8" ht="285" x14ac:dyDescent="0.25">
      <c r="A13" s="14" t="s">
        <v>780</v>
      </c>
      <c r="B13" s="14" t="s">
        <v>781</v>
      </c>
      <c r="C13" s="15" t="s">
        <v>790</v>
      </c>
      <c r="D13" s="16" t="s">
        <v>791</v>
      </c>
      <c r="E13" s="23">
        <v>3</v>
      </c>
      <c r="F13" s="18" t="s">
        <v>892</v>
      </c>
      <c r="G13" s="16" t="s">
        <v>1000</v>
      </c>
      <c r="H13" s="16"/>
    </row>
    <row r="14" spans="1:8" x14ac:dyDescent="0.25">
      <c r="A14" s="13" t="s">
        <v>792</v>
      </c>
      <c r="B14" s="13" t="s">
        <v>793</v>
      </c>
      <c r="C14" s="13"/>
      <c r="D14" s="13"/>
      <c r="E14" s="13"/>
      <c r="F14" s="13"/>
      <c r="G14" s="13"/>
      <c r="H14" s="13"/>
    </row>
    <row r="15" spans="1:8" ht="165" x14ac:dyDescent="0.25">
      <c r="A15" s="14" t="s">
        <v>792</v>
      </c>
      <c r="B15" s="14" t="s">
        <v>793</v>
      </c>
      <c r="C15" s="15" t="s">
        <v>794</v>
      </c>
      <c r="D15" s="16" t="s">
        <v>795</v>
      </c>
      <c r="E15" s="22">
        <v>1</v>
      </c>
      <c r="F15" s="18" t="s">
        <v>892</v>
      </c>
      <c r="G15" s="16" t="s">
        <v>1001</v>
      </c>
      <c r="H15" s="16"/>
    </row>
    <row r="16" spans="1:8" ht="135" x14ac:dyDescent="0.25">
      <c r="A16" s="19" t="s">
        <v>792</v>
      </c>
      <c r="B16" s="19" t="s">
        <v>793</v>
      </c>
      <c r="C16" s="20" t="s">
        <v>796</v>
      </c>
      <c r="D16" s="21" t="s">
        <v>797</v>
      </c>
      <c r="E16" s="17">
        <v>2</v>
      </c>
      <c r="F16" s="18" t="s">
        <v>892</v>
      </c>
      <c r="G16" s="21" t="s">
        <v>1002</v>
      </c>
      <c r="H16" s="21"/>
    </row>
    <row r="17" spans="1:8" ht="165" x14ac:dyDescent="0.25">
      <c r="A17" s="14" t="s">
        <v>792</v>
      </c>
      <c r="B17" s="14" t="s">
        <v>793</v>
      </c>
      <c r="C17" s="15" t="s">
        <v>798</v>
      </c>
      <c r="D17" s="16" t="s">
        <v>799</v>
      </c>
      <c r="E17" s="17">
        <v>2</v>
      </c>
      <c r="F17" s="18" t="s">
        <v>892</v>
      </c>
      <c r="G17" s="16" t="s">
        <v>1003</v>
      </c>
      <c r="H17" s="16"/>
    </row>
    <row r="18" spans="1:8" ht="165" x14ac:dyDescent="0.25">
      <c r="A18" s="19" t="s">
        <v>792</v>
      </c>
      <c r="B18" s="19" t="s">
        <v>793</v>
      </c>
      <c r="C18" s="20" t="s">
        <v>800</v>
      </c>
      <c r="D18" s="21" t="s">
        <v>801</v>
      </c>
      <c r="E18" s="17">
        <v>2</v>
      </c>
      <c r="F18" s="18" t="s">
        <v>892</v>
      </c>
      <c r="G18" s="21" t="s">
        <v>1004</v>
      </c>
      <c r="H18" s="21"/>
    </row>
    <row r="19" spans="1:8" ht="135" x14ac:dyDescent="0.25">
      <c r="A19" s="14" t="s">
        <v>792</v>
      </c>
      <c r="B19" s="14" t="s">
        <v>793</v>
      </c>
      <c r="C19" s="15" t="s">
        <v>802</v>
      </c>
      <c r="D19" s="16" t="s">
        <v>803</v>
      </c>
      <c r="E19" s="17">
        <v>2</v>
      </c>
      <c r="F19" s="18" t="s">
        <v>892</v>
      </c>
      <c r="G19" s="16" t="s">
        <v>1005</v>
      </c>
      <c r="H19" s="16"/>
    </row>
    <row r="20" spans="1:8" ht="105" x14ac:dyDescent="0.25">
      <c r="A20" s="19" t="s">
        <v>792</v>
      </c>
      <c r="B20" s="19" t="s">
        <v>793</v>
      </c>
      <c r="C20" s="20" t="s">
        <v>804</v>
      </c>
      <c r="D20" s="21" t="s">
        <v>805</v>
      </c>
      <c r="E20" s="17">
        <v>2</v>
      </c>
      <c r="F20" s="18" t="s">
        <v>893</v>
      </c>
      <c r="G20" s="21" t="s">
        <v>1006</v>
      </c>
      <c r="H20" s="21"/>
    </row>
    <row r="21" spans="1:8" ht="165" x14ac:dyDescent="0.25">
      <c r="A21" s="14" t="s">
        <v>792</v>
      </c>
      <c r="B21" s="14" t="s">
        <v>793</v>
      </c>
      <c r="C21" s="15" t="s">
        <v>806</v>
      </c>
      <c r="D21" s="16" t="s">
        <v>807</v>
      </c>
      <c r="E21" s="17">
        <v>2</v>
      </c>
      <c r="F21" s="18" t="s">
        <v>892</v>
      </c>
      <c r="G21" s="16" t="s">
        <v>1007</v>
      </c>
      <c r="H21" s="16"/>
    </row>
    <row r="22" spans="1:8" x14ac:dyDescent="0.25">
      <c r="A22" s="13" t="s">
        <v>808</v>
      </c>
      <c r="B22" s="13" t="s">
        <v>809</v>
      </c>
      <c r="C22" s="13"/>
      <c r="D22" s="13"/>
      <c r="E22" s="13"/>
      <c r="F22" s="13"/>
      <c r="G22" s="13"/>
      <c r="H22" s="13"/>
    </row>
    <row r="23" spans="1:8" ht="75" x14ac:dyDescent="0.25">
      <c r="A23" s="14" t="s">
        <v>808</v>
      </c>
      <c r="B23" s="14" t="s">
        <v>809</v>
      </c>
      <c r="C23" s="15" t="s">
        <v>810</v>
      </c>
      <c r="D23" s="16" t="s">
        <v>811</v>
      </c>
      <c r="E23" s="23">
        <v>3</v>
      </c>
      <c r="F23" s="18" t="s">
        <v>893</v>
      </c>
      <c r="G23" s="16"/>
      <c r="H23" s="16"/>
    </row>
    <row r="24" spans="1:8" ht="90" x14ac:dyDescent="0.25">
      <c r="A24" s="19" t="s">
        <v>808</v>
      </c>
      <c r="B24" s="19" t="s">
        <v>809</v>
      </c>
      <c r="C24" s="20" t="s">
        <v>812</v>
      </c>
      <c r="D24" s="21" t="s">
        <v>813</v>
      </c>
      <c r="E24" s="23">
        <v>3</v>
      </c>
      <c r="F24" s="18" t="s">
        <v>893</v>
      </c>
      <c r="G24" s="21"/>
      <c r="H24" s="21"/>
    </row>
    <row r="25" spans="1:8" ht="75" x14ac:dyDescent="0.25">
      <c r="A25" s="14" t="s">
        <v>808</v>
      </c>
      <c r="B25" s="14" t="s">
        <v>809</v>
      </c>
      <c r="C25" s="15" t="s">
        <v>814</v>
      </c>
      <c r="D25" s="16" t="s">
        <v>815</v>
      </c>
      <c r="E25" s="23">
        <v>3</v>
      </c>
      <c r="F25" s="18" t="s">
        <v>893</v>
      </c>
      <c r="G25" s="16"/>
      <c r="H25" s="16"/>
    </row>
    <row r="26" spans="1:8" ht="60" x14ac:dyDescent="0.25">
      <c r="A26" s="19" t="s">
        <v>808</v>
      </c>
      <c r="B26" s="19" t="s">
        <v>809</v>
      </c>
      <c r="C26" s="20" t="s">
        <v>816</v>
      </c>
      <c r="D26" s="21" t="s">
        <v>817</v>
      </c>
      <c r="E26" s="23">
        <v>3</v>
      </c>
      <c r="F26" s="18" t="s">
        <v>893</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H23"/>
  <sheetViews>
    <sheetView zoomScale="75" zoomScaleNormal="75" workbookViewId="0">
      <pane ySplit="1" topLeftCell="A21" activePane="bottomLeft" state="frozen"/>
      <selection pane="bottomLeft" activeCell="F14" sqref="F14"/>
    </sheetView>
  </sheetViews>
  <sheetFormatPr defaultColWidth="8.5703125" defaultRowHeight="15" x14ac:dyDescent="0.25"/>
  <cols>
    <col min="1" max="1" width="15.42578125"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9" customHeight="1" x14ac:dyDescent="0.25">
      <c r="A1" s="12" t="s">
        <v>33</v>
      </c>
      <c r="B1" s="12" t="s">
        <v>34</v>
      </c>
      <c r="C1" s="12" t="s">
        <v>35</v>
      </c>
      <c r="D1" s="12" t="s">
        <v>36</v>
      </c>
      <c r="E1" s="12" t="s">
        <v>37</v>
      </c>
      <c r="F1" s="12" t="s">
        <v>38</v>
      </c>
      <c r="G1" s="12" t="s">
        <v>39</v>
      </c>
      <c r="H1" s="12" t="s">
        <v>40</v>
      </c>
    </row>
    <row r="2" spans="1:8" x14ac:dyDescent="0.25">
      <c r="A2" s="13" t="s">
        <v>818</v>
      </c>
      <c r="B2" s="13" t="s">
        <v>819</v>
      </c>
      <c r="C2" s="13"/>
      <c r="D2" s="13"/>
      <c r="E2" s="13"/>
      <c r="F2" s="13"/>
      <c r="G2" s="13"/>
      <c r="H2" s="13"/>
    </row>
    <row r="3" spans="1:8" ht="195" x14ac:dyDescent="0.25">
      <c r="A3" s="14" t="s">
        <v>818</v>
      </c>
      <c r="B3" s="14" t="s">
        <v>819</v>
      </c>
      <c r="C3" s="15" t="s">
        <v>820</v>
      </c>
      <c r="D3" s="16" t="s">
        <v>821</v>
      </c>
      <c r="E3" s="17">
        <v>2</v>
      </c>
      <c r="F3" s="18" t="s">
        <v>892</v>
      </c>
      <c r="G3" s="16" t="s">
        <v>1009</v>
      </c>
      <c r="H3" s="16"/>
    </row>
    <row r="4" spans="1:8" x14ac:dyDescent="0.25">
      <c r="A4" s="13" t="s">
        <v>822</v>
      </c>
      <c r="B4" s="13" t="s">
        <v>823</v>
      </c>
      <c r="C4" s="13"/>
      <c r="D4" s="13"/>
      <c r="E4" s="13"/>
      <c r="F4" s="13"/>
      <c r="G4" s="13"/>
      <c r="H4" s="13"/>
    </row>
    <row r="5" spans="1:8" ht="150" x14ac:dyDescent="0.25">
      <c r="A5" s="14" t="s">
        <v>822</v>
      </c>
      <c r="B5" s="14" t="s">
        <v>823</v>
      </c>
      <c r="C5" s="15" t="s">
        <v>824</v>
      </c>
      <c r="D5" s="16" t="s">
        <v>825</v>
      </c>
      <c r="E5" s="17">
        <v>2</v>
      </c>
      <c r="F5" s="18" t="s">
        <v>892</v>
      </c>
      <c r="G5" s="16" t="s">
        <v>1013</v>
      </c>
      <c r="H5" s="16"/>
    </row>
    <row r="6" spans="1:8" ht="180" x14ac:dyDescent="0.25">
      <c r="A6" s="19" t="s">
        <v>822</v>
      </c>
      <c r="B6" s="19" t="s">
        <v>823</v>
      </c>
      <c r="C6" s="20" t="s">
        <v>826</v>
      </c>
      <c r="D6" s="21" t="s">
        <v>827</v>
      </c>
      <c r="E6" s="17">
        <v>2</v>
      </c>
      <c r="F6" s="18" t="s">
        <v>892</v>
      </c>
      <c r="G6" s="21" t="s">
        <v>1012</v>
      </c>
      <c r="H6" s="21"/>
    </row>
    <row r="7" spans="1:8" ht="135" x14ac:dyDescent="0.25">
      <c r="A7" s="14" t="s">
        <v>822</v>
      </c>
      <c r="B7" s="14" t="s">
        <v>823</v>
      </c>
      <c r="C7" s="15" t="s">
        <v>828</v>
      </c>
      <c r="D7" s="16" t="s">
        <v>829</v>
      </c>
      <c r="E7" s="17">
        <v>2</v>
      </c>
      <c r="F7" s="18" t="s">
        <v>892</v>
      </c>
      <c r="G7" s="16" t="s">
        <v>1011</v>
      </c>
      <c r="H7" s="16"/>
    </row>
    <row r="8" spans="1:8" ht="165" x14ac:dyDescent="0.25">
      <c r="A8" s="19" t="s">
        <v>822</v>
      </c>
      <c r="B8" s="19" t="s">
        <v>823</v>
      </c>
      <c r="C8" s="20" t="s">
        <v>830</v>
      </c>
      <c r="D8" s="21" t="s">
        <v>831</v>
      </c>
      <c r="E8" s="17">
        <v>2</v>
      </c>
      <c r="F8" s="18" t="s">
        <v>892</v>
      </c>
      <c r="G8" s="21" t="s">
        <v>969</v>
      </c>
      <c r="H8" s="21"/>
    </row>
    <row r="9" spans="1:8" ht="210" x14ac:dyDescent="0.25">
      <c r="A9" s="14" t="s">
        <v>822</v>
      </c>
      <c r="B9" s="14" t="s">
        <v>823</v>
      </c>
      <c r="C9" s="15" t="s">
        <v>832</v>
      </c>
      <c r="D9" s="16" t="s">
        <v>833</v>
      </c>
      <c r="E9" s="17">
        <v>2</v>
      </c>
      <c r="F9" s="18" t="s">
        <v>892</v>
      </c>
      <c r="G9" s="16" t="s">
        <v>1010</v>
      </c>
      <c r="H9" s="16"/>
    </row>
    <row r="10" spans="1:8" x14ac:dyDescent="0.25">
      <c r="A10" s="13" t="s">
        <v>834</v>
      </c>
      <c r="B10" s="13" t="s">
        <v>835</v>
      </c>
      <c r="C10" s="13"/>
      <c r="D10" s="13"/>
      <c r="E10" s="13"/>
      <c r="F10" s="13"/>
      <c r="G10" s="13"/>
      <c r="H10" s="13"/>
    </row>
    <row r="11" spans="1:8" ht="210" x14ac:dyDescent="0.25">
      <c r="A11" s="14" t="s">
        <v>834</v>
      </c>
      <c r="B11" s="14" t="s">
        <v>835</v>
      </c>
      <c r="C11" s="15" t="s">
        <v>836</v>
      </c>
      <c r="D11" s="16" t="s">
        <v>837</v>
      </c>
      <c r="E11" s="17">
        <v>2</v>
      </c>
      <c r="F11" s="18" t="s">
        <v>892</v>
      </c>
      <c r="G11" s="16" t="s">
        <v>970</v>
      </c>
      <c r="H11" s="16"/>
    </row>
    <row r="12" spans="1:8" ht="180" x14ac:dyDescent="0.25">
      <c r="A12" s="19" t="s">
        <v>834</v>
      </c>
      <c r="B12" s="19" t="s">
        <v>835</v>
      </c>
      <c r="C12" s="20" t="s">
        <v>838</v>
      </c>
      <c r="D12" s="21" t="s">
        <v>839</v>
      </c>
      <c r="E12" s="17">
        <v>2</v>
      </c>
      <c r="F12" s="18" t="s">
        <v>892</v>
      </c>
      <c r="G12" s="21" t="s">
        <v>1008</v>
      </c>
      <c r="H12" s="21"/>
    </row>
    <row r="13" spans="1:8" ht="165" x14ac:dyDescent="0.25">
      <c r="A13" s="14" t="s">
        <v>834</v>
      </c>
      <c r="B13" s="14" t="s">
        <v>835</v>
      </c>
      <c r="C13" s="15" t="s">
        <v>840</v>
      </c>
      <c r="D13" s="16" t="s">
        <v>841</v>
      </c>
      <c r="E13" s="17">
        <v>2</v>
      </c>
      <c r="F13" s="18" t="s">
        <v>892</v>
      </c>
      <c r="G13" s="16" t="s">
        <v>1014</v>
      </c>
      <c r="H13" s="16"/>
    </row>
    <row r="14" spans="1:8" ht="180" x14ac:dyDescent="0.25">
      <c r="A14" s="19" t="s">
        <v>834</v>
      </c>
      <c r="B14" s="19" t="s">
        <v>835</v>
      </c>
      <c r="C14" s="20" t="s">
        <v>842</v>
      </c>
      <c r="D14" s="21" t="s">
        <v>843</v>
      </c>
      <c r="E14" s="17">
        <v>2</v>
      </c>
      <c r="F14" s="18" t="s">
        <v>893</v>
      </c>
      <c r="G14" s="21" t="s">
        <v>1015</v>
      </c>
      <c r="H14" s="21"/>
    </row>
    <row r="15" spans="1:8" x14ac:dyDescent="0.25">
      <c r="A15" s="13" t="s">
        <v>844</v>
      </c>
      <c r="B15" s="13" t="s">
        <v>845</v>
      </c>
      <c r="C15" s="13"/>
      <c r="D15" s="13"/>
      <c r="E15" s="13"/>
      <c r="F15" s="13"/>
      <c r="G15" s="13"/>
      <c r="H15" s="13"/>
    </row>
    <row r="16" spans="1:8" ht="195" x14ac:dyDescent="0.25">
      <c r="A16" s="14" t="s">
        <v>844</v>
      </c>
      <c r="B16" s="14" t="s">
        <v>845</v>
      </c>
      <c r="C16" s="15" t="s">
        <v>846</v>
      </c>
      <c r="D16" s="16" t="s">
        <v>847</v>
      </c>
      <c r="E16" s="17">
        <v>2</v>
      </c>
      <c r="F16" s="18" t="s">
        <v>892</v>
      </c>
      <c r="G16" s="16" t="s">
        <v>971</v>
      </c>
      <c r="H16" s="16"/>
    </row>
    <row r="17" spans="1:8" ht="165" x14ac:dyDescent="0.25">
      <c r="A17" s="19" t="s">
        <v>844</v>
      </c>
      <c r="B17" s="19" t="s">
        <v>845</v>
      </c>
      <c r="C17" s="20" t="s">
        <v>848</v>
      </c>
      <c r="D17" s="21" t="s">
        <v>849</v>
      </c>
      <c r="E17" s="17">
        <v>2</v>
      </c>
      <c r="F17" s="18" t="s">
        <v>892</v>
      </c>
      <c r="G17" s="21" t="s">
        <v>1016</v>
      </c>
      <c r="H17" s="21"/>
    </row>
    <row r="18" spans="1:8" ht="150" x14ac:dyDescent="0.25">
      <c r="A18" s="14" t="s">
        <v>844</v>
      </c>
      <c r="B18" s="14" t="s">
        <v>845</v>
      </c>
      <c r="C18" s="15" t="s">
        <v>850</v>
      </c>
      <c r="D18" s="16" t="s">
        <v>851</v>
      </c>
      <c r="E18" s="17">
        <v>2</v>
      </c>
      <c r="F18" s="18" t="s">
        <v>893</v>
      </c>
      <c r="G18" s="16" t="s">
        <v>1017</v>
      </c>
      <c r="H18" s="16"/>
    </row>
    <row r="19" spans="1:8" x14ac:dyDescent="0.25">
      <c r="A19" s="13" t="s">
        <v>852</v>
      </c>
      <c r="B19" s="13" t="s">
        <v>853</v>
      </c>
      <c r="C19" s="13"/>
      <c r="D19" s="13"/>
      <c r="E19" s="13"/>
      <c r="F19" s="13"/>
      <c r="G19" s="13"/>
      <c r="H19" s="13"/>
    </row>
    <row r="20" spans="1:8" ht="180" x14ac:dyDescent="0.25">
      <c r="A20" s="14" t="s">
        <v>852</v>
      </c>
      <c r="B20" s="14" t="s">
        <v>853</v>
      </c>
      <c r="C20" s="15" t="s">
        <v>854</v>
      </c>
      <c r="D20" s="16" t="s">
        <v>855</v>
      </c>
      <c r="E20" s="17">
        <v>2</v>
      </c>
      <c r="F20" s="18" t="s">
        <v>892</v>
      </c>
      <c r="G20" s="16" t="s">
        <v>1018</v>
      </c>
      <c r="H20" s="16"/>
    </row>
    <row r="21" spans="1:8" ht="195" x14ac:dyDescent="0.25">
      <c r="A21" s="19" t="s">
        <v>852</v>
      </c>
      <c r="B21" s="19" t="s">
        <v>853</v>
      </c>
      <c r="C21" s="20" t="s">
        <v>856</v>
      </c>
      <c r="D21" s="21" t="s">
        <v>857</v>
      </c>
      <c r="E21" s="17">
        <v>2</v>
      </c>
      <c r="F21" s="18" t="s">
        <v>892</v>
      </c>
      <c r="G21" s="21" t="s">
        <v>1019</v>
      </c>
      <c r="H21" s="21"/>
    </row>
    <row r="22" spans="1:8" ht="195" x14ac:dyDescent="0.25">
      <c r="A22" s="14" t="s">
        <v>852</v>
      </c>
      <c r="B22" s="14" t="s">
        <v>853</v>
      </c>
      <c r="C22" s="15" t="s">
        <v>858</v>
      </c>
      <c r="D22" s="16" t="s">
        <v>859</v>
      </c>
      <c r="E22" s="17">
        <v>2</v>
      </c>
      <c r="F22" s="18" t="s">
        <v>892</v>
      </c>
      <c r="G22" s="16" t="s">
        <v>1020</v>
      </c>
      <c r="H22" s="16"/>
    </row>
    <row r="23" spans="1:8" ht="225" x14ac:dyDescent="0.25">
      <c r="A23" s="19" t="s">
        <v>852</v>
      </c>
      <c r="B23" s="19" t="s">
        <v>853</v>
      </c>
      <c r="C23" s="20" t="s">
        <v>860</v>
      </c>
      <c r="D23" s="21" t="s">
        <v>861</v>
      </c>
      <c r="E23" s="23">
        <v>3</v>
      </c>
      <c r="F23" s="18" t="s">
        <v>892</v>
      </c>
      <c r="G23" s="21" t="s">
        <v>1021</v>
      </c>
      <c r="H23" s="21"/>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activeCell="G15" sqref="G15"/>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9.45" customHeight="1" x14ac:dyDescent="0.25">
      <c r="A1" s="12" t="s">
        <v>33</v>
      </c>
      <c r="B1" s="12" t="s">
        <v>34</v>
      </c>
      <c r="C1" s="12" t="s">
        <v>35</v>
      </c>
      <c r="D1" s="12" t="s">
        <v>36</v>
      </c>
      <c r="E1" s="12" t="s">
        <v>37</v>
      </c>
      <c r="F1" s="12" t="s">
        <v>38</v>
      </c>
      <c r="G1" s="12" t="s">
        <v>39</v>
      </c>
      <c r="H1" s="12" t="s">
        <v>40</v>
      </c>
    </row>
    <row r="2" spans="1:8" x14ac:dyDescent="0.25">
      <c r="A2" s="13" t="s">
        <v>862</v>
      </c>
      <c r="B2" s="13" t="s">
        <v>863</v>
      </c>
      <c r="C2" s="13"/>
      <c r="D2" s="13"/>
      <c r="E2" s="13"/>
      <c r="F2" s="13"/>
      <c r="G2" s="13"/>
      <c r="H2" s="13"/>
    </row>
    <row r="3" spans="1:8" ht="150" x14ac:dyDescent="0.25">
      <c r="A3" s="14" t="s">
        <v>862</v>
      </c>
      <c r="B3" s="14" t="s">
        <v>863</v>
      </c>
      <c r="C3" s="15" t="s">
        <v>864</v>
      </c>
      <c r="D3" s="16" t="s">
        <v>865</v>
      </c>
      <c r="E3" s="17">
        <v>2</v>
      </c>
      <c r="F3" s="18" t="s">
        <v>893</v>
      </c>
      <c r="G3" s="16" t="s">
        <v>1022</v>
      </c>
      <c r="H3" s="16"/>
    </row>
    <row r="4" spans="1:8" ht="135" x14ac:dyDescent="0.25">
      <c r="A4" s="19" t="s">
        <v>862</v>
      </c>
      <c r="B4" s="19" t="s">
        <v>863</v>
      </c>
      <c r="C4" s="20" t="s">
        <v>866</v>
      </c>
      <c r="D4" s="21" t="s">
        <v>867</v>
      </c>
      <c r="E4" s="23">
        <v>3</v>
      </c>
      <c r="F4" s="18" t="s">
        <v>893</v>
      </c>
      <c r="G4" s="21" t="s">
        <v>1023</v>
      </c>
      <c r="H4" s="21"/>
    </row>
    <row r="5" spans="1:8" x14ac:dyDescent="0.25">
      <c r="A5" s="13" t="s">
        <v>868</v>
      </c>
      <c r="B5" s="13" t="s">
        <v>869</v>
      </c>
      <c r="C5" s="13"/>
      <c r="D5" s="13"/>
      <c r="E5" s="13"/>
      <c r="F5" s="13"/>
      <c r="G5" s="13"/>
      <c r="H5" s="13"/>
    </row>
    <row r="6" spans="1:8" ht="135" x14ac:dyDescent="0.25">
      <c r="A6" s="14" t="s">
        <v>868</v>
      </c>
      <c r="B6" s="14" t="s">
        <v>869</v>
      </c>
      <c r="C6" s="15" t="s">
        <v>870</v>
      </c>
      <c r="D6" s="16" t="s">
        <v>871</v>
      </c>
      <c r="E6" s="17">
        <v>2</v>
      </c>
      <c r="F6" s="18" t="s">
        <v>893</v>
      </c>
      <c r="G6" s="16" t="s">
        <v>1024</v>
      </c>
      <c r="H6" s="16"/>
    </row>
    <row r="7" spans="1:8" ht="150" x14ac:dyDescent="0.25">
      <c r="A7" s="19" t="s">
        <v>868</v>
      </c>
      <c r="B7" s="19" t="s">
        <v>869</v>
      </c>
      <c r="C7" s="20" t="s">
        <v>872</v>
      </c>
      <c r="D7" s="21" t="s">
        <v>873</v>
      </c>
      <c r="E7" s="17">
        <v>2</v>
      </c>
      <c r="F7" s="18" t="s">
        <v>893</v>
      </c>
      <c r="G7" s="21" t="s">
        <v>1025</v>
      </c>
      <c r="H7" s="21"/>
    </row>
    <row r="8" spans="1:8" ht="120" x14ac:dyDescent="0.25">
      <c r="A8" s="14" t="s">
        <v>868</v>
      </c>
      <c r="B8" s="14" t="s">
        <v>869</v>
      </c>
      <c r="C8" s="15" t="s">
        <v>874</v>
      </c>
      <c r="D8" s="16" t="s">
        <v>875</v>
      </c>
      <c r="E8" s="17">
        <v>2</v>
      </c>
      <c r="F8" s="18" t="s">
        <v>893</v>
      </c>
      <c r="G8" s="16" t="s">
        <v>1026</v>
      </c>
      <c r="H8" s="16"/>
    </row>
    <row r="9" spans="1:8" ht="150" x14ac:dyDescent="0.25">
      <c r="A9" s="19" t="s">
        <v>868</v>
      </c>
      <c r="B9" s="19" t="s">
        <v>869</v>
      </c>
      <c r="C9" s="20" t="s">
        <v>876</v>
      </c>
      <c r="D9" s="21" t="s">
        <v>877</v>
      </c>
      <c r="E9" s="17">
        <v>2</v>
      </c>
      <c r="F9" s="18" t="s">
        <v>893</v>
      </c>
      <c r="G9" s="21" t="s">
        <v>1027</v>
      </c>
      <c r="H9" s="21"/>
    </row>
    <row r="10" spans="1:8" ht="135" x14ac:dyDescent="0.25">
      <c r="A10" s="14" t="s">
        <v>868</v>
      </c>
      <c r="B10" s="14" t="s">
        <v>869</v>
      </c>
      <c r="C10" s="15" t="s">
        <v>878</v>
      </c>
      <c r="D10" s="16" t="s">
        <v>879</v>
      </c>
      <c r="E10" s="23">
        <v>3</v>
      </c>
      <c r="F10" s="18" t="s">
        <v>893</v>
      </c>
      <c r="G10" s="16" t="s">
        <v>1028</v>
      </c>
      <c r="H10" s="16"/>
    </row>
    <row r="11" spans="1:8" ht="120" x14ac:dyDescent="0.25">
      <c r="A11" s="19" t="s">
        <v>868</v>
      </c>
      <c r="B11" s="19" t="s">
        <v>869</v>
      </c>
      <c r="C11" s="20" t="s">
        <v>880</v>
      </c>
      <c r="D11" s="21" t="s">
        <v>881</v>
      </c>
      <c r="E11" s="23">
        <v>3</v>
      </c>
      <c r="F11" s="18" t="s">
        <v>893</v>
      </c>
      <c r="G11" s="21" t="s">
        <v>1029</v>
      </c>
      <c r="H11" s="21"/>
    </row>
    <row r="12" spans="1:8" ht="135" x14ac:dyDescent="0.25">
      <c r="A12" s="14" t="s">
        <v>868</v>
      </c>
      <c r="B12" s="14" t="s">
        <v>869</v>
      </c>
      <c r="C12" s="15" t="s">
        <v>882</v>
      </c>
      <c r="D12" s="16" t="s">
        <v>883</v>
      </c>
      <c r="E12" s="23">
        <v>3</v>
      </c>
      <c r="F12" s="18" t="s">
        <v>893</v>
      </c>
      <c r="G12" s="16" t="s">
        <v>972</v>
      </c>
      <c r="H12" s="16"/>
    </row>
    <row r="13" spans="1:8" ht="135" x14ac:dyDescent="0.25">
      <c r="A13" s="19" t="s">
        <v>868</v>
      </c>
      <c r="B13" s="19" t="s">
        <v>869</v>
      </c>
      <c r="C13" s="20" t="s">
        <v>884</v>
      </c>
      <c r="D13" s="21" t="s">
        <v>885</v>
      </c>
      <c r="E13" s="23">
        <v>3</v>
      </c>
      <c r="F13" s="18" t="s">
        <v>893</v>
      </c>
      <c r="G13" s="21" t="s">
        <v>1030</v>
      </c>
      <c r="H13" s="21"/>
    </row>
    <row r="14" spans="1:8" x14ac:dyDescent="0.25">
      <c r="A14" s="13" t="s">
        <v>886</v>
      </c>
      <c r="B14" s="13" t="s">
        <v>887</v>
      </c>
      <c r="C14" s="13"/>
      <c r="D14" s="13"/>
      <c r="E14" s="13"/>
      <c r="F14" s="13"/>
      <c r="G14" s="13"/>
      <c r="H14" s="13"/>
    </row>
    <row r="15" spans="1:8" ht="135" x14ac:dyDescent="0.25">
      <c r="A15" s="14" t="s">
        <v>886</v>
      </c>
      <c r="B15" s="14" t="s">
        <v>887</v>
      </c>
      <c r="C15" s="15" t="s">
        <v>888</v>
      </c>
      <c r="D15" s="16" t="s">
        <v>889</v>
      </c>
      <c r="E15" s="17">
        <v>2</v>
      </c>
      <c r="F15" s="18" t="s">
        <v>893</v>
      </c>
      <c r="G15" s="16" t="s">
        <v>1031</v>
      </c>
      <c r="H15" s="16"/>
    </row>
    <row r="16" spans="1:8" ht="150" x14ac:dyDescent="0.25">
      <c r="A16" s="19" t="s">
        <v>886</v>
      </c>
      <c r="B16" s="19" t="s">
        <v>887</v>
      </c>
      <c r="C16" s="20" t="s">
        <v>890</v>
      </c>
      <c r="D16" s="21" t="s">
        <v>891</v>
      </c>
      <c r="E16" s="17">
        <v>2</v>
      </c>
      <c r="F16" s="18" t="s">
        <v>893</v>
      </c>
      <c r="G16" s="21" t="s">
        <v>1032</v>
      </c>
      <c r="H16" s="21"/>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disablePrompts="1"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309</TotalTime>
  <Application>Microsoft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Diogo Manuel Oliveira Pereira</cp:lastModifiedBy>
  <cp:revision>3</cp:revision>
  <cp:lastPrinted>2026-04-15T19:56:57Z</cp:lastPrinted>
  <dcterms:created xsi:type="dcterms:W3CDTF">2026-03-04T10:14:28Z</dcterms:created>
  <dcterms:modified xsi:type="dcterms:W3CDTF">2026-04-20T14:36:12Z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