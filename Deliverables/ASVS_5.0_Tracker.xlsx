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dmopm\IdeaProjects\desofs2026-wed_nap_2\Deliverables\"/>
    </mc:Choice>
  </mc:AlternateContent>
  <xr:revisionPtr revIDLastSave="0" documentId="13_ncr:1_{B6FB5DDA-7F68-49A6-A2E5-13DE01415BD7}" xr6:coauthVersionLast="47" xr6:coauthVersionMax="47" xr10:uidLastSave="{00000000-0000-0000-0000-000000000000}"/>
  <bookViews>
    <workbookView xWindow="-120" yWindow="-120" windowWidth="29040" windowHeight="15720" tabRatio="500" firstSheet="5" activeTab="5"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F23" i="1"/>
  <c r="C23" i="1"/>
  <c r="B23" i="1"/>
  <c r="L22" i="1"/>
  <c r="M22" i="1" s="1"/>
  <c r="J22" i="1"/>
  <c r="K22" i="1" s="1"/>
  <c r="G22" i="1"/>
  <c r="H22" i="1" s="1"/>
  <c r="M21" i="1"/>
  <c r="L21" i="1"/>
  <c r="J21" i="1"/>
  <c r="K21" i="1" s="1"/>
  <c r="G21" i="1"/>
  <c r="H21" i="1" s="1"/>
  <c r="L20" i="1"/>
  <c r="M20" i="1" s="1"/>
  <c r="J20" i="1"/>
  <c r="K20" i="1" s="1"/>
  <c r="G20" i="1"/>
  <c r="H20" i="1" s="1"/>
  <c r="E20" i="1"/>
  <c r="D20" i="1"/>
  <c r="L19" i="1"/>
  <c r="M19" i="1" s="1"/>
  <c r="J19" i="1"/>
  <c r="K19" i="1" s="1"/>
  <c r="G19" i="1"/>
  <c r="H19" i="1" s="1"/>
  <c r="D19" i="1"/>
  <c r="E19" i="1" s="1"/>
  <c r="L18" i="1"/>
  <c r="M18" i="1" s="1"/>
  <c r="K18" i="1"/>
  <c r="J18" i="1"/>
  <c r="G18" i="1"/>
  <c r="H18" i="1" s="1"/>
  <c r="D18" i="1"/>
  <c r="E18" i="1" s="1"/>
  <c r="L17" i="1"/>
  <c r="M17" i="1" s="1"/>
  <c r="J17" i="1"/>
  <c r="K17" i="1" s="1"/>
  <c r="G17" i="1"/>
  <c r="H17" i="1" s="1"/>
  <c r="E17" i="1"/>
  <c r="D17" i="1"/>
  <c r="L16" i="1"/>
  <c r="M16" i="1" s="1"/>
  <c r="J16" i="1"/>
  <c r="K16" i="1" s="1"/>
  <c r="G16" i="1"/>
  <c r="H16" i="1" s="1"/>
  <c r="D16" i="1"/>
  <c r="E16" i="1" s="1"/>
  <c r="L15" i="1"/>
  <c r="M15" i="1" s="1"/>
  <c r="K15" i="1"/>
  <c r="J15" i="1"/>
  <c r="G15" i="1"/>
  <c r="H15" i="1" s="1"/>
  <c r="D15" i="1"/>
  <c r="E15" i="1" s="1"/>
  <c r="L14" i="1"/>
  <c r="M14" i="1" s="1"/>
  <c r="G14" i="1"/>
  <c r="H14" i="1" s="1"/>
  <c r="D14" i="1"/>
  <c r="E14" i="1" s="1"/>
  <c r="M13" i="1"/>
  <c r="L13" i="1"/>
  <c r="J13" i="1"/>
  <c r="K13" i="1" s="1"/>
  <c r="G13" i="1"/>
  <c r="H13" i="1" s="1"/>
  <c r="D13" i="1"/>
  <c r="E13" i="1" s="1"/>
  <c r="L12" i="1"/>
  <c r="M12" i="1" s="1"/>
  <c r="J12" i="1"/>
  <c r="K12" i="1" s="1"/>
  <c r="H12" i="1"/>
  <c r="G12" i="1"/>
  <c r="D12" i="1"/>
  <c r="E12" i="1" s="1"/>
  <c r="L11" i="1"/>
  <c r="M11" i="1" s="1"/>
  <c r="J11" i="1"/>
  <c r="K11" i="1" s="1"/>
  <c r="G11" i="1"/>
  <c r="H11" i="1" s="1"/>
  <c r="D11" i="1"/>
  <c r="E11" i="1" s="1"/>
  <c r="M10" i="1"/>
  <c r="L10" i="1"/>
  <c r="J10" i="1"/>
  <c r="K10" i="1" s="1"/>
  <c r="G10" i="1"/>
  <c r="H10" i="1" s="1"/>
  <c r="D10" i="1"/>
  <c r="E10" i="1" s="1"/>
  <c r="L9" i="1"/>
  <c r="M9" i="1" s="1"/>
  <c r="J9" i="1"/>
  <c r="K9" i="1" s="1"/>
  <c r="H9" i="1"/>
  <c r="G9" i="1"/>
  <c r="D9" i="1"/>
  <c r="E9" i="1" s="1"/>
  <c r="L8" i="1"/>
  <c r="M8" i="1" s="1"/>
  <c r="J8" i="1"/>
  <c r="K8" i="1" s="1"/>
  <c r="G8" i="1"/>
  <c r="H8" i="1" s="1"/>
  <c r="D8" i="1"/>
  <c r="E8" i="1" s="1"/>
  <c r="M7" i="1"/>
  <c r="L7" i="1"/>
  <c r="J7" i="1"/>
  <c r="K7" i="1" s="1"/>
  <c r="G7" i="1"/>
  <c r="H7" i="1" s="1"/>
  <c r="D7" i="1"/>
  <c r="E7" i="1" s="1"/>
  <c r="L6" i="1"/>
  <c r="J6" i="1"/>
  <c r="H6" i="1"/>
  <c r="G6" i="1"/>
  <c r="D6" i="1"/>
  <c r="E6" i="1" s="1"/>
  <c r="H23" i="1" l="1"/>
  <c r="J23" i="1"/>
  <c r="G23" i="1"/>
  <c r="L23" i="1"/>
  <c r="E23" i="1"/>
  <c r="D23" i="1"/>
  <c r="K6" i="1"/>
  <c r="K23" i="1" s="1"/>
  <c r="M6" i="1"/>
  <c r="M23" i="1" s="1"/>
</calcChain>
</file>

<file path=xl/sharedStrings.xml><?xml version="1.0" encoding="utf-8"?>
<sst xmlns="http://schemas.openxmlformats.org/spreadsheetml/2006/main" count="2517" uniqueCount="1345">
  <si>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</si>
  <si>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</si>
  <si>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</si>
  <si>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</si>
  <si>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</si>
  <si>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</si>
  <si>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</si>
  <si>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</si>
  <si>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</si>
  <si>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</si>
  <si>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</si>
  <si>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</si>
  <si>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</si>
  <si>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</si>
  <si>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</si>
  <si>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</si>
  <si>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</si>
  <si>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</si>
  <si>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</si>
  <si>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</si>
  <si>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</si>
  <si>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</si>
  <si>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</si>
  <si>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</si>
  <si>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</si>
  <si>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</si>
  <si>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</si>
  <si>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</si>
  <si>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</si>
  <si>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</si>
  <si>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</si>
  <si>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</si>
  <si>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</si>
  <si>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</si>
  <si>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</si>
  <si>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</si>
  <si>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</si>
  <si>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</si>
  <si>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</si>
  <si>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</si>
  <si>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</si>
  <si>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</si>
  <si>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</si>
  <si>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</si>
  <si>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</si>
  <si>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</si>
  <si>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ArcadeHeaven uses Spring Boot which automatically deserializes JSON inputs into Java objects ensuring a canonical form at entry. Validation will be enforced using Bean Validation</t>
  </si>
  <si>
    <t>Api/src/main/java/.../Dto/Request/RegisterRequest.java; Api/src/main/java/.../Validation/NoHtmlValidator.java</t>
  </si>
  <si>
    <t>V1.1.2</t>
  </si>
  <si>
    <t>Verify that the application performs output encoding and escaping either as a final step before being used by the interpreter for which it is intended or by the interpreter itself.</t>
  </si>
  <si>
    <t>Jackson serialises all JSON responses. InvoiceService/OrderService strip CRLF from text files. RawgApiClient.sanitizeText() strips HTML tags and normalises whitespace from all RAWG-sourced strings before persisting. sanitizeCoverImageUrl() validates RAWG cover image URL is on https://media.rawg.io/.</t>
  </si>
  <si>
    <t>Api/src/main/java/.../Exception/GlobalExceptionHandler.java (JSON error responses, no raw stack traces); Security/SecurityEventHandler.java (writeJson via ObjectMapper); Api/src/main/java/…/Service/InvoiceService.java;</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</si>
  <si>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</si>
  <si>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</si>
  <si>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</si>
  <si>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</si>
  <si>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Not Applicable</t>
  </si>
  <si>
    <t>ArcadeHaven does not generate HTML or XML content</t>
  </si>
  <si>
    <t>V1.2.2</t>
  </si>
  <si>
    <t>Verify that when dynamically building URLs, untrusted data is encoded according to its context (e.g., URL encoding or base64url encoding for query or path parameters). Ensure that only safe URL protocols are permitted (e.g., disallow javascript: or data:).</t>
  </si>
  <si>
    <t>ArcadeHaven validates external URLs configuration scheme and host. Additionally, URLs are constructed using UriComponentsBuilder, ensuring dynamic paths segments are properly encoded and preventing malformed URL and and malicious URL injections.</t>
  </si>
  <si>
    <t>Api/src/main/java/…/Service/AuthService.java; Api/src/main/java/…/Service/ProfileService.java; Api/src/main/java/…/Config/KeycloakAdminConfig.java;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</si>
  <si>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</si>
  <si>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</si>
  <si>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</si>
  <si>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</si>
  <si>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The entire data access layer uses Spring Data JPA with typed repositories</t>
  </si>
  <si>
    <t>V1.2.5</t>
  </si>
  <si>
    <t>Verify that the application protects against OS command injection and that operating system calls use parameterized OS queries or use contextual command line output encoding.</t>
  </si>
  <si>
    <t>ArcadeHaven does not use operating system commands</t>
  </si>
  <si>
    <t>V1.2.6</t>
  </si>
  <si>
    <t>Verify that the application protects against LDAP injection vulnerabilities, or that specific security controls to prevent LDAP injection have been implemented.</t>
  </si>
  <si>
    <t>No LDAP integration is used in ArcadeHaven</t>
  </si>
  <si>
    <t>V1.2.7</t>
  </si>
  <si>
    <t>Verify that the application is protected against XPath injection attacks by using query parameterization or precompiled queries.</t>
  </si>
  <si>
    <t>No XPath or XML quering is used in ArcadeHeaven</t>
  </si>
  <si>
    <t>V1.2.8</t>
  </si>
  <si>
    <t>Verify that LaTeX processors are configured securely (such as not using the "--shell-escape" flag) and an allowlist of commands is used to prevent LaTeX injection attacks.</t>
  </si>
  <si>
    <t>No LaTeX processing is used in ArcadeHaven</t>
  </si>
  <si>
    <t>V1.2.9</t>
  </si>
  <si>
    <t>Verify that the application escapes special characters in regular expressions (typically using a backslash) to prevent them from being misinterpreted as metacharacters.</t>
  </si>
  <si>
    <t>ArcadeHaven escapes special characters in inputs through the NoHtml validator and FileValidator.</t>
  </si>
  <si>
    <t>Api/src/main/java/…/Validation/NoHtmlValidator.java; Api/src/main/java/…/Validation/FileeValidator.java</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</si>
  <si>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</si>
  <si>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</si>
  <si>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or Spreedsheet export is implemented in ArcadeHaven</t>
  </si>
  <si>
    <t>V1.3</t>
  </si>
  <si>
    <t>Sanitization</t>
  </si>
  <si>
    <t>V1.3.1</t>
  </si>
  <si>
    <t>Verify that all untrusted HTML input from WYSIWYG editors or similar is sanitized using a well-known and secure HTML sanitization library or framework feature.</t>
  </si>
  <si>
    <t>No WYSIWYG or HTML input is accepted</t>
  </si>
  <si>
    <t>V1.3.2</t>
  </si>
  <si>
    <t>Verify that the application avoids the use of eval() or other dynamic code execution features such as Spring Expression Language (SpEL). Where there is no alternative, any user input being included must be sanitized before being executed.</t>
  </si>
  <si>
    <t>ArcadeHaven does not use SpEL with user input. The @PreAuthorize annotations use SpEL with static expressions (“hasRole(‘ADMIN’)”)</t>
  </si>
  <si>
    <t>V1.3.3</t>
  </si>
  <si>
    <t>Verify that data being passed to a potentially dangerous context is sanitized beforehand to enforce safety measures, such as only allowing characters which are safe for this context and trimming input which is too long.</t>
  </si>
  <si>
    <t>SftpStorageService.validateSubDir() rejects subdir paths containing ".." or starting with "/"; validateRemotePath() asserts download/delete paths start with baseRemoteDir and contain no "..".; sanitizeFilename() strips unsafe chars from all SFTP filenames (applied in both uploadFile() and uploadBytes()). LocalStorageService.resolveAndValidate() uses Path.normalize() + startsWith(baseDir) for the local backend. FileStorageService.sanitizeText() strips CR/LF/TAB from activation-key file content; InvoiceService.sanitizeLine() does the same for invoice lines. All RAWG-sourced strings are HTML-stripped and whitespace-normalised before persisting (see V1.1.2).</t>
  </si>
  <si>
    <t>Api/src/main/java/.../Service/SftpStorageService.java (validateSubDir, validateRemotePath, sanitizeFilename); Service/LocalStorageService.java (resolveAndValidate); Service/FileStorageService.java (sanitizeText); Service/InvoiceService.java (sanitizeLine)</t>
  </si>
  <si>
    <t>V1.3.4</t>
  </si>
  <si>
    <t>Verify that user-supplied Scalable Vector Graphics (SVG) scriptable content is validated or sanitized to contain only tags and attributes (such as draw graphics) that are safe for the application, e.g., do not contain scripts and foreignObject.</t>
  </si>
  <si>
    <t>SVG files are explicitly rejected during file upload validation</t>
  </si>
  <si>
    <t>V1.3.5</t>
  </si>
  <si>
    <t>Verify that the application sanitizes or disables user-supplied scriptable or expression template language content, such as Markdown, CSS or XSL stylesheets, BBCode, or similar.</t>
  </si>
  <si>
    <t>No scriptable content (Markdown, CSS, BBCode) is processed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</si>
  <si>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</si>
  <si>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</si>
  <si>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Two enforcement layers: (1) Application layer — EgressAllowlistInterceptor (ClientHttpRequestInterceptor) is wired into the shared RestTemplate bean; blocks any outbound call to a host not in the allowlist (Keycloak host from ${keycloak.server-url} + api.rawg.io). Throws IOException before the connection is made. HIBP calls use Java HttpClient with the URL hardcoded as a constant in PasswordPolicyService. (2) Docker network layer — keycloak-internal network (internal: true) isolates keycloak-db from internet and from the app container; app-services bridge provides controlled connectivity between nginx, app and keycloak for JWT verification and admin API.</t>
  </si>
  <si>
    <t>Api/src/main/java/.../Security/EgressAllowlistInterceptor.java; Config/KeycloakAdminConfig.java (restTemplate bean — wires interceptor with allowed hosts); Api/docker-compose.yml (networks: keycloak-internal internal: true, app-services)</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</si>
  <si>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</si>
  <si>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</si>
  <si>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</si>
  <si>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</si>
  <si>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No JNDI usage is present</t>
  </si>
  <si>
    <t>V1.3.9</t>
  </si>
  <si>
    <t>Verify that the application sanitizes content before it is sent to memcache to prevent injection attacks.</t>
  </si>
  <si>
    <t>No memcache usage is present</t>
  </si>
  <si>
    <t>V1.3.10</t>
  </si>
  <si>
    <t>Verify that format strings which might resolve in an unexpected or malicious way when used are sanitized before being processed.</t>
  </si>
  <si>
    <t>ArcadeHaven ensures that user-controlled input is never used as a format string in logging, templating, or string formatting operations. All formatting operations use fixed templates with parameterized values, preventing format-string injection risks.</t>
  </si>
  <si>
    <t>Api/src/main/java/…/Controller; Api/src/main/java/…/Dto</t>
  </si>
  <si>
    <t>V1.3.11</t>
  </si>
  <si>
    <t>Verify that the application sanitizes user input before passing to mail systems to protect against SMTP or IMAP injection.</t>
  </si>
  <si>
    <t>No email functionality is implemented</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</si>
  <si>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</si>
  <si>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</si>
  <si>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</si>
  <si>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</si>
  <si>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</si>
  <si>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</si>
  <si>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Java provides built-in memory safety so no manual memory management is used</t>
  </si>
  <si>
    <t>V1.4.2</t>
  </si>
  <si>
    <t>Verify that sign, range, and input validation techniques are used to prevent integer overflows.</t>
  </si>
  <si>
    <t>ArcadeHaven Dto classes enforce value bounds and domain classes apply range validation techniques to prevent overflow</t>
  </si>
  <si>
    <t>Api/src/main/java/…/Dto/Request; Api/src/main/java/.../Service/Domain/Game Api/src/main/java/.../Service/Domain/OrderItem</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</si>
  <si>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</si>
  <si>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</si>
  <si>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</si>
  <si>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</si>
  <si>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</si>
  <si>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</si>
  <si>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</si>
  <si>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</si>
  <si>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spring.jackson.deserialization.fail-on-unknown-properties=true added to application.properties. KeycloakAdminConfig and all @Configuration beans confirmed to have no enableDefaultTyping() call. No DTO uses @JsonTypeInfo with As.PROPERTY without an allowlist.</t>
  </si>
  <si>
    <t>Api/src/main/resources/application.properties; Api/src/main/java/isep/desosfs/arcadehaven/Config/KeycloakAdminConfig.java</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</si>
  <si>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</si>
  <si>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</si>
  <si>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</si>
  <si>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</si>
  <si>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</si>
  <si>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</si>
  <si>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is formally documented for in requirements folder.</t>
  </si>
  <si>
    <t>Documentation/Requirements/bussinessLogicValidations.md</t>
  </si>
  <si>
    <t>V2.1.2</t>
  </si>
  <si>
    <t>Verify that the application's documentation defines how to validate the logical and contextual consistency of combined data items, such as checking that suburb and ZIP code match.</t>
  </si>
  <si>
    <t>Logical and consistency of combined data items are formally documented in requirements folder.</t>
  </si>
  <si>
    <t>Api/src/main/.../Domain/Order.java; Domain/Library.java; Service/OrderService.java (domain-level business rule enforcement)</t>
  </si>
  <si>
    <t>V2.1.3</t>
  </si>
  <si>
    <t>Verify that expectations for business logic limits and validations are documented, including both per-user and globally across the application.</t>
  </si>
  <si>
    <t>Business logic limits and validations are formally documented in requirements folder.</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</si>
  <si>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</si>
  <si>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</si>
  <si>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</si>
  <si>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</si>
  <si>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Business rules are enforced at Domain and Dto layers.</t>
  </si>
  <si>
    <t>Api/src/main/java/…/Dto/Request; Api/src/main/java/…/Domain;</t>
  </si>
  <si>
    <t>V2.2.2</t>
  </si>
  <si>
    <t>Verify that the application is designed to enforce input validation at a trusted service layer. While client-side validation improves usability and should be encouraged, it must not be relied upon as a security control.</t>
  </si>
  <si>
    <t>Input validation is performed at the application boundary using controller-level DTOs with Bean Validation constraints. Additionally, business rules are enforced in the service and domain layers.</t>
  </si>
  <si>
    <t>Api/src/main/java/…/Controller; Api/src/main/java/Dto/Request; Api/src/main/java/…/Domain</t>
  </si>
  <si>
    <t>V2.2.3</t>
  </si>
  <si>
    <t>Verify that the application ensures that combinations of related data items are reasonable according to the pre-defined rules.</t>
  </si>
  <si>
    <t>Logical and consistency of combined data items are enforced at Domain layer.</t>
  </si>
  <si>
    <t>V2.3</t>
  </si>
  <si>
    <t>Business Logic Security</t>
  </si>
  <si>
    <t>V2.3.1</t>
  </si>
  <si>
    <t>Verify that the application will only process business logic flows for the same user in the expected sequential step order and without skipping steps.</t>
  </si>
  <si>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</si>
  <si>
    <t>Api/src/main/java/…/Domain/Order.java</t>
  </si>
  <si>
    <t>V2.3.2</t>
  </si>
  <si>
    <t>Verify that business logic limits are implemented per the application's documentation to avoid business logic flaws being exploited.</t>
  </si>
  <si>
    <t>Api/src/main/java/…/Domain/Library.java; Api/src/main/java/…/Domain/Order.java</t>
  </si>
  <si>
    <t>V2.3.3</t>
  </si>
  <si>
    <t>Verify that transactions are being used at the business logic level such that either a business logic operation succeeds in its entirety or it is rolled back to the previous correct state.</t>
  </si>
  <si>
    <t>Business logic limits and validations are enforced at Domain layer.</t>
  </si>
  <si>
    <t>Api/src/main/java/…/Service;</t>
  </si>
  <si>
    <t>V2.3.4</t>
  </si>
  <si>
    <t>Verify that business logic level locking mechanisms are used to ensure that limited quantity resources (such as theater seats or delivery slots) cannot be double-booked by manipulating the application's logic.</t>
  </si>
  <si>
    <t>Not Started</t>
  </si>
  <si>
    <t>Business logic operations are implemented at Service layer with SpringBoot @Transactional metods to ensure atomicity of operations. Each operation either completes fully or is rolled back to previous state.</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</si>
  <si>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</si>
  <si>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</si>
  <si>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The system does not include high-risk operations requiring multiple 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</si>
  <si>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</si>
  <si>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</si>
  <si>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</si>
  <si>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</si>
  <si>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Anti-automation controls are enforced via a Bucket4j-based IP rate limiter applied to endpoints, preventing excessive automated requests, brute-force attacks, data scraping, and resource exhaustion</t>
  </si>
  <si>
    <t>Api/src/main/java/…/Security/RateLimitFilter.java</t>
  </si>
  <si>
    <t>V2.4.2</t>
  </si>
  <si>
    <t>Verify that business logic flows require realistic human timing, preventing excessively rapid transaction submissions.</t>
  </si>
  <si>
    <t>c</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</si>
  <si>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</si>
  <si>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</si>
  <si>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</si>
  <si>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</si>
  <si>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REST API with no browser-facing front-end. No browser security features need to be documented.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</si>
  <si>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</si>
  <si>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</si>
  <si>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</si>
  <si>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</si>
  <si>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</si>
  <si>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</si>
  <si>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No HTML rendering occurs in the API. All responses are JSON or binary file content.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</si>
  <si>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</si>
  <si>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</si>
  <si>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is used. ArcadeHaven is a back-end REST API only.</t>
  </si>
  <si>
    <t>V3.3</t>
  </si>
  <si>
    <t>Cookie Setup</t>
  </si>
  <si>
    <t>V3.3.1</t>
  </si>
  <si>
    <t>Verify that cookies have the 'Secure' attribute set, and if the '\__Host-' prefix is not used for the cookie name, the '__Secure-' prefix must be used for the cookie name.</t>
  </si>
  <si>
    <t>Uses JWT tokens in the Authorization header, not cookies.</t>
  </si>
  <si>
    <t>V3.3.2</t>
  </si>
  <si>
    <t>Verify that each cookie's 'SameSite' attribute value is set according to the purpose of the cookie, to limit exposure to user interface redress attacks and browser-based request forgery attacks, commonly known as cross-site request forgery (CSRF).</t>
  </si>
  <si>
    <t>No cookies are used. Authentication is handled via JWT Bearer tokens.</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</si>
  <si>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</si>
  <si>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</si>
  <si>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</si>
  <si>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</si>
  <si>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session cookies are used. JWTs are transmitted via the Authorization header only.</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</si>
  <si>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</si>
  <si>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</si>
  <si>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No cookies are used.</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</si>
  <si>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</si>
  <si>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</si>
  <si>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</si>
  <si>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</si>
  <si>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In Progress</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</si>
  <si>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</si>
  <si>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</si>
  <si>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</si>
  <si>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</si>
  <si>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CSP not applicable to JSON REST API without HTML responses.   </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</si>
  <si>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</si>
  <si>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</si>
  <si>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</si>
  <si>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</si>
  <si>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Referrer-Policy has minimal relevance in API-only context.   </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</si>
  <si>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</si>
  <si>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</si>
  <si>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Frame-ancestors not applicable (no browser rendering).           </t>
  </si>
  <si>
    <t>V3.4.7</t>
  </si>
  <si>
    <t>Verify that the Content-Security-Policy header field specifies a location to report violations.</t>
  </si>
  <si>
    <t>CSP reporting not applicable without CSP usage.</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</si>
  <si>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</si>
  <si>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</si>
  <si>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 ArcadeHaven does not serve HTML documents. `Cross-Origin-Opener-Policy` is not applicable to a JSON REST API.</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</si>
  <si>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</si>
  <si>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</si>
  <si>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</si>
  <si>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</si>
  <si>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All sensitive endpoints require a valid JWT Bearer token in the `Authorization` header, which is not a CORS-safelisted header, effectively preventing CSRF.</t>
  </si>
  <si>
    <t>Api/src/main/.../Security/SecurityConfig.java</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</si>
  <si>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</si>
  <si>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</si>
  <si>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All state-changing API calls require `Content-Type: application/json`, which triggers a CORS preflight. Requests without this header will be rejected.</t>
  </si>
  <si>
    <t>Api/src/main/.../Security/SecurityConfig.java; Controller/AuthController.java; Controller/OrderController.java; Controller/PublisherController.java; Controller/AdminController.java</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</si>
  <si>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</si>
  <si>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</si>
  <si>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All sensitive operations use appropriate HTTP methods (POST, PUT, PATCH, DELETE). GET endpoints are read-only and do not expose sensitive functionality.</t>
  </si>
  <si>
    <t>Api/src/main/.../Controller/OrderController.java; Controller/PublisherController.java; Controller/AdminController.java; Controller/GameController.java</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</si>
  <si>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</si>
  <si>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</si>
  <si>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hostname separation not applicable.</t>
  </si>
  <si>
    <t>V3.5.5</t>
  </si>
  <si>
    <t>Verify that messages received by the postMessage interface are discarded if the origin of the message is not trusted, or if the syntax of the message is invalid.</t>
  </si>
  <si>
    <t>No client-side messaging (postMessage).</t>
  </si>
  <si>
    <t>V3.5.6</t>
  </si>
  <si>
    <t>Verify that JSONP functionality is not enabled anywhere across the application to avoid Cross-Site Script Inclusion (XSSI) attacks.</t>
  </si>
  <si>
    <t>JSONP not used.</t>
  </si>
  <si>
    <t>V3.5.7</t>
  </si>
  <si>
    <t>Verify that data requiring authorization is not included in script resource responses, like JavaScript files, to prevent Cross-Site Script Inclusion (XSSI) attacks.</t>
  </si>
  <si>
    <t>API does not serve JavaScript files or executable client-side code.</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</si>
  <si>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</si>
  <si>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</si>
  <si>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</si>
  <si>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</si>
  <si>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</si>
  <si>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</si>
  <si>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Not serve or load any external client-side assets (JS libraries, CSS, fonts). No CDN resources are used in the back-end API.</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</si>
  <si>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</si>
  <si>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</si>
  <si>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</si>
  <si>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</si>
  <si>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Uses no client-side technologies. No plugins, Flash, ActiveX, or applets are used.</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</si>
  <si>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</si>
  <si>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</si>
  <si>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</si>
  <si>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</si>
  <si>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REST API No user-facing redirect notifications are applicable.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</si>
  <si>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</si>
  <si>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</si>
  <si>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</si>
  <si>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</si>
  <si>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REST API with no browser-facing interface. Browser feature detection is not applicable.</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</si>
  <si>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</si>
  <si>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</si>
  <si>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</si>
  <si>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</si>
  <si>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All API responses will include `Content-Type: application/json; charset=UTF-8`. File download endpoints will use the appropriate MIME type (e.g. `application/pdf`, `image/png`). Enforced globally via Spring Boot's response configuration.</t>
  </si>
  <si>
    <t>Api/src/main/.../Controller/LibraryController.java; Controller/OrderController.java</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</si>
  <si>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</si>
  <si>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</si>
  <si>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In the development environment, the API is exposed locally over HTTP only and is not publicly available. HTTPS is to be enforced in production environments here TLS is terminated at a reserve proxy (Nginx/Traefik), responsible for enforcing TSL 1.2+ and reedirecting non-HTTPS traffic to the correct endpoints.</t>
  </si>
  <si>
    <t>Api/src/main/resource/application.properties</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</si>
  <si>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</si>
  <si>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</si>
  <si>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ArcadeHaven application odes not trust client-provided headers such as X-Forwarded-For, X-Real-IP or X-Forwarded-Proto. These headers are only allowed hen injected through trusted reversse proxies. Additionally, SpringBoot is configured to ensure fowarded headers are only accepted from known internal proxy range and all other application componentes rely on request.getRemoteAddr() after proxy resolution.</t>
  </si>
  <si>
    <t>Api/src/main/resources/application.properties; Api/src/main/.../Security/SecurityAuditService.java;  Api/src/main/…/Exception/GlobalExceptionHandler.java; Api/src/main/…/Security/SecurityAuditService.java</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</si>
  <si>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</si>
  <si>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</si>
  <si>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</si>
  <si>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</si>
  <si>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</si>
  <si>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</si>
  <si>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</si>
  <si>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</si>
  <si>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ArcadeHaven will use HTTP/1.1 initially via Spring Boot embedded Tomcat, which handles Transfer-Encoding and Content-Length boundaries correctly by default. HTTP/2 support will be evaluated in Phase 2 with explicit validation of DATA frame consistency.</t>
  </si>
  <si>
    <t>Api/pom.xml (spring-boot-starter-web -&gt; embedded Tomcat)</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</si>
  <si>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</si>
  <si>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</si>
  <si>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</si>
  <si>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</si>
  <si>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</si>
  <si>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</si>
  <si>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</si>
  <si>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</si>
  <si>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</si>
  <si>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</si>
  <si>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</si>
  <si>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</si>
  <si>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ArcadeHaven uses a REST API, not GraphQL. This requirement is not applicable.</t>
  </si>
  <si>
    <t>V4.3.2</t>
  </si>
  <si>
    <t>Verify that GraphQL introspection queries are disabled in the production environment unless the GraphQL API is meant to be used by other parties.</t>
  </si>
  <si>
    <t>ArcadeHaven uses a REST API, not GraphQL. Introspection queries do not exist in this context.</t>
  </si>
  <si>
    <t>V4.4</t>
  </si>
  <si>
    <t>WebSocket</t>
  </si>
  <si>
    <t>V4.4.1</t>
  </si>
  <si>
    <t>Verify that WebSocket over TLS (WSS) is used for all WebSocket connections.</t>
  </si>
  <si>
    <t>ArcadeHaven does not implement WebSocket connections. All communication is via standard HTTPS REST API calls.</t>
  </si>
  <si>
    <t>V4.4.2</t>
  </si>
  <si>
    <t>Verify that, during the initial HTTP WebSocket handshake, the Origin header field is checked against a list of origins allowed for the application.</t>
  </si>
  <si>
    <t>No WebSocket handshake is performed. Not applicable to the current project scope.</t>
  </si>
  <si>
    <t>V4.4.3</t>
  </si>
  <si>
    <t>Verify that, if the application's standard session management cannot be used, dedicated tokens are being used for this, which comply with the relevant Session Management security requirements.</t>
  </si>
  <si>
    <t>No WebSocket connections are used. Session management is handled via JWT Bearer tokens over HTTPS.</t>
  </si>
  <si>
    <t>V4.4.4</t>
  </si>
  <si>
    <t>Verify that dedicated WebSocket session management tokens are initially obtained or validated through the previously authenticated HTTPS session when transitioning an existing HTTPS session to a WebSocket channel.</t>
  </si>
  <si>
    <t>No WebSocket connections are used. Not applicable to the current project scope.</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</si>
  <si>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</si>
  <si>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</si>
  <si>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</si>
  <si>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</si>
  <si>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</si>
  <si>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Documentation/Requirements/requirements.md; Documentation/SecurityTesting/securityTesting.md</t>
  </si>
  <si>
    <t>V5.2</t>
  </si>
  <si>
    <t>File Upload and Content</t>
  </si>
  <si>
    <t>V5.2.1</t>
  </si>
  <si>
    <t>Verify that the application will only accept files of a size which it can process without causing a loss of performance or a denial of service attack.</t>
  </si>
  <si>
    <t>Maximum file size limits will be enforced at the Spring Boot level via spring.servlet.multipart.max-file-size and spring.servlet.multipart.max-request-size. Requests exceeding the limit will be rejected with a 413 response before processing begins.</t>
  </si>
  <si>
    <t>Api/src/main/resources/application.properties (max-file-size=25MB); Api/src/main/java/…/Services/GameService.java; Api/src/main/java/…/Validation/FileValidator.java</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</si>
  <si>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</si>
  <si>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</si>
  <si>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</si>
  <si>
    <t>Api/src/main/java/.../Validation/FileValidator.java (Tika MIME detection from file bytes); Api/src/main/java/…/Service/FileStorageService.java</t>
  </si>
  <si>
    <t>V5.2.3</t>
  </si>
  <si>
    <t>Verify that the application checks compressed files (e.g., zip, gz, docx, odt) against maximum allowed uncompressed size and against maximum number of files before uncompressing the file.</t>
  </si>
  <si>
    <t>ArcadeHaven does not accept compressed archive uploads (zip, gz, etc.).</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</si>
  <si>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</si>
  <si>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</si>
  <si>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</si>
  <si>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</si>
  <si>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are accepted. Symlink exploitation via zip files is not applicable in the current scope.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</si>
  <si>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</si>
  <si>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</si>
  <si>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</si>
  <si>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</si>
  <si>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</si>
  <si>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</si>
  <si>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Uploaded files are storage in a File Storage outside web-accessible directories. File access is performed through authenticated API endpoints and returned as a stream of binaries.</t>
  </si>
  <si>
    <t>Api/src/main/java/…/controller/PublisherController.java; Api/src/main/java/…/service/FileStorageService.java</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</si>
  <si>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</si>
  <si>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</si>
  <si>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Uploaded files paths are validated against traversal attempts, absolute paths abuse and allowed top level root.</t>
  </si>
  <si>
    <t>Api/src/main/java/…/Service/FileStorageService.java</t>
  </si>
  <si>
    <t>V5.3.3</t>
  </si>
  <si>
    <t>Verify that server-side file processing, such as file decompression, ignores user-provided path information to prevent vulnerabilities such as zip slip.</t>
  </si>
  <si>
    <t>No server-side file decompression is performed on user-uploaded files. Zip slip attacks are not applicable in the current scope.</t>
  </si>
  <si>
    <t>V5.4</t>
  </si>
  <si>
    <t>File Download</t>
  </si>
  <si>
    <t>V5.4.1</t>
  </si>
  <si>
    <t>Verify that the application validates or ignores user-submitted filenames, including in a JSON, JSONP, or URL parameter and specifies a filename in the Content-Disposition header field in the response.</t>
  </si>
  <si>
    <t>ArcadeHaven does not trust user-submitted filenames. Uploaded files are stored with a safe filename generated with UUID.</t>
  </si>
  <si>
    <t>Api/src/main/java/.../Service/GameService.java; Api/src/main/java/…/Controller/PublisherController.java;</t>
  </si>
  <si>
    <t>V5.4.2</t>
  </si>
  <si>
    <t>Verify that file names served (e.g., in HTTP response header fields or email attachments) are encoded or sanitized (e.g., following RFC 6266) to preserve document structure and prevent injection attacks.</t>
  </si>
  <si>
    <t>ArcadeHaven fetches files by their UUID and returns sanitized filename saved at time of creation.</t>
  </si>
  <si>
    <t>Api/src/main/java/…/Service/GameService.java;</t>
  </si>
  <si>
    <t>V5.4.3</t>
  </si>
  <si>
    <t>Verify that files obtained from untrusted sources are scanned by antivirus scanners to prevent serving of known malicious content.</t>
  </si>
  <si>
    <t>ArcadeHaven scans for known malware using ClamAV antivirus before processing a file.</t>
  </si>
  <si>
    <t>Api/src/main/java/…/Service/ClamAVService.java; Api/src/main/java/…/GameService.java</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</si>
  <si>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</si>
  <si>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</si>
  <si>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</si>
  <si>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</si>
  <si>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</si>
  <si>
    <t>Api/src/main/java/isep/desosfs/arcadehaven/Security/RateLimitFilter.java (Bucket4j 20 req/min); Security/SecurityAuditService.java (checkAndAlert); Service/PasswordPolicyService.java</t>
  </si>
  <si>
    <t>V6.1.2</t>
  </si>
  <si>
    <t>Verify that a list of context-specific words is documented in order to prevent their use in passwords. The list could include permutations of organization names, product names, system identifiers, project codenames, department or role names, and similar.</t>
  </si>
  <si>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</si>
  <si>
    <t>Api/src/main/java/isep/desosfs/arcadehaven/Service/PasswordPolicyService.java:CONTEXT_BLOCKLIST, checkContextTerms()</t>
  </si>
  <si>
    <t>V6.1.3</t>
  </si>
  <si>
    <t>Verify that, if the application includes multiple authentication pathways, these are all documented together with the security controls and authentication strength which must be consistently enforced across them.</t>
  </si>
  <si>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</si>
  <si>
    <t>Api/src/main/java/isep/desosfs/arcadehaven/Service/AuthService.java (login, register, logout); Security/SecurityConfig.java (JWT validation, deny-all default)</t>
  </si>
  <si>
    <t>V6.2</t>
  </si>
  <si>
    <t>Password Security</t>
  </si>
  <si>
    <t>V6.2.1</t>
  </si>
  <si>
    <t>Verify that user set passwords are at least 8 characters in length although a minimum of 15 characters is strongly recommended.</t>
  </si>
  <si>
    <t>RegisterRequest enforces @Size(min=12, max=128) on password, exceeding the ASVS minimum of 8 characters. Validated server-side by Bean Validation. Same constraint enforced at Keycloak realm level.</t>
  </si>
  <si>
    <t>Api/src/main/java/isep/desosfs/arcadehaven/Dto/Request/RegisterRequest.java (@Size(min=12, max=128))</t>
  </si>
  <si>
    <t>V6.2.2</t>
  </si>
  <si>
    <t>Verify that users can change their password.</t>
  </si>
  <si>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</si>
  <si>
    <t>Api/src/main/java/isep/desosfs/arcadehaven/Controller/ProfileController.java:changePassword(); Service/ProfileService.java:changePassword(); Dto/Request/ChangePasswordRequest.java</t>
  </si>
  <si>
    <t>V6.2.3</t>
  </si>
  <si>
    <t>Verify that password change functionality requires the user's current and new password.</t>
  </si>
  <si>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</si>
  <si>
    <t>Api/src/main/java/isep/desosfs/arcadehaven/Service/ProfileService.java:verifyCurrentPassword(), changePassword()</t>
  </si>
  <si>
    <t>V6.2.4</t>
  </si>
  <si>
    <t>Verify that passwords submitted during account registration or password change are checked against an available set of, at least, the top 3000 passwords which match the application's password policy, e.g. minimum length.</t>
  </si>
  <si>
    <t>PasswordPolicyService.checkCommonPasswords() checks submitted passwords against top-3000+ common passwords loaded from /security/common-passwords.txt (case-insensitive). Called at registration and password change.</t>
  </si>
  <si>
    <t>Api/src/main/java/isep/desosfs/arcadehaven/Service/PasswordPolicyService.java:checkCommonPasswords(); src/main/resources/security/common-passwords.txt</t>
  </si>
  <si>
    <t>V6.2.5</t>
  </si>
  <si>
    <t>Verify that passwords of any composition can be used, without rules limiting the type of characters permitted. There must be no requirement for a minimum number of upper or lower case characters, numbers, or special characters.</t>
  </si>
  <si>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</si>
  <si>
    <t>Api/src/main/java/isep/desosfs/arcadehaven/Service/PasswordPolicyService.java (no composition checks); Dto/Request/RegisterRequest.java (@Size only)</t>
  </si>
  <si>
    <t>V6.2.6</t>
  </si>
  <si>
    <t>Verify that password input fields use type=password to mask the entry. Applications may allow the user to temporarily view the entire masked password, or the last typed character of the password.</t>
  </si>
  <si>
    <t>ArcadeHaven is a REST API with no front-end. Password masking is a client-side concern and falls outside the project scope.</t>
  </si>
  <si>
    <t>V6.2.7</t>
  </si>
  <si>
    <t>Verify that "paste" functionality, browser password helpers, and external password managers are permitted.</t>
  </si>
  <si>
    <t>ArcadeHaven is a REST API with no front-end. Paste functionality and password manager compatibility are client-side concerns outside the project scope.</t>
  </si>
  <si>
    <t>V6.2.8</t>
  </si>
  <si>
    <t>Verify that the application verifies the user's password exactly as received from the user, without any modifications such as truncation or case transformation.</t>
  </si>
  <si>
    <t>The application must verify passwords exactly as received. No truncation, trimming, or transformation of any kind shall be applied to passwords before hashing or comparison.</t>
  </si>
  <si>
    <t>Api/src/main/.../Service/AuthService.java</t>
  </si>
  <si>
    <t>V6.2.9</t>
  </si>
  <si>
    <t>Verify that passwords of at least 64 characters are permitted.</t>
  </si>
  <si>
    <t>RegisterRequest and ChangePasswordRequest both enforce @Size(min=12, max=128). The 128-character maximum exceeds the 64-character minimum. Keycloak realm policy configured consistently.</t>
  </si>
  <si>
    <t>Api/src/main/java/isep/desosfs/arcadehaven/Dto/Request/RegisterRequest.java (@Size(max=128)); Dto/Request/ChangePasswordRequest.java (@Size(max=128))</t>
  </si>
  <si>
    <t>V6.2.10</t>
  </si>
  <si>
    <t>Verify that a user's password stays valid until it is discovered to be compromised or the user rotates it. The application must not require periodic credential rotation.</t>
  </si>
  <si>
    <t>No periodic password expiration enforced. Keycloak realm has no force-expired-password-change policy. Passwords remain valid until voluntarily changed by the user or a breach is detected (HIBP).</t>
  </si>
  <si>
    <t>Keycloak realm: no password expiry policy; Api/src/main/java/isep/desosfs/arcadehaven/Service/AuthService.java (no expiry enforcement)</t>
  </si>
  <si>
    <t>V6.2.11</t>
  </si>
  <si>
    <t>Verify that the documented list of context specific words is used to prevent easy to guess passwords being created.</t>
  </si>
  <si>
    <t>PasswordPolicyService.checkContextTerms() performs case-insensitive substring search against CONTEXT_BLOCKLIST at registration (AuthService.register()) and password change (ProfileService.changePassword()). Rejection message is generic and does not disclose the matched term.</t>
  </si>
  <si>
    <t>Api/src/main/java/isep/desosfs/arcadehaven/Service/PasswordPolicyService.java:checkContextTerms()</t>
  </si>
  <si>
    <t>V6.2.12</t>
  </si>
  <si>
    <t>Verify that passwords submitted during account registration or password changes are checked against a set of breached passwords.</t>
  </si>
  <si>
    <t>PasswordPolicyService.checkHibp() computes SHA-1, sends 5-char prefix to HaveIBeenPwned k-anonymity API, checks if suffix appears in response. Full hash never transmitted. Applied at registration and password change. Configurable via security.hibp.enabled=false for offline environments.</t>
  </si>
  <si>
    <t>Api/src/main/java/isep/desosfs/arcadehaven/Service/PasswordPolicyService.java:checkHibp()</t>
  </si>
  <si>
    <t>V6.3</t>
  </si>
  <si>
    <t>General Authentication Security</t>
  </si>
  <si>
    <t>V6.3.1</t>
  </si>
  <si>
    <t>Verify that controls to prevent attacks such as credential stuffing and password brute force are implemented according to the application's security documentation.</t>
  </si>
  <si>
    <t>The application must implement rate limiting on authentication endpoints and enforce temporary account lockout after a configurable number of consecutive failed login attempts.</t>
  </si>
  <si>
    <t>Api/src/main/.../Security/RateLimitFilter.java (Bucket4j, 20 req/min per IP)</t>
  </si>
  <si>
    <t>V6.3.2</t>
  </si>
  <si>
    <t>Verify that default user accounts (e.g., "root", "admin", or "sa") are not present in the application or are disabled.</t>
  </si>
  <si>
    <t>The application must not include any default or well-known user accounts. Any seed accounts required for initial setup must use randomly generated credentials injected via environment variables and must be documented in the operations guide.</t>
  </si>
  <si>
    <t>Api/src/main/.../Config/AdminInitializer.java (env vars ADMIN_USERNAME/ADMIN_PASSWORD)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</si>
  <si>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</si>
  <si>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</si>
  <si>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</si>
  <si>
    <t>Keycloak realm: MFA / TOTP required action for ADMIN; Api/src/main/java/isep/desosfs/arcadehaven/Config/KeycloakAdminConfig.java</t>
  </si>
  <si>
    <t>V6.3.4</t>
  </si>
  <si>
    <t>Verify that, if the application includes multiple authentication pathways, there are no undocumented pathways and that security controls and authentication strength are enforced consistently.</t>
  </si>
  <si>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</si>
  <si>
    <t>Api/src/main/java/isep/desosfs/arcadehaven/Security/SecurityConfig.java (uniform JWT, deny-all default)</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</si>
  <si>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</si>
  <si>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</si>
  <si>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</si>
  <si>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</si>
  <si>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</si>
  <si>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</si>
  <si>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</si>
  <si>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</si>
  <si>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</si>
  <si>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</si>
  <si>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</si>
  <si>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</si>
  <si>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</si>
  <si>
    <t>Api/src/main/java/isep/desosfs/arcadehaven/Domain/OrderItem.java:generateActivationKey() (SecureRandom 128-bit); Config/AdminInitializer.java (ADMIN_PASSWORD env var)</t>
  </si>
  <si>
    <t>V6.4.2</t>
  </si>
  <si>
    <t>Verify that password hints or knowledge-based authentication (so-called "secret questions") are not present.</t>
  </si>
  <si>
    <t>The application must not implement password hints or knowledge-based authentication (secret questions). Password recovery must use secure, time-limited tokens delivered to the user's registered email address.</t>
  </si>
  <si>
    <t>Api/src/main/.../Dto/Request/RegisterRequest.java (no secret-question field)</t>
  </si>
  <si>
    <t>V6.4.3</t>
  </si>
  <si>
    <t>Verify that a secure process for resetting a forgotten password is implemented, that does not bypass any enabled multi-factor authentication mechanisms.</t>
  </si>
  <si>
    <t>Password reset handled entirely by Keycloak: sends time-limited (5 min), single-use secure email link. Reset link invalidated immediately after use. Does not bypass MFA. No custom reset flow in Spring Boot.</t>
  </si>
  <si>
    <t>Keycloak realm: forgot-password flow (5-min single-use token via secure email)</t>
  </si>
  <si>
    <t>V6.4.4</t>
  </si>
  <si>
    <t>Verify that if a multi-factor authentication factor is lost, evidence of identity proofing is performed at the same level as during enrollment.</t>
  </si>
  <si>
    <t>MFA factor recovery handled by Keycloak Admin Console: admin removes TOTP credential and sets CONFIGURE_TOTP as required action, forcing re-enrolment at same assurance level as original enrolment. No self-service MFA recovery bypass in the application.</t>
  </si>
  <si>
    <t>Keycloak Admin Console: Users -&gt; Credentials -&gt; remove OTP -&gt; required action CONFIGURE_TOTP</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</si>
  <si>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</si>
  <si>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</si>
  <si>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</si>
  <si>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</si>
  <si>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</si>
  <si>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</si>
  <si>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</si>
  <si>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</si>
  <si>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TOTP codes single-use by design: Keycloak maintains used-code cache preventing replay within same time window. Password reset tokens single-use: invalidated after first use. Activation keys single-use: consumed on redemption via OrderItem.redeem().</t>
  </si>
  <si>
    <t>Keycloak TOTP: used-code cache (anti-replay); Api/src/main/java/isep/desosfs/arcadehaven/Domain/OrderItem.java:redeem()</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</si>
  <si>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</si>
  <si>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</si>
  <si>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TOTP seeds stored by Keycloak in AES-encrypted credential store (not accessible to Spring Boot). Activation keys have 128-bit entropy (&gt;= 112 bits), so a standard hash is permitted by ASVS; they are stored as display-once values access-controlled at DB level.</t>
  </si>
  <si>
    <t>Keycloak credential store (AES-encrypted TOTP seeds); Api/src/main/java/isep/desosfs/arcadehaven/Domain/OrderItem.java (128-bit activation key, display-once)</t>
  </si>
  <si>
    <t>V6.5.3</t>
  </si>
  <si>
    <t>Verify that lookup secrets, out-of-band authentication code, and time-based one-time password seeds, are generated using a Cryptographically Secure Pseudorandom Number Generator (CSPRNG) to avoid predictable values.</t>
  </si>
  <si>
    <t>TOTP seeds and password reset tokens generated by Keycloak using SecureRandom. Activation keys generated via java.security.SecureRandom.nextBytes(16) in OrderItem.generateActivationKey(). No Math.random() or non-cryptographic generator used in any secret-generation path.</t>
  </si>
  <si>
    <t>Keycloak (SecureRandom for TOTP seeds and reset tokens); Api/src/main/java/isep/desosfs/arcadehaven/Domain/OrderItem.java:generateActivationKey() (SecureRandom)</t>
  </si>
  <si>
    <t>V6.5.4</t>
  </si>
  <si>
    <t>Verify that lookup secrets and out-of-band authentication codes have a minimum of 20 bits of entropy (typically 4 random alphanumeric characters or 6 random digits is sufficient).</t>
  </si>
  <si>
    <t>Keycloak TOTP generates 6-digit codes (log2(10^6) ~20 bits of entropy, meets 20-bit minimum). Password reset tokens &gt;= 128 bits. Activation keys 128 bits. No code falls below 20-bit threshold.</t>
  </si>
  <si>
    <t>Keycloak TOTP: 6-digit codes (~20 bits); Activation keys: 128 bits</t>
  </si>
  <si>
    <t>V6.5.5</t>
  </si>
  <si>
    <t>Verify that out-of-band authentication requests, codes, or tokens, as well as time-based one-time passwords (TOTPs) have a defined lifetime. Out of band requests must have a maximum lifetime of 10 minutes and for TOTP a maximum lifetime of 30 seconds.</t>
  </si>
  <si>
    <t>Keycloak TOTP: 30-second time step with +/-1 step tolerance (90 sec max window, within 30s requirement). Password reset links expire after 5 minutes (within 10-minute max for out-of-band requests). Email verification codes expire after 5 minutes.</t>
  </si>
  <si>
    <t>Keycloak realm: OTP Policy (30s step, +/-1 tolerance); action-token-generated-by-admin-lifespan=5m</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</si>
  <si>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</si>
  <si>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</si>
  <si>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</si>
  <si>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</si>
  <si>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</si>
  <si>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</si>
  <si>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</si>
  <si>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</si>
  <si>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</si>
  <si>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</si>
  <si>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ArcadeHaven does not use PSTN (SMS/phone) for OTP delivery. MFA is implemented via TOTP only.</t>
  </si>
  <si>
    <t>V6.6.2</t>
  </si>
  <si>
    <t>Verify that out-of-band authentication requests, codes, or tokens are bound to the original authentication request for which they were generated and are not usable for a previous or subsequent one.</t>
  </si>
  <si>
    <t>Keycloak TOTP codes time-bound (30s) and session-scoped. Used-code tracking prevents replay in different sessions. Password reset tokens cryptographically bound to specific user and action; cannot be used for different user or action.</t>
  </si>
  <si>
    <t>Keycloak TOTP: session-scoped, used-code tracking; Keycloak reset tokens: user-ID-bound, single-use</t>
  </si>
  <si>
    <t>V6.6.3</t>
  </si>
  <si>
    <t>Verify that a code based out-of-band authentication mechanism is protected against brute force attacks by using rate limiting. Consider also using a code with at least 64 bits of entropy.</t>
  </si>
  <si>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</si>
  <si>
    <t>Keycloak realm: brute-force protection; Api/src/main/java/isep/desosfs/arcadehaven/Security/RateLimitFilter.java (20 req/min, secondary layer)</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</si>
  <si>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</si>
  <si>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</si>
  <si>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</si>
  <si>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</si>
  <si>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</si>
  <si>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</si>
  <si>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</si>
  <si>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</si>
  <si>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</si>
  <si>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</si>
  <si>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</si>
  <si>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</si>
  <si>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ArcadeHaven does not support external identity providers in the current phase. If OAuth2/OIDC is introduced in future phases, this requirement must be revisited.</t>
  </si>
  <si>
    <t>V6.8.2</t>
  </si>
  <si>
    <t>Verify that the presence and integrity of digital signatures on authentication assertions (for example on JWTs or SAML assertions) are always validated, rejecting any assertions that are unsigned or have invalid signatures.</t>
  </si>
  <si>
    <t>All JWT tokens must be signed using RS256 or HS256. The signature must be validated on every request. Unsigned tokens, tokens with alg: none, and tokens with invalid signatures must be rejected with a 401 response.</t>
  </si>
  <si>
    <t>Api/src/main/.../Security/SecurityConfig.java; Api/src/main/resources/application.properties (jwk-set-uri)</t>
  </si>
  <si>
    <t>V6.8.3</t>
  </si>
  <si>
    <t>Verify that SAML assertions are uniquely processed and used only once within the validity period to prevent replay attacks.</t>
  </si>
  <si>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</si>
  <si>
    <t>Api/src/main/java/isep/desosfs/arcadehaven/Service/AuthService.java:logout() (Keycloak session revocation); Keycloak realm: access-token-lifespan=900s (15 min)</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</si>
  <si>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</si>
  <si>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</si>
  <si>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ArcadeHaven does not use a separate Identity Provider in the current phase. This requirement does not apply to the current project scope.</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</si>
  <si>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</si>
  <si>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</si>
  <si>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</si>
  <si>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</si>
  <si>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Token lifetime is currently defined in RNF-03 in Requirements documentation.</t>
  </si>
  <si>
    <t>Documentation/Requirements.md</t>
  </si>
  <si>
    <t>V7.1.2</t>
  </si>
  <si>
    <t>Verify that the documentation defines how many concurrent (parallel) sessions are allowed for one account as well as the intended behaviors and actions to be taken when the maximum number of active sessions is reached.</t>
  </si>
  <si>
    <t>Token issue limitation for same user is currently defined in RNF-04 in Requirements documentation.</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</si>
  <si>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</si>
  <si>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</si>
  <si>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Keycloak configuration , along with controls to coordinate session lifetimes, termination and any other conditions that require re-authentication, is documented in KeycloackConfiguration.</t>
  </si>
  <si>
    <t>Documentation/KeycloakConfiguration.md</t>
  </si>
  <si>
    <t>V7.2</t>
  </si>
  <si>
    <t>Fundamental Session Management Security</t>
  </si>
  <si>
    <t>V7.2.1</t>
  </si>
  <si>
    <t>Verify that the application performs all session token verification using a trusted, backend service.</t>
  </si>
  <si>
    <t>Session token verification is performed by Spring Security OAuth2 Resource Server integrated with Keycloak. All JWT access tokens are validated on the backend, including signature, issuer, expiration, and claim verification, before authentication and authorization are granted.</t>
  </si>
  <si>
    <t>Api/src/main/java/…/Security/SecurityConfig.java</t>
  </si>
  <si>
    <t>V7.2.2</t>
  </si>
  <si>
    <t>Verify that the application uses either self-contained or reference tokens that are dynamically generated for session management, i.e. not using static API secrets and keys.</t>
  </si>
  <si>
    <t>User sessions are managed through dynamically generated Keycloak-issued JWT access tokens and refresh tokens. The application does not use static API keys, hardcoded tokens, or long-lived shared secrets for session management. Each authenticated session receives unique tokens that are validated by the backend before access is granted.</t>
  </si>
  <si>
    <t>Api/src/main/java/…/Servic/AuthService.java; keycloak/realm-export.json</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</si>
  <si>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</si>
  <si>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</si>
  <si>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</si>
  <si>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</si>
  <si>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Keycloak issues a new JWT access token and refresh token with each successful authentication. Logging out via a POST request to /api/auth/logout revokes all active tokens. Spring Boot does not maintain session state (stateless JWT). The tracker must be updated.</t>
  </si>
  <si>
    <t>keycloak/realm-export.json</t>
  </si>
  <si>
    <t>V7.3</t>
  </si>
  <si>
    <t>Session Timeout</t>
  </si>
  <si>
    <t>V7.3.1</t>
  </si>
  <si>
    <t>Verify that there is an inactivity timeout such that re-authentication is enforced according to risk analysis and documented security decisions.</t>
  </si>
  <si>
    <t>Keycloak configuration enforces a maximum inactivity timeout of 1800 seconds (30 minutes).</t>
  </si>
  <si>
    <t>V7.3.2</t>
  </si>
  <si>
    <t>Verify that there is an absolute maximum session lifetime such that re-authentication is enforced according to risk analysis and documented security decisions.</t>
  </si>
  <si>
    <t>Keycloak configuration enforces a session maximum lifetime of 604800 seconds (7 days).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</si>
  <si>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</si>
  <si>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</si>
  <si>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</si>
  <si>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</si>
  <si>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POST /api/auth/logout revokes all of the user's active sessions in Keycloak via UserResource.logout() (Keycloak Admin Client). Tokens naturally expire based on the exp claim.</t>
  </si>
  <si>
    <t>Api/src/main/java/…/Controller/AuthController.java; Api/src/main/java/…/Service/AuthService.java</t>
  </si>
  <si>
    <t>V7.4.2</t>
  </si>
  <si>
    <t>Verify that the application terminates all active sessions when a user account is disabled or deleted (such as an employee leaving the company).</t>
  </si>
  <si>
    <t>AdminService.deactivateUser() now calls keycloakDisableAndLogout(): sets enabled=false on Keycloak user (blocks new logins) + calls UserResource.logout() (revokes all active sessions immediately). activateUser() calls keycloakEnable() to re-enable the account.</t>
  </si>
  <si>
    <t>V7.4.3</t>
  </si>
  <si>
    <t>Verify that the application gives the option to terminate all other active sessions after a successful change or removal of any authentication factor (including password change via reset or recovery and, if present, an MFA settings update).</t>
  </si>
  <si>
    <t>MFA is exclusively enforced upon system admins and cannot be revoked. Remaining users authenticate via username and password, without any additional authentication factors.</t>
  </si>
  <si>
    <t>V7.4.4</t>
  </si>
  <si>
    <t>Verify that all pages that require authentication have easy and visible access to logout functionality.</t>
  </si>
  <si>
    <t>V7.4.5</t>
  </si>
  <si>
    <t>Verify that application administrators are able to terminate active sessions for an individual user or for all users.</t>
  </si>
  <si>
    <t>DELETE /api/admin/users/{id}/sessions endpoint added to AdminController. AdminService.revokeUserSessions() resolves Keycloak user by username and calls UserResource.logout() to revoke all sessions immediately without disabling the account.</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</si>
  <si>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</si>
  <si>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</si>
  <si>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</si>
  <si>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</si>
  <si>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All ArcadeHaven API endpoints require authentication except for the login and registration endpoints. Access to sensitive operations and account-related data is protected by authentication and role-based authorization, ensuring that only authenticated users with appropriate permissions can perform privileged actions.</t>
  </si>
  <si>
    <t>V7.5.2</t>
  </si>
  <si>
    <t>Verify that users are able to view and (having authenticated again with at least one factor) terminate any or all currently active sessions.</t>
  </si>
  <si>
    <t>Keycloak is configured to prevent multiple concurrent sessions per user by limiting active sessions and revoking tokens when a logout is performed.</t>
  </si>
  <si>
    <t>Api/src/main/java/…/Controller/AuthController.java; keycloak/realm-export.json</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</si>
  <si>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</si>
  <si>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</si>
  <si>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</si>
  <si>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</si>
  <si>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</si>
  <si>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</si>
  <si>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Session lifetime and re-authentication behavior are enforced through Keycloak Identity Provider (IdP) session policies and the relying party’s stateless JWT validation. The IdP defines both idle and absolute session timeouts (ssoSessionIdleTimeout, ssoSessionMaxLifespan) while the application enforces short-lived access tokens (accessTokenLifespan).</t>
  </si>
  <si>
    <t>V7.6.2</t>
  </si>
  <si>
    <t>Verify that creation of a session requires either the user's consent or an explicit action, preventing the creation of new application sessions without user interaction.</t>
  </si>
  <si>
    <t>Authentication is handled through Keycloak, requiring explicit user credential submission to login endpoint. The Spring Boot application acts as a stateless OAuth2 Resource Server and does not maintain server-side sessions or create application-level sessions.</t>
  </si>
  <si>
    <t>V8.1</t>
  </si>
  <si>
    <t>Authorization Documentation</t>
  </si>
  <si>
    <t>V8.1.1</t>
  </si>
  <si>
    <t>Verify that authorization documentation defines rules for restricting function-level and data-specific access based on consumer permissions and resource attributes.</t>
  </si>
  <si>
    <t>Documentation/AuthorizationMatrix.md documents all 37 API endpoints with role permissions (ADMIN, PUBLISHER, BUYER) and ownership checks. SecurityConfig.java enforces path-level rules (deny-all default). @PreAuthorize("hasRole(...)") annotations on each controller method enforce method-level authorization. Service-layer ownership checks (e.g. GameService.findByIdAndPublisher, OrderService ownership) enforce data-specific access rules.</t>
  </si>
  <si>
    <t>Documentation/AuthorizationMatrix.md (37 endpoints, role matrix, ownership rules — V8.1.1); Api/src/main/java/.../Security/SecurityConfig.java; Controller/AdminController.java, PublisherController.java, GameController.java, OrderController.java, LibraryController.java (@PreAuthorize)</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</si>
  <si>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</si>
  <si>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</si>
  <si>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Documentation/AuthorizationMatrix.md §V8.1.2 documents readable and writable fields per role per entity. Sensitive fields (password_hash, activation_key, invoice_path, internal IDs) are excluded from all API responses. DTO record projections (GameResponse, OrderResponse, UserResponse, LibraryEntryResponse) enforce field-level filtering at the service layer. Publishers cannot read other publishers fields; buyers cannot read game cost price etc.</t>
  </si>
  <si>
    <t>Documentation/AuthorizationMatrix.md §V8.1.2 (field-level access table); Api/src/main/java/.../Dto/Response/GameResponse.java, OrderResponse.java, UserResponse.java, LibraryEntryResponse.java (DTO projections exclude sensitive fields)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</si>
  <si>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</si>
  <si>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</si>
  <si>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Authorization decision are not based on contextual attributes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</si>
  <si>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</si>
  <si>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</si>
  <si>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adaptative or risk-based authorization are enforced</t>
  </si>
  <si>
    <t>V8.2</t>
  </si>
  <si>
    <t>General Authorization Design</t>
  </si>
  <si>
    <t>V8.2.1</t>
  </si>
  <si>
    <t>Verify that the application ensures that function-level access is restricted to consumers with explicit permissions.</t>
  </si>
  <si>
    <t>Functional authorization will be enforced using Spring Security method-level security based on user roles</t>
  </si>
  <si>
    <t>Api/src/main/.../Security/SecurityConfig.java; Controller/AdminController.java; Controller/PublisherController.java; Controller/OrderController.java; Security/KeycloakRoleConverter.java</t>
  </si>
  <si>
    <t>V8.2.2</t>
  </si>
  <si>
    <t>Verify that the application ensures that data-specific access is restricted to consumers with explicit permissions to specific data items to mitigate insecure direct object reference (IDOR) and broken object level authorization (BOLA).</t>
  </si>
  <si>
    <t>Data-level authorization will enforce ownership checks</t>
  </si>
  <si>
    <t>Api/src/main/.../Service/GameService.java (findByIdAndPublisher); Service/OrderService.java; Service/LibraryService.java</t>
  </si>
  <si>
    <t>V8.2.3</t>
  </si>
  <si>
    <t>Verify that the application ensures that field-level access is restricted to consumers with explicit permissions to specific fields to mitigate broken object property level authorization (BOPLA).</t>
  </si>
  <si>
    <t>Sensitive fields will be excluded from API responses using DTO mapping and controlled serialization to prevent data leakage</t>
  </si>
  <si>
    <t>Api/src/main/.../Dto/Response/UserResponse.java; Dto/Response/OrderResponse.java; Dto/Response/GameResponse.java; Dto/Response/LibraryEntryResponse.java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</si>
  <si>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</si>
  <si>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</si>
  <si>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contextual or adaptative authorization controls are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</si>
  <si>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</si>
  <si>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</si>
  <si>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</si>
  <si>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</si>
  <si>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 xml:space="preserve"> All authorization is server-side: SecurityConfig with rules based on path/role, @PreAuthorize(“hasRole(...)”)</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</si>
  <si>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</si>
  <si>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</si>
  <si>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</si>
  <si>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</si>
  <si>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ArcadeHaven system is monolithic; no inter-service authorization propagation is required</t>
  </si>
  <si>
    <t>V8.4</t>
  </si>
  <si>
    <t>Other Authorization Considerations</t>
  </si>
  <si>
    <t>V8.4.1</t>
  </si>
  <si>
    <t>Verify that multi-tenant applications use cross-tenant controls to ensure consumer operations will never affect tenants with which they do not have permissions to interact.</t>
  </si>
  <si>
    <t>ArcadeHaven is not a multi-tenant system so all users belong to the same application context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</si>
  <si>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</si>
  <si>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</si>
  <si>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</si>
  <si>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</si>
  <si>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</si>
  <si>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</si>
  <si>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All JWT tokens issued by ArcadeHaven will be validated using their digital signature (HMAC-SHA256 or RS256) before any token content is trusted. Spring Security's JWT filter will reject any token with an invalid or missing signature with a 401 response.</t>
  </si>
  <si>
    <t>Api/src/main/.../Security/SecurityConfig.java (Spring Security JWT decoder)</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</si>
  <si>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</si>
  <si>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</si>
  <si>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An algorithm allowlist will be configured in the JWT validation layer. Only HS256 or RS256 will be permitted. The None algorithm will be explicitly rejected. No mixed symmetric/asymmetric support is planned, avoiding key confusion risks.</t>
  </si>
  <si>
    <t>Api/src/main/.../Security/SecurityConfig.java (Nimbus JOSE, RS256 only)</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</si>
  <si>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</si>
  <si>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</si>
  <si>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Key material for JWT validation will be pre-configured server-side via environment variables. JWT headers such as jku, x5u, and jwk will be ignored or validated against a strict allowlist to prevent attackers from supplying untrusted key sources.</t>
  </si>
  <si>
    <t>Api/src/main/.../Security/SecurityConfig.java; application.properties (jwk-set-uri)</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</si>
  <si>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</si>
  <si>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</si>
  <si>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</si>
  <si>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</si>
  <si>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tokens will include exp (expiration) and nbf (not before) claims. The validation layer will reject tokens outside their validity window. Access tokens will have a maximum lifetime of 15 minutes.</t>
  </si>
  <si>
    <t>Api/src/main/.../Security/SecurityConfig.java (Spring Security validates exp/nbf)</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</si>
  <si>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</si>
  <si>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</si>
  <si>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ASVS V9.2.2 — JwtBearerTypValidator (Security/JwtBearerTypValidator.java) implements OAuth2TokenValidator&lt;Jwt&gt; that rejects any token whose typ claim is present and not Bearer (case-insensitive). Fail-open for tokens without typ to support all Keycloak versions. Wired into custom JwtDecoder bean in SecurityConfig.jwtDecoder() via DelegatingOAuth2TokenValidator alongside issuer and audience validators. 6 unit tests in JwtBearerTypValidatorTest validate: Bearer accepted, case-insensitive, missing typ accepted, ID rejected, Refresh rejected, arbitrary type rejected.</t>
  </si>
  <si>
    <t>Api/src/main/java/.../Security/JwtBearerTypValidator.java; Api/src/main/java/.../Security/SecurityConfig.java (jwtDecoder bean); Api/src/test/java/.../Security/JwtBearerTypValidatorTest.java (6 tests)</t>
  </si>
  <si>
    <t>V9.2.3</t>
  </si>
  <si>
    <t>Verify that the service only accepts tokens which are intended for use with that service (audience). For JWTs, this can be achieved by validating the 'aud' claim against an allowlist defined in the service.</t>
  </si>
  <si>
    <t>ASVS V9.2.3 — spring.security.oauth2.resourceserver.jwt.audiences=arcadehaven-api added to application.properties. SecurityConfig.jwtDecoder() bean adds JwtClaimValidator&lt;List&lt;String&gt;&gt; for the aud claim, requiring arcadehaven-api to be present. Keycloak client arcadehaven-public has oidc-audience-mapper that adds arcadehaven-api to aud on every access token. Any token missing this value is rejected with 401. 4 tests in JwtAudienceConfigTest verify the property configuration.</t>
  </si>
  <si>
    <t>Api/src/main/resources/application.properties (audiences=arcadehaven-api); Api/src/main/java/.../Security/SecurityConfig.java (JwtClaimValidator aud); Api/src/test/java/.../Config/JwtAudienceConfigTest.java (4 tests)</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</si>
  <si>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</si>
  <si>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</si>
  <si>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ASVS V9.2.4 — Single fixed audience arcadehaven-api eliminates audience confusion: tokens issued for any other Keycloak client are rejected by the JwtClaimValidator in SecurityConfig.jwtDecoder(). No dynamic audience provisioning. Audience restriction enforced at both Keycloak (oidc-audience-mapper) and Spring Security (JwtClaimValidator) layers — defence in depth.</t>
  </si>
  <si>
    <t>Api/src/main/resources/application.properties (audiences=arcadehaven-api); Api/src/main/java/.../Security/SecurityConfig.java (jwtDecoder bean); keycloak/realm-export.json (oidc-audience-mapper)</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</si>
  <si>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</si>
  <si>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</si>
  <si>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</si>
  <si>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</si>
  <si>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The frontend communicates with Keycloak directly. No backend-for-frontend token forwarding is used, the Spring Boot backend only validates tokens, never forwards them to other services.</t>
  </si>
  <si>
    <t>Api/src/main/.../Security/SecurityConfig.java; Service/AuthService.java</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</si>
  <si>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</si>
  <si>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</si>
  <si>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Token values are issued exclusively by Keycloak and validated by the Spring Boot resource server using Keycloak's public keys (via JWKS endpoint). No token mixing between different authorization servers occurs.</t>
  </si>
  <si>
    <t>Api/src/main/.../Security/SecurityConfig.java (iss/aud validation); Keycloak PKCE/state/nonce</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</si>
  <si>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</si>
  <si>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</si>
  <si>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</si>
  <si>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</si>
  <si>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The frontend uses the Authorization Code flow with PKCE (code_challenge / code_verifier). PKCE inherently protects against CSRF-based token request forgery. Additionally, the state parameter will be generated and validated on every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</si>
  <si>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</si>
  <si>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</si>
  <si>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ArcadeHaven uses a single Keycloak instance as its only authorization server. Mix-up attacks between multiple authorization servers are not applicable in the current scope.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</si>
  <si>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</si>
  <si>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</si>
  <si>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</si>
  <si>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</si>
  <si>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</si>
  <si>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</si>
  <si>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The Spring Boot resource server validates the aud claim in every JWT, ensuring only tokens issued for arcadehaven-api are accepted. Configured via spring.security.oauth2.resourceserver.jwt.audiences=arcadehaven-api. Tokens with a different audience are rejected with 401.</t>
  </si>
  <si>
    <t>Api/src/main/resources/application.properties (spring.security.oauth2.resourceserver.jwt.audiences=arcadehaven-api); Security/SecurityConfig.java</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</si>
  <si>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</si>
  <si>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</si>
  <si>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enforced by Spring Security using @PreAuthorize annotations. The sub, scope, and role claims from the JWT are all evaluated in access control decisions at the method level</t>
  </si>
  <si>
    <t>Api/src/main/.../Security/KeycloakRoleConverter.java; Security/SecurityConfig.java</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</si>
  <si>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</si>
  <si>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</si>
  <si>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Users are uniquely identified by the combination of iss (Keycloak issuer URL) and sub (user UUID) claims. This pair is non-reassignable and used as the canonical user identity across the resource server.</t>
  </si>
  <si>
    <t>Api/src/main/.../Security/KeycloakRoleConverter.java (sub=UUID); Security/SecurityConfig.java (iss)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</si>
  <si>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</si>
  <si>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</si>
  <si>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Standard JWT validation (expiry, signature, audience) is enforced</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</si>
  <si>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</si>
  <si>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</si>
  <si>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Token theft mitigation relies on short-lived access tokens (15 minutes) and HTTPS enforcement throughout. This may be revisited in a future phase.</t>
  </si>
  <si>
    <t>V10.4</t>
  </si>
  <si>
    <t>OAuth Authorization Server</t>
  </si>
  <si>
    <t>V10.4.1</t>
  </si>
  <si>
    <t>Verify that the authorization server validates redirect URIs based on a client-specific allowlist of pre-registered URIs using exact string comparison.</t>
  </si>
  <si>
    <t>Keycloak arcadehaven-public client is configured with an explicit allowlist of redirect URIs using exact string matching: http://localhost:3000/* and http://localhost:5173/*. No wildcards that would allow arbitrary redirects are permitted.</t>
  </si>
  <si>
    <t>keycloak/realm-export.json (arcadehaven-public client.redirectUris: ["http://localhost:3000/*", "http://localhost:5173/*"])</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</si>
  <si>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</si>
  <si>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</si>
  <si>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Keycloak enforces single-use authorization codes natively. If a code is reused, Keycloak rejects the second request and revokes any tokens previously issued from that code. This is built-in behavior of the Keycloak authorization server.</t>
  </si>
  <si>
    <t>keycloak/realm-export.json (Keycloak 26.2 native: single-use auth codes enforced by authorization server)</t>
  </si>
  <si>
    <t>V10.4.3</t>
  </si>
  <si>
    <t>Verify that the authorization code is short-lived. The maximum lifetime can be up to 10 minutes for L1 and L2 applications and up to 1 minute for L3 applications.</t>
  </si>
  <si>
    <t>Authorization codes are configured with a 60-second lifetime (accessCodeLifespan=60) in the Keycloak realm. This is well within the L1/L2 maximum of 10 minutes and provides strong protection against code interception.</t>
  </si>
  <si>
    <t>keycloak/realm-export.json (accessCodeLifespan=60 seconds)</t>
  </si>
  <si>
    <t>V10.4.4</t>
  </si>
  <si>
    <t>Verify that for a given client, the authorization server only allows the usage of grants that this client needs to use. Note that the grants 'token' (Implicit flow) and 'password' (Resource Owner Password Credentials flow) must no longer be used.</t>
  </si>
  <si>
    <t>Implicit Flow explicitly disabled (implicitFlowEnabled=false). Direct Access Grant (ROPC) retained as an architectural dependency — ArcadeHaven has no frontend SPA, so Authorization Code + PKCE redirect is not yet feasible. Formally documented as DEV-01 in Documentation/SecurityDeviations.md with business justification, residual risk, and 11 compensating controls (rate limiting, brute-force protection, short token lifetime, single-use refresh tokens, MFA for admins, session revocation, full audit logging, HTTPS, PKCE pre-configured). 6 automated tests in OAuthGrantConfigTest verify these controls. Planned remediation: disable Direct Access Grant when frontend SPA is added.</t>
  </si>
  <si>
    <t>Documentation/SecurityDeviations.md (DEV-01); keycloak/realm-export.json; Api/src/main/java/.../Service/AuthService.java; Api/src/test/.../Config/OAuthGrantConfigTest.java</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</si>
  <si>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</si>
  <si>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</si>
  <si>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Refresh token rotation is enforced at realm level: revokeRefreshToken=true and refreshTokenMaxReuse=0. Each refresh token use issues a new token and immediately invalidates the previous one. If a revoked refresh token is presented, all tokens for that session are revoked.</t>
  </si>
  <si>
    <t>keycloak/realm-export.json (revokeRefreshToken=true, refreshTokenMaxReuse=0)</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</si>
  <si>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</si>
  <si>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</si>
  <si>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PKCE with S256 is enforced for the arcadehaven-public client via the Keycloak client attribute pkce.code.challenge.method=S256. The plain method is rejected. Keycloak validates the code_verifier on every token request against the stored code_challenge.</t>
  </si>
  <si>
    <t>keycloak/realm-export.json (arcadehaven-public attributes: pkce.code.challenge.method=S256)</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</si>
  <si>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</si>
  <si>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</si>
  <si>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Dynamic client registration is not supported in ArcadeHaven. All clients are pre-registered in Keycloak by administrators. No unauthenticated registration endpoint is exposed.</t>
  </si>
  <si>
    <t>V10.4.8</t>
  </si>
  <si>
    <t>Verify that refresh tokens have an absolute expiration, including if sliding refresh token expiration is applied.</t>
  </si>
  <si>
    <t>Refresh tokens have an absolute expiration of 7 days (ssoSessionMaxLifespan=604800 seconds) configured at realm level. offlineSessionMaxLifespanEnabled=false prevents indefinite offline session extension. Sliding expiration is bounded by the absolute maximum.</t>
  </si>
  <si>
    <t>keycloak/realm-export.json (ssoSessionMaxLifespan=604800, offlineSessionMaxLifespanEnabled=false)</t>
  </si>
  <si>
    <t>V10.4.9</t>
  </si>
  <si>
    <t>Verify that refresh tokens and reference access tokens can be revoked by an authorized user using the authorization server user interface, to mitigate the risk of malicious clients or stolen tokens.</t>
  </si>
  <si>
    <t>Token and refresh token revocation is available via: (1) POST /api/auth/logout which calls Keycloak session revocation API, (2) Keycloak account management console at /realms/arcadehaven/account where users can view and revoke active sessions.</t>
  </si>
  <si>
    <t>keycloak/realm-export.json; Api/src/main/.../Service/AuthService.java (logout() -&gt; keycloak.realm().users().get(id).logout()); Controller/AuthController.java</t>
  </si>
  <si>
    <t>V10.4.10</t>
  </si>
  <si>
    <t>Verify that confidential client is authenticated for client-to-authorized server backchannel requests such as token requests, pushed authorization requests (PAR), and token revocation requests.</t>
  </si>
  <si>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</si>
  <si>
    <t>keycloak/realm-export.json (arcadehaven-backend: serviceAccountsEnabled=true, clientRoles: realm-management/realm-admin); Config/KeycloakAdminConfig.java (OAuth2Constants.CLIENT_CREDENTIALS)</t>
  </si>
  <si>
    <t>V10.4.11</t>
  </si>
  <si>
    <t>Verify that the authorization server configuration only assigns the required scopes to the OAuth client.</t>
  </si>
  <si>
    <t>arcadehaven-public client is configured with only required scopes in defaultClientScopes: [openid, web-origins, acr, profile, roles, email, basic]. optionalClientScopes is empty, preventing clients from requesting additional scopes beyond what is needed.</t>
  </si>
  <si>
    <t>keycloak/realm-export.json (arcadehaven-public: defaultClientScopes=[openid,web-origins,acr,profile,roles,email,basic], optionalClientScopes=[])</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</si>
  <si>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</si>
  <si>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</si>
  <si>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Only response_mode=query (default for code flow) is permitted. No other response modes are configured or accepted for ArcadeHaven clients in Keycloak.</t>
  </si>
  <si>
    <t>V10.4.13</t>
  </si>
  <si>
    <t>Verify that grant type 'code' is always used together with pushed authorization requests (PAR).</t>
  </si>
  <si>
    <t>Pushed Authorization Requests (PAR) are not implemented</t>
  </si>
  <si>
    <t>V10.4.14</t>
  </si>
  <si>
    <t>Verify that the authorization server issues only sender-constrained (Proof-of-Possession) access tokens, either with certificate-bound access tokens using mutual TLS (mTLS) or DPoP-bound access tokens (Demonstration of Proof of Possession).</t>
  </si>
  <si>
    <t>Sender-constrained access tokens (mTLS or DPoP) are out of scope for Phase 1. Standard bearer tokens are used, protected by HTTPS and short expiry.</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</si>
  <si>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</si>
  <si>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</si>
  <si>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	ArcadeHaven does not use authorization_details (Rich Authorization Requests). Not applicable in the current scope.</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</si>
  <si>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</si>
  <si>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</si>
  <si>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Strong client authentication via mTLS or private_key_jwt is not implemented.</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</si>
  <si>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</si>
  <si>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</si>
  <si>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</si>
  <si>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</si>
  <si>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</si>
  <si>
    <t>V10.5.2</t>
  </si>
  <si>
    <t>Verify that the client uniquely identifies the user from ID Token claims, usually the 'sub' claim, which cannot be reassigned to other users (for the scope of an identity provider).</t>
  </si>
  <si>
    <t xml:space="preserve">	Users are uniquely identified by the sub claim in the ID Token, which maps to the Keycloak user UUID. This value is non-reassignable within the Keycloak identity provider.</t>
  </si>
  <si>
    <t>Api/src/main/.../Security/KeycloakRoleConverter.java (sub UUID, non-reassignable)</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</si>
  <si>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</si>
  <si>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</si>
  <si>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The Spring Boot backend validate the iss claim against a pre-configured Keycloak issuer URL. Any token with a different issuer is rejected, preventing authorization server impersonation.</t>
  </si>
  <si>
    <t>Api/src/main/.../Security/SecurityConfig.java; application.properties (issuer-uri)</t>
  </si>
  <si>
    <t>V10.5.4</t>
  </si>
  <si>
    <t>Verify that the client validates that the ID Token is intended to be used for that client (audience) by checking that the 'aud' claim from the token is equal to the 'client_id' value for the client.</t>
  </si>
  <si>
    <t>The aud claim in ID Tokens is validated by the Spring Security JWT decoder configured with arcadehaven-api audience. The realm export configures the audience mapper so the arcadehaven-public client receives tokens with the correct audience claim.</t>
  </si>
  <si>
    <t>Api/src/main/resources/application.properties (spring.security.oauth2.resourceserver.jwt.audiences=arcadehaven-api); keycloak/realm-export.json</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</si>
  <si>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</si>
  <si>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</si>
  <si>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OIDC back-channel logout is not implemented. Session termination relies on refresh token revocation and short-lived access tokens. </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</si>
  <si>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</si>
  <si>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</si>
  <si>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</si>
  <si>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</si>
  <si>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The arcadehaven-public client is configured with implicitFlowEnabled=false and standardFlowEnabled=true (Authorization Code flow only). The OpenID Provider (Keycloak) only issues code response types for ArcadeHaven clients. id_token and token response types are not permitted.</t>
  </si>
  <si>
    <t>keycloak/realm-export.json (arcadehaven-public: implicitFlowEnabled=false, standardFlowEnabled=true)</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</si>
  <si>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</si>
  <si>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</si>
  <si>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Keycloak validates logout requests and supports id_token_hint to confirm session identity before terminating. The ArcadeHaven POST /api/auth/logout endpoint forwards session revocation to Keycloak, which handles forced-logout DoS through its built-in flow validation.</t>
  </si>
  <si>
    <t>keycloak/realm-export.json (Keycloak manages logout flow validation); Api/src/main/.../Service/AuthService.java (logout() -&gt; Keycloak revocation); Security/RateLimitFilter.java</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</si>
  <si>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</si>
  <si>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</si>
  <si>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</si>
  <si>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</si>
  <si>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For first-party pre-registered clients consentRequired=false. Keycloak prompts explicit consent for any external client whose identity cannot be assured. Dynamic client registration is not supported, so all clients are trusted first-party applications.</t>
  </si>
  <si>
    <t>keycloak/realm-export.json (arcadehaven-public: consentRequired=false; dynamic client registration disabled)</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</si>
  <si>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</si>
  <si>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</si>
  <si>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Keycloak's built-in consent screen presents the authorizing application name, the requested scopes (openid, profile, email, roles), and session lifetime to the user before approval. This satisfies the requirement for clear and sufficient information about what is being authorized.</t>
  </si>
  <si>
    <t>keycloak/realm-export.json (Keycloak consent UI renders scope, client identity, and session lifetime)</t>
  </si>
  <si>
    <t>V10.7.3</t>
  </si>
  <si>
    <t>Verify that the user can review, modify, and revoke consents which the user has granted through the authorization server.</t>
  </si>
  <si>
    <t>Users can review, modify, and revoke granted consents and active sessions via the Keycloak account management console (/realms/arcadehaven/account). Additionally, POST /api/auth/logout triggers full session revocation via the Keycloak Admin API.</t>
  </si>
  <si>
    <t>keycloak/realm-export.json; Api/src/main/.../Service/AuthService.java (logout() revokes all sessions); Controller/AuthController.java; Keycloak /realms/arcadehaven/account</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</si>
  <si>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</si>
  <si>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</si>
  <si>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</si>
  <si>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</si>
  <si>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</si>
  <si>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Api/src/main/.../Security/WebServerTlsConfig.java (ENABLED_TLS_PROTOCOLS, APPROVED/FORBIDDEN cipher suites); application.properties (TLS 1.2+)</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</si>
  <si>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</si>
  <si>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</si>
  <si>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</si>
  <si>
    <t>Documentation/CryptographicInventory.md (sections 1-2, 4-5)</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</si>
  <si>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</si>
  <si>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</si>
  <si>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</si>
  <si>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</si>
  <si>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</si>
  <si>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</si>
  <si>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</si>
  <si>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</si>
  <si>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</si>
  <si>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Api/src/main/.../Service/PasswordPolicyService.java; Security/SecurityConfig.java; Api/pom.xml</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</si>
  <si>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</si>
  <si>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</si>
  <si>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</si>
  <si>
    <t>Documentation/CryptographicInventory.md §3 (Migration Procedures 3.1-3.5)</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</si>
  <si>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</si>
  <si>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</si>
  <si>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</si>
  <si>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Api/src/main/.../Security/SecurityConfig.java (RS256/HS256, BCrypt&gt;=12, TLS1.2+)</t>
  </si>
  <si>
    <t>V11.2.4</t>
  </si>
  <si>
    <t>Verify that all cryptographic operations are constant-time, with no 'short-circuit' operations in comparisons, calculations, or returns, to avoid leaking information.</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</si>
  <si>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</si>
  <si>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Api/src/main/.../Security/SecurityConfig.java (BCryptPasswordEncoder.matches, Nimbus JOSE)</t>
  </si>
  <si>
    <t>V11.2.5</t>
  </si>
  <si>
    <t>Verify that all cryptographic modules fail securely, and errors are handled in a way that does not enable vulnerabilities, such as Padding Oracle attacks.</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</si>
  <si>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</si>
  <si>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V11.3</t>
  </si>
  <si>
    <t>Encryption Algorithms</t>
  </si>
  <si>
    <t>V11.3.1</t>
  </si>
  <si>
    <t>Verify that insecure block modes (e.g., ECB) and weak padding schemes (e.g., PKCS#1 v1.5) are not used.</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</si>
  <si>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</si>
  <si>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Api/src/main/.../Security/SecurityConfig.java (TLS1.2+ only, no ECB)</t>
  </si>
  <si>
    <t>V11.3.2</t>
  </si>
  <si>
    <t>Verify that only approved ciphers and modes such as AES with GCM are used.</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</si>
  <si>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</si>
  <si>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Api/src/main/.../Security/SecurityConfig.java (TLS AES-GCM cipher suites)</t>
  </si>
  <si>
    <t>V11.3.3</t>
  </si>
  <si>
    <t>Verify that encrypted data is protected against unauthorized modification preferably by using an approved authenticated encryption method or by combining an approved encryption method with an approved MAC algorithm.</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</si>
  <si>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</si>
  <si>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Api/src/main/.../Security/SecurityConfig.java (HMAC-SHA256 JWT integrity)</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</si>
  <si>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</si>
  <si>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</si>
  <si>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</si>
  <si>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</si>
  <si>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</si>
  <si>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</si>
  <si>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</si>
  <si>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</si>
  <si>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</si>
  <si>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</si>
  <si>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Api/src/main/.../Service/PasswordPolicyService.java (SHA-1 HIBP-only, non-cryptographic)</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</si>
  <si>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</si>
  <si>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</si>
  <si>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</si>
  <si>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Api/src/main/.../Service/AuthService.java (Keycloak BCrypt &gt;= work factor 12)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</si>
  <si>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</si>
  <si>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</si>
  <si>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</si>
  <si>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Api/src/main/.../Security/SecurityConfig.java (HMAC-SHA256 256-bit / RS256)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</si>
  <si>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</si>
  <si>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</si>
  <si>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</si>
  <si>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Api/src/main/.../Service/AuthService.java (Keycloak BCrypt adaptive cost)</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</si>
  <si>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</si>
  <si>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</si>
  <si>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</si>
  <si>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</si>
  <si>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</si>
  <si>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Api/src/main/.../Service/SftpStorageService.java (UUID.randomUUID() for secure filenames); Domain entities (UUID primary keys via @GeneratedValue)</t>
  </si>
  <si>
    <t>V11.5.2</t>
  </si>
  <si>
    <t>Verify that the random number generation mechanism in use is designed to work securely, even under heavy demand.</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</si>
  <si>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</si>
  <si>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Java SecureRandom (NativePRNGNonBlocking on Linux, JVM built-in)</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</si>
  <si>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</si>
  <si>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</si>
  <si>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</si>
  <si>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</si>
  <si>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</si>
  <si>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Api/src/main/.../Security/SecurityConfig.java; application.properties (jwt.*)</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</si>
  <si>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</si>
  <si>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</si>
  <si>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</si>
  <si>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V11.7</t>
  </si>
  <si>
    <t>In-Use Data Cryptography</t>
  </si>
  <si>
    <t>V11.7.1</t>
  </si>
  <si>
    <t>Verify that full memory encryption is in use that protects sensitive data while it is in use, preventing access by unauthorized users or processes.</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</si>
  <si>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</si>
  <si>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</si>
  <si>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</si>
  <si>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</si>
  <si>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</si>
  <si>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</si>
  <si>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</si>
  <si>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nginx/nginx.conf enforces ssl_protocols TLSv1.2 TLSv1.3 only. NginxTlsConfig.java validates allowed protocols and NginxTlsConfigTest.java tests this alongside the existing WebServerTlsConfig.</t>
  </si>
  <si>
    <t>nginx/nginx.conf (ssl_protocols TLSv1.2 TLSv1.3); Api/src/main/.../Security/NginxTlsConfig.java; Api/src/test/.../Security/NginxTlsConfigTest.java; Api/src/main/.../Security/WebServerTlsConfig.java</t>
  </si>
  <si>
    <t>V12.1.2</t>
  </si>
  <si>
    <t>Verify that only recommended cipher suites are enabled, with the strongest cipher suites set as preferred. L3 applications must only support cipher suites which provide forward secrecy.</t>
  </si>
  <si>
    <t>nginx/nginx.conf enforces ECDHE+GCM cipher suites (forward secrecy). NginxTlsConfig.java enumerates approved/forbidden ciphers and NginxTlsConfigTest.java verifies them.</t>
  </si>
  <si>
    <t>nginx/nginx.conf (ssl_ciphers ECDHE-*-GCM); Api/src/main/.../Security/NginxTlsConfig.java; Api/src/test/.../Security/NginxTlsConfigTest.java; Api/src/main/.../Security/WebServerTlsConfig.java (APPROVED/FORBIDDEN cipher lists)</t>
  </si>
  <si>
    <t>V12.1.3</t>
  </si>
  <si>
    <t>Verify that the application validates that mTLS client certificates are trusted before using the certificate identity for authentication or authorization.</t>
  </si>
  <si>
    <t>ArcadeHaven does not implement mutual TLS (mTLS) client certificate authentication in Phase 1. Authentication is handled via JWT Bearer tokens.</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</si>
  <si>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</si>
  <si>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</si>
  <si>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</si>
  <si>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</si>
  <si>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</si>
  <si>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</si>
  <si>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</si>
  <si>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</si>
  <si>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nginx listens on port 443 with TLS; port 80 redirects to 443 via return 301. Application port 8080 is not published externally (only reachable within the Docker bridge network), preventing any plaintext external exposure.</t>
  </si>
  <si>
    <t>nginx/nginx.conf (listen 443 ssl; listen 80 -&gt; return 301 https); Api/docker-compose.yml (ports: 443:443 only; 8080 not published)</t>
  </si>
  <si>
    <t>V12.2.2</t>
  </si>
  <si>
    <t>Verify that external facing services use publicly trusted TLS certificates.</t>
  </si>
  <si>
    <t>Partial</t>
  </si>
  <si>
    <t>A self-signed certificate is generated for dev/CI via generate-self-signed-cert.sh. Production deployment requires swapping this for a CA-signed (e.g. Let's Encrypt) certificate; the certificate mount point is prepared in docker-compose.</t>
  </si>
  <si>
    <t>nginx/generate-self-signed-cert.sh; nginx/nginx.conf (ssl_certificate/ssl_certificate_key); Api/docker-compose.yml (volume mount for cert)</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</si>
  <si>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</si>
  <si>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</si>
  <si>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</si>
  <si>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</si>
  <si>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SFTP/SSH is enforced via SSHJ (compliant). PostgreSQL datasource has sslmode=require but the remote DB TLS enablement is pending environment setup. Keycloak inter-container traffic uses plain HTTP over the Docker bridge network (acceptable for same-host Docker deployment; mTLS would require K8s/service-mesh).</t>
  </si>
  <si>
    <t>Api/src/main/.../Service/SftpStorageService.java (SSHJ SSH/SFTP); Api/src/main/resources/application.properties (spring.datasource.url?sslmode=require); Api/docker-compose.yml (Keycloak internal HTTP)</t>
  </si>
  <si>
    <t>V12.3.2</t>
  </si>
  <si>
    <t>Verify that TLS clients validate certificates received before communicating with a TLS server.</t>
  </si>
  <si>
    <t>KeycloakBuilder and RestTemplate rely on the JVM default SSLContext which validates certificates against the system trust store. No trustAllCerts / HostnameVerifier bypass pattern is present in the codebase.</t>
  </si>
  <si>
    <t>Api/src/main/.../Config/KeycloakConfig.java (KeycloakBuilder); Api/src/main/.../Service/AuthService.java (RestTemplate); no InsecureTrustManagerFactory or PromiscuousHostnameVerifier usage</t>
  </si>
  <si>
    <t>V12.3.3</t>
  </si>
  <si>
    <t>Verify that TLS or another appropriate transport encryption mechanism used for all connectivity between internal, HTTP-based services within the application, and does not fall back to insecure or unencrypted communications.</t>
  </si>
  <si>
    <t>Inter-service channels run over a Docker bridge network without mTLS. Full transport encryption between internal HTTP services (API &lt;-&gt; Keycloak) would require a service mesh (e.g. Istio/Linkerd) or K8s with mTLS sidecar injection, which is out of scope for the current Docker Compose deployment.</t>
  </si>
  <si>
    <t>Api/docker-compose.yml (bridge network); Api/src/main/.../Service/SftpStorageService.java (SFTP encrypted); no mTLS between API and Keycloak</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</si>
  <si>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</si>
  <si>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</si>
  <si>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SftpStorageService uses OpenSSHKnownHosts to verify the SFTP server host key when sftp.known-hosts-path is configured. A WARN log is emitted when PromiscuousVerifier is active (dev/CI only). No blanket trust-all pattern is used in production paths.</t>
  </si>
  <si>
    <t>Api/src/main/.../Service/SftpStorageService.java (OpenSSHKnownHosts when sftp.known-hosts-path set; WARN log for PromiscuousVerifier in dev); Api/src/main/resources/application.properties (sftp.known-hosts-path)</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</si>
  <si>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</si>
  <si>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</si>
  <si>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</si>
  <si>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</si>
  <si>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</si>
  <si>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</si>
  <si>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All application communication channels documented in Documentation/CommunicationMatrix.md. Lists 5 external connections (PostgreSQL, SFTP/SSH, ClamAV, HaveIBeenPwned k-anonymity API, RAWG future) and 5 internal Docker connections (nginx-&gt;app, app-&gt;Keycloak, Keycloak-&gt;DB, inbound HTTPS, inbound HTTP redirect). Each entry documents: direction, protocol, port, authentication method, data sensitivity level (L1-L4), TLS status, and source file reference. TLS posture summary and required actions included.</t>
  </si>
  <si>
    <t>Documentation/CommunicationMatrix.md</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</si>
  <si>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</si>
  <si>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</si>
  <si>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</si>
  <si>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</si>
  <si>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</si>
  <si>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</si>
  <si>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</si>
  <si>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</si>
  <si>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</si>
  <si>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</si>
  <si>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</si>
  <si>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</si>
  <si>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</si>
  <si>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</si>
  <si>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No default credentials are used in the system. All environments rely on explicit configuration via environment variables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</si>
  <si>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</si>
  <si>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</si>
  <si>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All external base URLs are hardcoded constants (not injectable): RAWG https://api.rawg.io/api, HIBP api.pwnedpasswords.com, Keycloak validated via allowlist. Permitted egress documented in docker-compose.yml. Remaining gap: no network-layer enforcement — Docker bridge allows all outbound. Full enforcement requires Docker network rules or service mesh.</t>
  </si>
  <si>
    <t>V13.2.5</t>
  </si>
  <si>
    <t>Verify that the web or application server is configured with an allowlist of resources or systems to which the server can send requests or load data or files from.</t>
  </si>
  <si>
    <t>ArcadeHeaven does not dynamically load external resources</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</si>
  <si>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</si>
  <si>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</si>
  <si>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</si>
  <si>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</si>
  <si>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</si>
  <si>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</si>
  <si>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</si>
  <si>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</si>
  <si>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</si>
  <si>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</si>
  <si>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</si>
  <si>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</si>
  <si>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</si>
  <si>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</si>
  <si>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</si>
  <si>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</si>
  <si>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Created Api/.dockerignore excluding .git, .env, .env.*, target/, logs/, .github/, Documentation/, Deliverables/, .idea/ and other non-runtime artefacts. Prevents source-control metadata and secrets from being baked into the Docker image (ASVS V13.4.1).</t>
  </si>
  <si>
    <t>Api/.dockerignore</t>
  </si>
  <si>
    <t>V13.4.2</t>
  </si>
  <si>
    <t>Verify that debug modes are disabled for all components in production environments to prevent exposure of debugging features and information leakage.</t>
  </si>
  <si>
    <t>spring.jpa.show-sql=false (already set). No Spring Boot DevTools in pom.xml. Actuator limited to /actuator/health only via management.endpoints.web.exposure.include=health and management.endpoint.health.show-details=never. No H2 console configured.</t>
  </si>
  <si>
    <t>Api/src/main/resources/application.properties (management.* properties); Api/src/main/java/isep/desosfs/arcadehaven/Security/SecurityConfig.java</t>
  </si>
  <si>
    <t>V13.4.3</t>
  </si>
  <si>
    <t>Verify that web servers do not expose directory listings to clients unless explicitly intended.</t>
  </si>
  <si>
    <t>Directory listing is not enabled</t>
  </si>
  <si>
    <t>V13.4.4</t>
  </si>
  <si>
    <t>Verify that using the HTTP TRACE method is not supported in production environments, to avoid potential information leakage.</t>
  </si>
  <si>
    <t>HTTP TRACE denied globally via .requestMatchers(HttpMethod.TRACE, "/**").denyAll() in SecurityConfig.filterChain(). Prevents Cross-Site Tracing (XST) attacks on all paths.</t>
  </si>
  <si>
    <t>Api/src/main/java/isep/desosfs/arcadehaven/Security/SecurityConfig.java:54</t>
  </si>
  <si>
    <t>V13.4.5</t>
  </si>
  <si>
    <t>Verify that documentation (such as for internal APIs) and monitoring endpoints are not exposed unless explicitly intended.</t>
  </si>
  <si>
    <t>Swagger UI (/swagger-ui/**) and API docs (/v3/api-docs/**) now require authentication (changed from permitAll() to authenticated()). Actuator exposes only /actuator/health with show-details=never. No unauthenticated access to monitoring or documentation endpoints.</t>
  </si>
  <si>
    <t>Api/src/main/java/isep/desosfs/arcadehaven/Security/SecurityConfig.java:60-65; Api/src/main/resources/application.properties (management.endpoints.*)</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</si>
  <si>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</si>
  <si>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</si>
  <si>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</si>
  <si>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</si>
  <si>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The web tier does not serve static files directly</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</si>
  <si>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</si>
  <si>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</si>
  <si>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</si>
  <si>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</si>
  <si>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Formal data classification document created: Documentation/DataClassificationPolicy.md. Defines 4 levels (L1 Public, L2 Internal, L3 Confidential, L4 Restricted). Maps all ArcadeHaven data types: game metadata (L1), audit logs (L2), user PII / JWT tokens / activation keys / orders (L3), password hashes / client secrets / DB credentials (L4). Specifies controls per level (access control, logging restrictions, transport, storage, retention). Includes retention schedule: audit logs 30 days, JWT access 5 min, refresh 30 days, user data until deletion.</t>
  </si>
  <si>
    <t>Documentation/DataClassificationPolicy.md</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</si>
  <si>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</si>
  <si>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</si>
  <si>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Due to the academic scope of this project, this requirement is considered out of scope and is therefore not implemented.</t>
  </si>
  <si>
    <t>V14.2</t>
  </si>
  <si>
    <t>General Data Protection</t>
  </si>
  <si>
    <t>V14.2.1</t>
  </si>
  <si>
    <t>Verify that sensitive data is only sent to the server in the HTTP message body or header fields, and that the URL and query string do not contain sensitive information, such as an API key or session token.</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</si>
  <si>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</si>
  <si>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Api/src/main/.../Controller/AuthController.java; Dto/Request/RegisterRequest.java</t>
  </si>
  <si>
    <t>V14.2.2</t>
  </si>
  <si>
    <t>Verify that the application prevents sensitive data from being cached in server components, such as load balancers and application caches, or ensures that the data is securely purged after use.</t>
  </si>
  <si>
    <t>SecurityConfig.java sets Cache-Control: no-cache, no-store, max-age=0, must-revalidate and Pragma: no-cache on all API responses via .cacheControl(Customizer.withDefaults()), preventing intermediary caching of sensitive data. Verified by SecurityHeadersTest.</t>
  </si>
  <si>
    <t>Api/src/main/java/.../Security/SecurityConfig.java; Api/src/test/.../Security/SecurityHeadersTest.java</t>
  </si>
  <si>
    <t>V14.2.3</t>
  </si>
  <si>
    <t>Verify that defined sensitive data is not sent to untrusted parties (e.g., user trackers) to prevent unwanted collection of data outside of the application's control.</t>
  </si>
  <si>
    <t>ArcadeHaven does not integrate any third-party trackers or analytics services. The only external service calls are to RAWG API (game metadata, no user data sent). No user data is shared with untrusted parties.</t>
  </si>
  <si>
    <t>Api/src/main/.../Service/PasswordPolicyService.java (HIBP 5-char prefix only)</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</si>
  <si>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</si>
  <si>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</si>
  <si>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BCrypt hashing (via Keycloak) ✅. Log redaction enforced: SecurityAuditService.json() automatically redacts any field whose key matches SENSITIVE_KEY_PATTERN (password/secret/credential/private_key/client_secret); sanitize() also strips form-encoded credentials (password=value). Data retention formally documented in DataClassificationPolicy.md §4 (logs 30d, JWT 5min, refresh 30d). Remaining gap: DB TLS (sslmode=require) pending on remote PostgreSQL server TLS enablement. 7 new unit tests in SecurityAuditServiceTest validate redaction behaviour.</t>
  </si>
  <si>
    <t>Api/src/main/java/.../Security/SecurityAuditService.java (SENSITIVE_KEY_PATTERN); Documentation/DataClassificationPolicy.md; Api/src/test/.../Security/SecurityAuditServiceTest.java</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</si>
  <si>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</si>
  <si>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</si>
  <si>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</si>
  <si>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</si>
  <si>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</si>
  <si>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</si>
  <si>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</si>
  <si>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</si>
  <si>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</si>
  <si>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</si>
  <si>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</si>
  <si>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</si>
  <si>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ArcadeHaven is a back-end REST API with no browser-facing front-end. Client-side storage clearing and Clear-Site-Data headers are not applicable in the current scope.</t>
  </si>
  <si>
    <t>V14.3.2</t>
  </si>
  <si>
    <t>Verify that the application sets sufficient anti-caching HTTP response header fields (i.e., Cache-Control: no-store) so that sensitive data is not cached in browsers.</t>
  </si>
  <si>
    <t>Same Cache-Control implementation as V14.2.2: SecurityConfig.java applies no-store, no-cache headers globally via cacheControl(Customizer.withDefaults()), preventing browser caching of tokens, user data, and activation keys. Verified by SecurityHeadersTest.</t>
  </si>
  <si>
    <t>V14.3.3</t>
  </si>
  <si>
    <t>Verify that data stored in browser storage (such as localStorage, sessionStorage, IndexedDB, or cookies) does not contain sensitive data, with the exception of session tokens.</t>
  </si>
  <si>
    <t>Authentication uses JWT Bearer tokens passed in the Authorization header, managed entirely by the API consumer.</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</si>
  <si>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</si>
  <si>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</si>
  <si>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</si>
  <si>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</si>
  <si>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Formal SLA documented: Critical CVEs &lt;=7 days, High &lt;=30 days, Medium &lt;=90 days, Low next release. OWASP Dependency Check runs on every CI execution (sca-dependency-check.yml). False-positive suppression procedure defined.</t>
  </si>
  <si>
    <t>Documentation/VulnerabilityRemediationPolicy.md §1; .github/workflows/sca-dependency-check.yml</t>
  </si>
  <si>
    <t>V15.1.2</t>
  </si>
  <si>
    <t>Verify that an inventory catalog, such as software bill of materials (SBOM), is maintained of all third-party libraries in use, including verifying that components come from pre-defined, trusted, and continually maintained repositories.</t>
  </si>
  <si>
    <t>CycloneDX SBOM generated on every build (cyclonedx:makeAggregateBom, build.yml). bom.xml and bom.json uploaded as report-build-test artifact. All dependencies from Maven Central (trusted repository).</t>
  </si>
  <si>
    <t>Api/pom.xml (cyclonedx-maven-plugin 2.9.0); .github/workflows/build.yml</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</si>
  <si>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</si>
  <si>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</si>
  <si>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Resource-demanding functionality formally documented: file uploads (25 MB cap, Tika MIME check), SFTP operations (SSH host-key verification), HIBP check (fail-open), invoice/key-card generation, Keycloak Admin API calls, DB game-listing (composite indexes). Each entry lists risk and mitigations.</t>
  </si>
  <si>
    <t>Documentation/VulnerabilityRemediationPolicy.md §2</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</si>
  <si>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</si>
  <si>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</si>
  <si>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</si>
  <si>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</si>
  <si>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8 dangerous features formally labelled with risk category and mitigations: file upload (path traversal, MIME spoofing), RAWG SSRF adjacency, Keycloak Admin API, ROPC grant, admin initialisation, JWT signing keys, SFTP host-key, activation keys.</t>
  </si>
  <si>
    <t>Documentation/VulnerabilityRemediationPolicy.md §3</t>
  </si>
  <si>
    <t>V15.2</t>
  </si>
  <si>
    <t>Security Architecture and Dependencies</t>
  </si>
  <si>
    <t>V15.2.1</t>
  </si>
  <si>
    <t>Verify that the application only contains components which have not breached the documented update and remediation time frames.</t>
  </si>
  <si>
    <t>OWASP Dependency Check (dependency-check-maven 12.1.3) runs on every CI execution against NVD database with NVD_API_KEY secret. Build fails on CVE threshold breach. Report uploaded as report-sca artifact. Remediation SLA enforces no components past timeframe in production.</t>
  </si>
  <si>
    <t>.github/workflows/sca-dependency-check.yml; Api/pom.xml; Documentation/VulnerabilityRemediationPolicy.md §1</t>
  </si>
  <si>
    <t>V15.2.2</t>
  </si>
  <si>
    <t>Verify that the application has implemented defenses against loss of availability due to functionality which is time-consuming or resource-demanding, based on the documented security decisions and strategies for this.</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</si>
  <si>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</si>
  <si>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Api/src/main/.../Security/RateLimitFilter.java; Exception/GlobalExceptionHandler.java; application.properties</t>
  </si>
  <si>
    <t>V15.2.3</t>
  </si>
  <si>
    <t>Verify that the production environment only includes functionality that is required for the application to function, and does not expose extraneous functionality such as test code, sample snippets, and development functionality.</t>
  </si>
  <si>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</si>
  <si>
    <t>Api/src/main/resources/application.properties; Api/src/main/java/isep/desosfs/arcadehaven/Security/SecurityConfig.java</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</si>
  <si>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</si>
  <si>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</si>
  <si>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</si>
  <si>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</si>
  <si>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</si>
  <si>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Api/docker-compose.yml (separate containers, network isolation)</t>
  </si>
  <si>
    <t>V15.3</t>
  </si>
  <si>
    <t>Defensive Coding</t>
  </si>
  <si>
    <t>V15.3.1</t>
  </si>
  <si>
    <t>Verify that the application only returns the required subset of fields from a data object. For example, it should not return an entire data object, as some individual fields should not be accessible to users.</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</si>
  <si>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</si>
  <si>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Api/src/main/.../Dto/Response/UserResponse.java; Dto/Response/GameResponse.java; Dto/Response/OrderResponse.java; Dto/Response/LibraryEntryResponse.java</t>
  </si>
  <si>
    <t>V15.3.2</t>
  </si>
  <si>
    <t>Verify that where the application backend makes calls to external URLs, it is configured to not follow redirects unless it is intended functionality.</t>
  </si>
  <si>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</si>
  <si>
    <t>Api/src/main/java/isep/desosfs/arcadehaven/Config/KeycloakAdminConfig.java</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</si>
  <si>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</si>
  <si>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</si>
  <si>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</si>
  <si>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Api/src/main/.../Dto/Request/RegisterRequest.java; Dto/Request/CreateGameRequest.java; Dto/Request/UpdateProfileRequest.java; Dto/Request/AddOrderItemRequest.java</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</si>
  <si>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</si>
  <si>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</si>
  <si>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</si>
  <si>
    <t>Api/src/main/resources/application.properties; Api/src/main/java/isep/desosfs/arcadehaven/Security/RateLimitFilter.java; SecurityEventHandler.java</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</si>
  <si>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</si>
  <si>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</si>
  <si>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</si>
  <si>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Api/src/main/.../Dto/Request/ (all request DTOs — Java static typing + Bean Validation)</t>
  </si>
  <si>
    <t>V15.3.6</t>
  </si>
  <si>
    <t>Verify that JavaScript code is written in a way that prevents prototype pollution, for example, by using Set() or Map() instead of object literals.</t>
  </si>
  <si>
    <t>Prototype pollution is a vulnerability class specific to JavaScript/Node.js environments. ArcadeHaven is a Java/Spring Boot backend with no JavaScript runtime component. This vulnerability class is architecturally inapplicable.</t>
  </si>
  <si>
    <t>V15.3.7</t>
  </si>
  <si>
    <t>Verify that the application has defenses against HTTP parameter pollution attacks, particularly if the application framework makes no distinction about the source of request parameters (query string, body parameters, cookies, or header fields).</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</si>
  <si>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</si>
  <si>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Api/src/main/.../Security/SecurityConfig.java; all controllers (@RequestParam/@RequestBody separate binding)</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</si>
  <si>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</si>
  <si>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</si>
  <si>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</si>
  <si>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</si>
  <si>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</si>
  <si>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</si>
  <si>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</si>
  <si>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</si>
  <si>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</si>
  <si>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</si>
  <si>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</si>
  <si>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</si>
  <si>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</si>
  <si>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</si>
  <si>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</si>
  <si>
    <t>Documentation/LoggingInventory.md; Api/src/main/java/isep/desosfs/arcadehaven/Security/SecurityAuditService.java; Api/src/main/resources/logback-spring.xml</t>
  </si>
  <si>
    <t>V16.2</t>
  </si>
  <si>
    <t>General Logging</t>
  </si>
  <si>
    <t>V16.2.1</t>
  </si>
  <si>
    <t>Verify that each log entry includes necessary metadata (such as when, where, who, what) that would allow for a detailed investigation of the timeline when an event happens.</t>
  </si>
  <si>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</si>
  <si>
    <t>Api/src/main/java/isep/desosfs/arcadehaven/Security/SecurityAuditService.java</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</si>
  <si>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</si>
  <si>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</si>
  <si>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</si>
  <si>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Api/src/main/.../Security/SecurityAuditService.java (Instant.now() UTC); Security/SecurityEventHandler.java</t>
  </si>
  <si>
    <t>V16.2.3</t>
  </si>
  <si>
    <t>Verify that the application only stores or broadcasts logs to the files and services that are documented in the log inventory.</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</si>
  <si>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</si>
  <si>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Api/src/main/.../Security/SecurityAuditService.java (SECURITY_AUDIT logger, stdout + logs/arcadehaven.log)</t>
  </si>
  <si>
    <t>V16.2.4</t>
  </si>
  <si>
    <t>Verify that logs can be read and correlated by the log processor that is in use, preferably by using a common logging format.</t>
  </si>
  <si>
    <t>SecurityAuditService.json() helper emits all events as structured JSON: {"event":"SECURITY_EVENT","ts":"&lt;iso&gt;","type":"...","ip":"...","user":"..."}. Parseable by ELK, Splunk, Datadog, and any standard log processor without custom parsing.</t>
  </si>
  <si>
    <t>Api/src/main/java/isep/desosfs/arcadehaven/Security/SecurityAuditService.java:json()</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</si>
  <si>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</si>
  <si>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</si>
  <si>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</si>
  <si>
    <t>Api/src/main/java/isep/desosfs/arcadehaven/Security/SecurityAuditService.java:sanitize() (JWT_PATTERN, ACTIVATION_KEY_PATTERN)</t>
  </si>
  <si>
    <t>V16.3</t>
  </si>
  <si>
    <t>Security Events</t>
  </si>
  <si>
    <t>V16.3.1</t>
  </si>
  <si>
    <t>Verify that all authentication operations are logged, including successful and unsuccessful attempts. Additional metadata, such as the type of authentication or factors used, should also be collected.</t>
  </si>
  <si>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</si>
  <si>
    <t>Api/src/main/java/isep/desosfs/arcadehaven/Service/AuthService.java:80,104; Api/src/main/java/isep/desosfs/arcadehaven/Security/SecurityAuditService.java:recordLoginSuccess()</t>
  </si>
  <si>
    <t>V16.3.2</t>
  </si>
  <si>
    <t>Verify that failed authorization attempts are logged. For L3, this must include logging all authorization decisions, including logging when sensitive data is accessed (without logging the sensitive data itself).</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</si>
  <si>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</si>
  <si>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Api/src/main/.../Security/SecurityAuditService.java (recordAccessDenied); Security/SecurityEventHandler.java</t>
  </si>
  <si>
    <t>V16.3.3</t>
  </si>
  <si>
    <t>Verify that the application logs the security events that are defined in the documentation and also logs attempts to bypass the security controls, such as input validation, business logic, and anti-automation.</t>
  </si>
  <si>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</si>
  <si>
    <t>Api/src/main/java/isep/desosfs/arcadehaven/Security/RateLimitFilter.java:53; Api/src/main/java/isep/desosfs/arcadehaven/Exception/GlobalExceptionHandler.java:70-78; Api/src/main/java/isep/desosfs/arcadehaven/Service/AdminService.java</t>
  </si>
  <si>
    <t>V16.3.4</t>
  </si>
  <si>
    <t>Verify that the application logs unexpected errors and security control failures such as backend TLS failures.</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</si>
  <si>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</si>
  <si>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V16.4</t>
  </si>
  <si>
    <t>Log Protection</t>
  </si>
  <si>
    <t>V16.4.1</t>
  </si>
  <si>
    <t>Verify that all logging components appropriately encode data to prevent log injection.</t>
  </si>
  <si>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</si>
  <si>
    <t>Api/src/main/java/isep/desosfs/arcadehaven/Security/SecurityAuditService.java:sanitize()</t>
  </si>
  <si>
    <t>V16.4.2</t>
  </si>
  <si>
    <t>Verify that logs are protected from unauthorized access and cannot be modified.</t>
  </si>
  <si>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</si>
  <si>
    <t>Api/Dockerfile (mkdir /app/logs, chmod 750); Api/src/main/resources/logback-spring.xml (RollingFileAppender)</t>
  </si>
  <si>
    <t>V16.4.3</t>
  </si>
  <si>
    <t>Verify that logs are securely transmitted to a logically separate system for analysis, detection, alerting, and escalation. The aim is to ensure that if the application is breached, the logs are not compromised.</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</si>
  <si>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</si>
  <si>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</si>
  <si>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</si>
  <si>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</si>
  <si>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</si>
  <si>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</si>
  <si>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Api/src/main/.../Exception/GlobalExceptionHandler.java (generic error messages, no stack traces)</t>
  </si>
  <si>
    <t>V16.5.2</t>
  </si>
  <si>
    <t>Verify that the application continues to operate securely when external resource access fails, for example, by using patterns such as circuit breakers or graceful degradation.</t>
  </si>
  <si>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</si>
  <si>
    <t>Api/src/main/resources/logback-spring.xml (&lt;prudent&gt;true&lt;/prudent&gt; on RollingFileAppender, dual CONSOLE+FILE destinations)</t>
  </si>
  <si>
    <t>V16.5.3</t>
  </si>
  <si>
    <t>Verify that the application fails gracefully and securely, including when an exception occurs, preventing fail-open conditions such as processing a transaction despite errors resulting from validation logic.</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</si>
  <si>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</si>
  <si>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Api/src/main/.../Exception/GlobalExceptionHandler.java; Security/SecurityConfig.java (deny-all default)</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</si>
  <si>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</si>
  <si>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</si>
  <si>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</si>
  <si>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Api/src/main/.../Exception/GlobalExceptionHandler.java (@ExceptionHandler(Exception.class) catch-all)</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</si>
  <si>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</si>
  <si>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</si>
  <si>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</si>
  <si>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</si>
  <si>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ArcadeHaven does not implement a TURN server or any NAT traversal mechanism. No real-time peer-to-peer communication is used.</t>
  </si>
  <si>
    <t>V17.1.2</t>
  </si>
  <si>
    <t>Verify that the Traversal Using Relays around NAT (TURN) service is not susceptible to resource exhaustion when legitimate users attempt to open a large number of ports on the TURN server.</t>
  </si>
  <si>
    <t>No TURN server is used. Resource exhaustion via TURN port allocation is not applicable.</t>
  </si>
  <si>
    <t>V17.2</t>
  </si>
  <si>
    <t>Media</t>
  </si>
  <si>
    <t>V17.2.1</t>
  </si>
  <si>
    <t>Verify that the key for the Datagram Transport Layer Security (DTLS) certificate is managed and protected based on the documented policy for management of cryptographic keys.</t>
  </si>
  <si>
    <t>ArcadeHaven does not use DTLS or any media server. No cryptographic key management for media transport is required.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</si>
  <si>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</si>
  <si>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</si>
  <si>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or DTLS-SRTP is used. Not applicable to the current project scope.</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</si>
  <si>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</si>
  <si>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</si>
  <si>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SRTP or RTP media streams are used. Not applicable to the current project scope.</t>
  </si>
  <si>
    <t>V17.2.4</t>
  </si>
  <si>
    <t>Verify that the media server is able to continue processing incoming media traffic when encountering malformed Secure Real-time Transport Protocol (SRTP) packets.</t>
  </si>
  <si>
    <t>No media server is implemented. Not applicable to the current project scope.</t>
  </si>
  <si>
    <t>V17.2.5</t>
  </si>
  <si>
    <t>Verify that the media server is able to continue processing incoming media traffic during a flood of Secure Real-time Transport Protocol (SRTP) packets from legitimate users.</t>
  </si>
  <si>
    <t>No media server or SRTP traffic is used. Not applicable to the current project scope.</t>
  </si>
  <si>
    <t>V17.2.6</t>
  </si>
  <si>
    <t>Verify that the media server is not susceptible to the "ClientHello" Race Condition vulnerability in Datagram Transport Layer Security (DTLS) by checking if the media server is publicly known to be vulnerable or by performing the race condition test.</t>
  </si>
  <si>
    <t>No DTLS implementation is used. ClientHello race condition is not applicable.</t>
  </si>
  <si>
    <t>V17.2.7</t>
  </si>
  <si>
    <t>Verify that any audio or video recording mechanisms associated with the media server are able to continue processing incoming media traffic during a flood of Secure Real-time Transport Protocol (SRTP) packets from legitimate users.</t>
  </si>
  <si>
    <t xml:space="preserve">	No audio or video recording mechanisms are used. Not applicable to the current project scope.</t>
  </si>
  <si>
    <t>V17.2.8</t>
  </si>
  <si>
    <t>Verify that the Datagram Transport Layer Security (DTLS) certificate is checked against the Session Description Protocol (SDP) fingerprint attribute, terminating the media stream if the check fails, to ensure the authenticity of the media stream.</t>
  </si>
  <si>
    <t>No DTLS certificates or SDP fingerprint validation is used. Not applicable to the current project scope.</t>
  </si>
  <si>
    <t>V17.3</t>
  </si>
  <si>
    <t>Signaling</t>
  </si>
  <si>
    <t>V17.3.1</t>
  </si>
  <si>
    <t>Verify that the signaling server is able to continue processing legitimate incoming signaling messages during a flood attack. This should be achieved by implementing rate limiting at the signaling level.</t>
  </si>
  <si>
    <t>ArcadeHaven does not implement a signaling server or any WebRTC signaling mechanism. Not applicable to the current project scope.</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</si>
  <si>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</si>
  <si>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</si>
  <si>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No signaling server is used. Malformed signaling message handling is not applicable to the current project scope.</t>
  </si>
  <si>
    <t>Strict-Transport-Security: max-age=31536000; includeSubDomains set on ALL responses (including plain-HTTP) via Spring Security .httpStrictTransportSecurity(hsts -&gt; hsts.includeSubDomains(true).maxAgeInSeconds(31_536_000).requestMatcher(request -&gt; true)) and redundantly via nginx add_header ... always. Covers proxy-terminated TLS deployments.</t>
  </si>
  <si>
    <t>Api/src/main/java/isep/desosfs/arcadehaven/Security/SecurityConfig.java (filterChain HSTS block); Api/nginx/nginx.conf (add_header Strict-Transport-Security always); Documentation/ASVS_Compliant_Evidence.md</t>
  </si>
  <si>
    <t>CORS configured with explicit origin allowlist via CorsConfiguration.setAllowedOrigins(). Wildcard never used. Origins read from CORS_ALLOWED_ORIGINS env var (defaults to localhost:3000,localhost:5173 for dev). Env var passed to Docker container via docker-compose.yml environment block. Allowed methods and headers are explicit lists. Tests in SecurityHeadersTest.java verify allowed/rejected origins, method coverage, and global path application.</t>
  </si>
  <si>
    <t>Api/src/main/java/isep/desosfs/arcadehaven/Security/SecurityConfig.java (corsConfigurationSource()); Api/src/main/resources/application.properties (security.cors.allowed-origins); Api/docker-compose.yml (CORS_ALLOWED_ORIGINS env); Api/src/test/java/isep/desosfs/arcadehaven/Security/SecurityHeadersTest.java; Documentation/ASVS_Compliant_Evidence.md</t>
  </si>
  <si>
    <t>X-Content-Type-Options: nosniff set globally on all responses via Spring Security .contentTypeOptions(Customizer.withDefaults()) inside the .headers() block of SecurityConfig.filterChain(). No exceptions.</t>
  </si>
  <si>
    <t>Api/src/main/java/isep/desosfs/arcadehaven/Security/SecurityConfig.java (contentTypeOptions block); Documentation/ASVS_Compliant_Evidence.md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</si>
</sst>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1</c:v>
                </c:pt>
                <c:pt idx="2">
                  <c:v>0.625</c:v>
                </c:pt>
                <c:pt idx="3">
                  <c:v>0.5</c:v>
                </c:pt>
                <c:pt idx="4">
                  <c:v>1</c:v>
                </c:pt>
                <c:pt idx="5">
                  <c:v>0.84615384615384615</c:v>
                </c:pt>
                <c:pt idx="6">
                  <c:v>0.83333333333333337</c:v>
                </c:pt>
                <c:pt idx="7">
                  <c:v>1</c:v>
                </c:pt>
                <c:pt idx="8">
                  <c:v>1</c:v>
                </c:pt>
                <c:pt idx="9">
                  <c:v>0.8</c:v>
                </c:pt>
                <c:pt idx="10">
                  <c:v>1</c:v>
                </c:pt>
                <c:pt idx="11">
                  <c:v>0.66666666666666663</c:v>
                </c:pt>
                <c:pt idx="12">
                  <c:v>1</c:v>
                </c:pt>
                <c:pt idx="13">
                  <c:v>0.5</c:v>
                </c:pt>
                <c:pt idx="14">
                  <c:v>1</c:v>
                </c:pt>
                <c:pt idx="15" formatCode="General">
                  <c:v>0</c:v>
                </c:pt>
                <c:pt idx="16" formatCode="General">
                  <c:v>0</c:v>
                </c:pt>
              </c:numCache>
            </c:numRef>
          </c:val>
          <c:extLst>
            <c:ext xmlns:c16="http://schemas.microsoft.com/office/drawing/2014/chart" uri="{C3380CC4-5D6E-409C-BE32-E72D297353CC}">
              <c16:uniqueId val="{00000000-30CF-4677-961C-12A3DF2656EA}"/>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0.42105263157894735</c:v>
                </c:pt>
                <c:pt idx="1">
                  <c:v>0.8571428571428571</c:v>
                </c:pt>
                <c:pt idx="2">
                  <c:v>9.0909090909090912E-2</c:v>
                </c:pt>
                <c:pt idx="3">
                  <c:v>0.375</c:v>
                </c:pt>
                <c:pt idx="4">
                  <c:v>0.8</c:v>
                </c:pt>
                <c:pt idx="5">
                  <c:v>0.86363636363636365</c:v>
                </c:pt>
                <c:pt idx="6">
                  <c:v>0.83333333333333337</c:v>
                </c:pt>
                <c:pt idx="7">
                  <c:v>0.66666666666666663</c:v>
                </c:pt>
                <c:pt idx="8">
                  <c:v>1</c:v>
                </c:pt>
                <c:pt idx="9">
                  <c:v>0.75</c:v>
                </c:pt>
                <c:pt idx="10">
                  <c:v>0.81818181818181823</c:v>
                </c:pt>
                <c:pt idx="11">
                  <c:v>0.5</c:v>
                </c:pt>
                <c:pt idx="12">
                  <c:v>0.33333333333333331</c:v>
                </c:pt>
                <c:pt idx="13">
                  <c:v>0.5714285714285714</c:v>
                </c:pt>
                <c:pt idx="14">
                  <c:v>0.9</c:v>
                </c:pt>
                <c:pt idx="15">
                  <c:v>0.875</c:v>
                </c:pt>
                <c:pt idx="16">
                  <c:v>0</c:v>
                </c:pt>
              </c:numCache>
            </c:numRef>
          </c:val>
          <c:extLst>
            <c:ext xmlns:c16="http://schemas.microsoft.com/office/drawing/2014/chart" uri="{C3380CC4-5D6E-409C-BE32-E72D297353CC}">
              <c16:uniqueId val="{00000001-30CF-4677-961C-12A3DF2656EA}"/>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0.25</c:v>
                </c:pt>
                <c:pt idx="15">
                  <c:v>1</c:v>
                </c:pt>
              </c:numCache>
            </c:numRef>
          </c:val>
          <c:extLst>
            <c:ext xmlns:c16="http://schemas.microsoft.com/office/drawing/2014/chart" uri="{C3380CC4-5D6E-409C-BE32-E72D297353CC}">
              <c16:uniqueId val="{00000002-30CF-4677-961C-12A3DF2656EA}"/>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0.36666666666666664</c:v>
                </c:pt>
                <c:pt idx="1">
                  <c:v>0.76923076923076927</c:v>
                </c:pt>
                <c:pt idx="2">
                  <c:v>0.19354838709677419</c:v>
                </c:pt>
                <c:pt idx="3">
                  <c:v>0.25</c:v>
                </c:pt>
                <c:pt idx="4">
                  <c:v>0.61538461538461542</c:v>
                </c:pt>
                <c:pt idx="5">
                  <c:v>0.63829787234042556</c:v>
                </c:pt>
                <c:pt idx="6">
                  <c:v>0.78947368421052633</c:v>
                </c:pt>
                <c:pt idx="7">
                  <c:v>0.46153846153846156</c:v>
                </c:pt>
                <c:pt idx="8">
                  <c:v>1</c:v>
                </c:pt>
                <c:pt idx="9">
                  <c:v>0.61111111111111116</c:v>
                </c:pt>
                <c:pt idx="10">
                  <c:v>0.58333333333333337</c:v>
                </c:pt>
                <c:pt idx="11">
                  <c:v>0.41666666666666669</c:v>
                </c:pt>
                <c:pt idx="12">
                  <c:v>0.23809523809523808</c:v>
                </c:pt>
                <c:pt idx="13">
                  <c:v>0.38461538461538464</c:v>
                </c:pt>
                <c:pt idx="14">
                  <c:v>0.66666666666666663</c:v>
                </c:pt>
                <c:pt idx="15">
                  <c:v>0.88235294117647056</c:v>
                </c:pt>
                <c:pt idx="16">
                  <c:v>0</c:v>
                </c:pt>
              </c:numCache>
            </c:numRef>
          </c:val>
          <c:extLst>
            <c:ext xmlns:c16="http://schemas.microsoft.com/office/drawing/2014/chart" uri="{C3380CC4-5D6E-409C-BE32-E72D297353CC}">
              <c16:uniqueId val="{00000003-30CF-4677-961C-12A3DF2656EA}"/>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80" zoomScaleNormal="80"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0</v>
      </c>
      <c r="B1" s="33"/>
      <c r="C1" s="33"/>
      <c r="D1" s="33"/>
      <c r="E1" s="33"/>
      <c r="F1" s="33"/>
      <c r="G1" s="33"/>
      <c r="H1" s="33"/>
      <c r="I1" s="33"/>
      <c r="J1" s="33"/>
      <c r="K1" s="33"/>
      <c r="L1" s="33"/>
      <c r="M1" s="33"/>
      <c r="N1" s="33"/>
      <c r="O1" s="33"/>
      <c r="P1" s="33"/>
    </row>
    <row r="2" spans="1:16" ht="19.899999999999999" customHeight="1" x14ac:dyDescent="0.25">
      <c r="A2" s="35"/>
      <c r="B2" s="33"/>
      <c r="C2" s="33"/>
      <c r="D2" s="33"/>
      <c r="E2" s="33"/>
      <c r="F2" s="33"/>
      <c r="G2" s="33"/>
      <c r="H2" s="33"/>
      <c r="I2" s="33"/>
      <c r="J2" s="33"/>
      <c r="K2" s="33"/>
      <c r="L2" s="33"/>
      <c r="M2" s="33"/>
      <c r="N2" s="33"/>
      <c r="O2" s="33"/>
      <c r="P2" s="33"/>
    </row>
    <row r="3" spans="1:16" ht="18" customHeight="1" x14ac:dyDescent="0.25">
      <c r="A3" s="34"/>
      <c r="B3" s="33"/>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8</v>
      </c>
      <c r="H6" s="5">
        <f t="shared" ref="H6:H22" si="1">IF(F6=0,"",G6/F6)</f>
        <v>0.42105263157894735</v>
      </c>
      <c r="I6" s="4">
        <v>3</v>
      </c>
      <c r="J6" s="4">
        <f>COUNTIFS('V1 - Encoding and Sanitization'!$F$2:$F$36,"Compliant",'V1 - Encoding and Sanitization'!$E$2:$E$36,3)</f>
        <v>0</v>
      </c>
      <c r="K6" s="5">
        <f t="shared" ref="K6:K13" si="2">IF(I6=0,"",J6/I6)</f>
        <v>0</v>
      </c>
      <c r="L6" s="4">
        <f>COUNTIF('V1 - Encoding and Sanitization'!$F$2:$F$36,"Compliant")</f>
        <v>11</v>
      </c>
      <c r="M6" s="5">
        <f t="shared" ref="M6:M22" si="3">IF(B6=0,"",L6/B6)</f>
        <v>0.36666666666666664</v>
      </c>
    </row>
    <row r="7" spans="1:16" ht="18" customHeight="1" x14ac:dyDescent="0.25">
      <c r="A7" s="6" t="s">
        <v>15</v>
      </c>
      <c r="B7" s="7">
        <v>13</v>
      </c>
      <c r="C7" s="7">
        <v>4</v>
      </c>
      <c r="D7" s="7">
        <f>COUNTIFS('V2 - Validation and Business Lo'!$F$2:$F$18,"Compliant",'V2 - Validation and Business Lo'!$E$2:$E$18,1)</f>
        <v>4</v>
      </c>
      <c r="E7" s="8">
        <f t="shared" si="0"/>
        <v>1</v>
      </c>
      <c r="F7" s="7">
        <v>7</v>
      </c>
      <c r="G7" s="7">
        <f>COUNTIFS('V2 - Validation and Business Lo'!$F$2:$F$18,"Compliant",'V2 - Validation and Business Lo'!$E$2:$E$18,2)</f>
        <v>6</v>
      </c>
      <c r="H7" s="8">
        <f t="shared" si="1"/>
        <v>0.8571428571428571</v>
      </c>
      <c r="I7" s="7">
        <v>2</v>
      </c>
      <c r="J7" s="7">
        <f>COUNTIFS('V2 - Validation and Business Lo'!$F$2:$F$18,"Compliant",'V2 - Validation and Business Lo'!$E$2:$E$18,3)</f>
        <v>0</v>
      </c>
      <c r="K7" s="8">
        <f t="shared" si="2"/>
        <v>0</v>
      </c>
      <c r="L7" s="7">
        <f>COUNTIF('V2 - Validation and Business Lo'!$F$2:$F$18,"Compliant")</f>
        <v>10</v>
      </c>
      <c r="M7" s="8">
        <f t="shared" si="3"/>
        <v>0.76923076923076927</v>
      </c>
    </row>
    <row r="8" spans="1:16" ht="18" customHeight="1" x14ac:dyDescent="0.25">
      <c r="A8" s="3" t="s">
        <v>16</v>
      </c>
      <c r="B8" s="4">
        <v>31</v>
      </c>
      <c r="C8" s="4">
        <v>8</v>
      </c>
      <c r="D8" s="4">
        <f>COUNTIFS('V3 - Web Frontend Security'!$F$2:$F$39,"Compliant",'V3 - Web Frontend Security'!$E$2:$E$39,1)</f>
        <v>5</v>
      </c>
      <c r="E8" s="5">
        <f t="shared" si="0"/>
        <v>0.625</v>
      </c>
      <c r="F8" s="4">
        <v>11</v>
      </c>
      <c r="G8" s="4">
        <f>COUNTIFS('V3 - Web Frontend Security'!$F$2:$F$39,"Compliant",'V3 - Web Frontend Security'!$E$2:$E$39,2)</f>
        <v>1</v>
      </c>
      <c r="H8" s="5">
        <f t="shared" si="1"/>
        <v>9.0909090909090912E-2</v>
      </c>
      <c r="I8" s="4">
        <v>12</v>
      </c>
      <c r="J8" s="4">
        <f>COUNTIFS('V3 - Web Frontend Security'!$F$2:$F$39,"Compliant",'V3 - Web Frontend Security'!$E$2:$E$39,3)</f>
        <v>0</v>
      </c>
      <c r="K8" s="5">
        <f t="shared" si="2"/>
        <v>0</v>
      </c>
      <c r="L8" s="4">
        <f>COUNTIF('V3 - Web Frontend Security'!$F$2:$F$39,"Compliant")</f>
        <v>6</v>
      </c>
      <c r="M8" s="5">
        <f t="shared" si="3"/>
        <v>0.19354838709677419</v>
      </c>
    </row>
    <row r="9" spans="1:16" ht="18" customHeight="1" x14ac:dyDescent="0.25">
      <c r="A9" s="6" t="s">
        <v>17</v>
      </c>
      <c r="B9" s="7">
        <v>16</v>
      </c>
      <c r="C9" s="7">
        <v>2</v>
      </c>
      <c r="D9" s="7">
        <f>COUNTIFS('V4 - API and Web Service'!$F$2:$F$21,"Compliant",'V4 - API and Web Service'!$E$2:$E$21,1)</f>
        <v>1</v>
      </c>
      <c r="E9" s="8">
        <f t="shared" si="0"/>
        <v>0.5</v>
      </c>
      <c r="F9" s="7">
        <v>8</v>
      </c>
      <c r="G9" s="7">
        <f>COUNTIFS('V4 - API and Web Service'!$F$2:$F$21,"Compliant",'V4 - API and Web Service'!$E$2:$E$21,2)</f>
        <v>3</v>
      </c>
      <c r="H9" s="8">
        <f t="shared" si="1"/>
        <v>0.375</v>
      </c>
      <c r="I9" s="7">
        <v>6</v>
      </c>
      <c r="J9" s="7">
        <f>COUNTIFS('V4 - API and Web Service'!$F$2:$F$21,"Compliant",'V4 - API and Web Service'!$E$2:$E$21,3)</f>
        <v>0</v>
      </c>
      <c r="K9" s="8">
        <f t="shared" si="2"/>
        <v>0</v>
      </c>
      <c r="L9" s="7">
        <f>COUNTIF('V4 - API and Web Service'!$F$2:$F$21,"Compliant")</f>
        <v>4</v>
      </c>
      <c r="M9" s="8">
        <f t="shared" si="3"/>
        <v>0.25</v>
      </c>
    </row>
    <row r="10" spans="1:16" ht="18" customHeight="1" x14ac:dyDescent="0.25">
      <c r="A10" s="3" t="s">
        <v>18</v>
      </c>
      <c r="B10" s="4">
        <v>13</v>
      </c>
      <c r="C10" s="4">
        <v>4</v>
      </c>
      <c r="D10" s="4">
        <f>COUNTIFS('V5 - File Handling'!$F$2:$F$18,"Compliant",'V5 - File Handling'!$E$2:$E$18,1)</f>
        <v>4</v>
      </c>
      <c r="E10" s="5">
        <f t="shared" si="0"/>
        <v>1</v>
      </c>
      <c r="F10" s="4">
        <v>5</v>
      </c>
      <c r="G10" s="4">
        <f>COUNTIFS('V5 - File Handling'!$F$2:$F$18,"Compliant",'V5 - File Handling'!$E$2:$E$18,2)</f>
        <v>4</v>
      </c>
      <c r="H10" s="5">
        <f t="shared" si="1"/>
        <v>0.8</v>
      </c>
      <c r="I10" s="4">
        <v>4</v>
      </c>
      <c r="J10" s="4">
        <f>COUNTIFS('V5 - File Handling'!$F$2:$F$18,"Compliant",'V5 - File Handling'!$E$2:$E$18,3)</f>
        <v>0</v>
      </c>
      <c r="K10" s="5">
        <f t="shared" si="2"/>
        <v>0</v>
      </c>
      <c r="L10" s="4">
        <f>COUNTIF('V5 - File Handling'!$F$2:$F$18,"Compliant")</f>
        <v>8</v>
      </c>
      <c r="M10" s="5">
        <f t="shared" si="3"/>
        <v>0.61538461538461542</v>
      </c>
    </row>
    <row r="11" spans="1:16" ht="18" customHeight="1" x14ac:dyDescent="0.25">
      <c r="A11" s="6" t="s">
        <v>19</v>
      </c>
      <c r="B11" s="7">
        <v>47</v>
      </c>
      <c r="C11" s="7">
        <v>13</v>
      </c>
      <c r="D11" s="7">
        <f>COUNTIFS('V6 - Authentication'!$F$2:$F$56,"Compliant",'V6 - Authentication'!$E$2:$E$56,1)</f>
        <v>11</v>
      </c>
      <c r="E11" s="8">
        <f t="shared" si="0"/>
        <v>0.84615384615384615</v>
      </c>
      <c r="F11" s="7">
        <v>22</v>
      </c>
      <c r="G11" s="7">
        <f>COUNTIFS('V6 - Authentication'!$F$2:$F$56,"Compliant",'V6 - Authentication'!$E$2:$E$56,2)</f>
        <v>19</v>
      </c>
      <c r="H11" s="8">
        <f t="shared" si="1"/>
        <v>0.86363636363636365</v>
      </c>
      <c r="I11" s="7">
        <v>12</v>
      </c>
      <c r="J11" s="7">
        <f>COUNTIFS('V6 - Authentication'!$F$2:$F$56,"Compliant",'V6 - Authentication'!$E$2:$E$56,3)</f>
        <v>0</v>
      </c>
      <c r="K11" s="8">
        <f t="shared" si="2"/>
        <v>0</v>
      </c>
      <c r="L11" s="7">
        <f>COUNTIF('V6 - Authentication'!$F$2:$F$56,"Compliant")</f>
        <v>30</v>
      </c>
      <c r="M11" s="8">
        <f t="shared" si="3"/>
        <v>0.63829787234042556</v>
      </c>
    </row>
    <row r="12" spans="1:16" ht="18" customHeight="1" x14ac:dyDescent="0.25">
      <c r="A12" s="3" t="s">
        <v>20</v>
      </c>
      <c r="B12" s="4">
        <v>19</v>
      </c>
      <c r="C12" s="4">
        <v>6</v>
      </c>
      <c r="D12" s="4">
        <f>COUNTIFS('V7 - Session Management'!$F$2:$F$26,"Compliant",'V7 - Session Management'!$E$2:$E$26,1)</f>
        <v>5</v>
      </c>
      <c r="E12" s="5">
        <f t="shared" si="0"/>
        <v>0.83333333333333337</v>
      </c>
      <c r="F12" s="4">
        <v>12</v>
      </c>
      <c r="G12" s="4">
        <f>COUNTIFS('V7 - Session Management'!$F$2:$F$26,"Compliant",'V7 - Session Management'!$E$2:$E$26,2)</f>
        <v>10</v>
      </c>
      <c r="H12" s="5">
        <f t="shared" si="1"/>
        <v>0.83333333333333337</v>
      </c>
      <c r="I12" s="4">
        <v>1</v>
      </c>
      <c r="J12" s="4">
        <f>COUNTIFS('V7 - Session Management'!$F$2:$F$26,"Compliant",'V7 - Session Management'!$E$2:$E$26,3)</f>
        <v>0</v>
      </c>
      <c r="K12" s="5">
        <f t="shared" si="2"/>
        <v>0</v>
      </c>
      <c r="L12" s="4">
        <f>COUNTIF('V7 - Session Management'!$F$2:$F$26,"Compliant")</f>
        <v>15</v>
      </c>
      <c r="M12" s="5">
        <f t="shared" si="3"/>
        <v>0.78947368421052633</v>
      </c>
    </row>
    <row r="13" spans="1:16" ht="18" customHeight="1" x14ac:dyDescent="0.25">
      <c r="A13" s="6" t="s">
        <v>21</v>
      </c>
      <c r="B13" s="7">
        <v>13</v>
      </c>
      <c r="C13" s="7">
        <v>4</v>
      </c>
      <c r="D13" s="7">
        <f>COUNTIFS('V8 - Authorization'!$F$2:$F$18,"Compliant",'V8 - Authorization'!$E$2:$E$18,1)</f>
        <v>4</v>
      </c>
      <c r="E13" s="8">
        <f t="shared" si="0"/>
        <v>1</v>
      </c>
      <c r="F13" s="7">
        <v>3</v>
      </c>
      <c r="G13" s="7">
        <f>COUNTIFS('V8 - Authorization'!$F$2:$F$18,"Compliant",'V8 - Authorization'!$E$2:$E$18,2)</f>
        <v>2</v>
      </c>
      <c r="H13" s="8">
        <f t="shared" si="1"/>
        <v>0.66666666666666663</v>
      </c>
      <c r="I13" s="7">
        <v>6</v>
      </c>
      <c r="J13" s="7">
        <f>COUNTIFS('V8 - Authorization'!$F$2:$F$18,"Compliant",'V8 - Authorization'!$E$2:$E$18,3)</f>
        <v>0</v>
      </c>
      <c r="K13" s="8">
        <f t="shared" si="2"/>
        <v>0</v>
      </c>
      <c r="L13" s="7">
        <f>COUNTIF('V8 - Authorization'!$F$2:$F$18,"Compliant")</f>
        <v>6</v>
      </c>
      <c r="M13" s="8">
        <f t="shared" si="3"/>
        <v>0.46153846153846156</v>
      </c>
    </row>
    <row r="14" spans="1:16" ht="18" customHeight="1" x14ac:dyDescent="0.25">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3</v>
      </c>
      <c r="H14" s="5">
        <f t="shared" si="1"/>
        <v>1</v>
      </c>
      <c r="I14" s="4">
        <v>0</v>
      </c>
      <c r="J14" s="4" t="s">
        <v>23</v>
      </c>
      <c r="K14" s="4" t="s">
        <v>23</v>
      </c>
      <c r="L14" s="4">
        <f>COUNTIF('V9 - Self-contained Tokens'!$F$2:$F$10,"Compliant")</f>
        <v>7</v>
      </c>
      <c r="M14" s="5">
        <f t="shared" si="3"/>
        <v>1</v>
      </c>
    </row>
    <row r="15" spans="1:16" ht="18" customHeight="1" x14ac:dyDescent="0.25">
      <c r="A15" s="6" t="s">
        <v>24</v>
      </c>
      <c r="B15" s="7">
        <v>36</v>
      </c>
      <c r="C15" s="7">
        <v>5</v>
      </c>
      <c r="D15" s="7">
        <f>COUNTIFS('V10 - OAuth and OIDC'!$F$2:$F$44,"Compliant",'V10 - OAuth and OIDC'!$E$2:$E$44,1)</f>
        <v>4</v>
      </c>
      <c r="E15" s="8">
        <f t="shared" si="0"/>
        <v>0.8</v>
      </c>
      <c r="F15" s="7">
        <v>24</v>
      </c>
      <c r="G15" s="7">
        <f>COUNTIFS('V10 - OAuth and OIDC'!$F$2:$F$44,"Compliant",'V10 - OAuth and OIDC'!$E$2:$E$44,2)</f>
        <v>18</v>
      </c>
      <c r="H15" s="8">
        <f t="shared" si="1"/>
        <v>0.75</v>
      </c>
      <c r="I15" s="7">
        <v>7</v>
      </c>
      <c r="J15" s="7">
        <f>COUNTIFS('V10 - OAuth and OIDC'!$F$2:$F$44,"Compliant",'V10 - OAuth and OIDC'!$E$2:$E$44,3)</f>
        <v>0</v>
      </c>
      <c r="K15" s="8">
        <f t="shared" ref="K15:K22" si="4">IF(I15=0,"",J15/I15)</f>
        <v>0</v>
      </c>
      <c r="L15" s="7">
        <f>COUNTIF('V10 - OAuth and OIDC'!$F$2:$F$44,"Compliant")</f>
        <v>22</v>
      </c>
      <c r="M15" s="8">
        <f t="shared" si="3"/>
        <v>0.61111111111111116</v>
      </c>
    </row>
    <row r="16" spans="1:16" ht="18" customHeight="1" x14ac:dyDescent="0.25">
      <c r="A16" s="3" t="s">
        <v>25</v>
      </c>
      <c r="B16" s="4">
        <v>24</v>
      </c>
      <c r="C16" s="4">
        <v>3</v>
      </c>
      <c r="D16" s="4">
        <f>COUNTIFS('V11 - Cryptography'!$F$2:$F$32,"Compliant",'V11 - Cryptography'!$E$2:$E$32,1)</f>
        <v>3</v>
      </c>
      <c r="E16" s="5">
        <f t="shared" si="0"/>
        <v>1</v>
      </c>
      <c r="F16" s="4">
        <v>11</v>
      </c>
      <c r="G16" s="4">
        <f>COUNTIFS('V11 - Cryptography'!$F$2:$F$32,"Compliant",'V11 - Cryptography'!$E$2:$E$32,2)</f>
        <v>9</v>
      </c>
      <c r="H16" s="5">
        <f t="shared" si="1"/>
        <v>0.81818181818181823</v>
      </c>
      <c r="I16" s="4">
        <v>10</v>
      </c>
      <c r="J16" s="4">
        <f>COUNTIFS('V11 - Cryptography'!$F$2:$F$32,"Compliant",'V11 - Cryptography'!$E$2:$E$32,3)</f>
        <v>2</v>
      </c>
      <c r="K16" s="5">
        <f t="shared" si="4"/>
        <v>0.2</v>
      </c>
      <c r="L16" s="4">
        <f>COUNTIF('V11 - Cryptography'!$F$2:$F$32,"Compliant")</f>
        <v>14</v>
      </c>
      <c r="M16" s="5">
        <f t="shared" si="3"/>
        <v>0.58333333333333337</v>
      </c>
    </row>
    <row r="17" spans="1:13" ht="18" customHeight="1" x14ac:dyDescent="0.25">
      <c r="A17" s="6" t="s">
        <v>26</v>
      </c>
      <c r="B17" s="7">
        <v>12</v>
      </c>
      <c r="C17" s="7">
        <v>3</v>
      </c>
      <c r="D17" s="7">
        <f>COUNTIFS('V12 - Secure Communication'!$F$2:$F$16,"Compliant",'V12 - Secure Communication'!$E$2:$E$16,1)</f>
        <v>2</v>
      </c>
      <c r="E17" s="8">
        <f t="shared" si="0"/>
        <v>0.66666666666666663</v>
      </c>
      <c r="F17" s="7">
        <v>6</v>
      </c>
      <c r="G17" s="7">
        <f>COUNTIFS('V12 - Secure Communication'!$F$2:$F$16,"Compliant",'V12 - Secure Communication'!$E$2:$E$16,2)</f>
        <v>3</v>
      </c>
      <c r="H17" s="8">
        <f t="shared" si="1"/>
        <v>0.5</v>
      </c>
      <c r="I17" s="7">
        <v>3</v>
      </c>
      <c r="J17" s="7">
        <f>COUNTIFS('V12 - Secure Communication'!$F$2:$F$16,"Compliant",'V12 - Secure Communication'!$E$2:$E$16,3)</f>
        <v>0</v>
      </c>
      <c r="K17" s="8">
        <f t="shared" si="4"/>
        <v>0</v>
      </c>
      <c r="L17" s="7">
        <f>COUNTIF('V12 - Secure Communication'!$F$2:$F$16,"Compliant")</f>
        <v>5</v>
      </c>
      <c r="M17" s="8">
        <f t="shared" si="3"/>
        <v>0.41666666666666669</v>
      </c>
    </row>
    <row r="18" spans="1:13" ht="18" customHeight="1" x14ac:dyDescent="0.25">
      <c r="A18" s="3" t="s">
        <v>27</v>
      </c>
      <c r="B18" s="4">
        <v>21</v>
      </c>
      <c r="C18" s="4">
        <v>1</v>
      </c>
      <c r="D18" s="4">
        <f>COUNTIFS('V13 - Configuration'!$F$2:$F$26,"Compliant",'V13 - Configuration'!$E$2:$E$26,1)</f>
        <v>1</v>
      </c>
      <c r="E18" s="5">
        <f t="shared" si="0"/>
        <v>1</v>
      </c>
      <c r="F18" s="4">
        <v>12</v>
      </c>
      <c r="G18" s="4">
        <f>COUNTIFS('V13 - Configuration'!$F$2:$F$26,"Compliant",'V13 - Configuration'!$E$2:$E$26,2)</f>
        <v>4</v>
      </c>
      <c r="H18" s="5">
        <f t="shared" si="1"/>
        <v>0.33333333333333331</v>
      </c>
      <c r="I18" s="4">
        <v>8</v>
      </c>
      <c r="J18" s="4">
        <f>COUNTIFS('V13 - Configuration'!$F$2:$F$26,"Compliant",'V13 - Configuration'!$E$2:$E$26,3)</f>
        <v>0</v>
      </c>
      <c r="K18" s="5">
        <f t="shared" si="4"/>
        <v>0</v>
      </c>
      <c r="L18" s="4">
        <f>COUNTIF('V13 - Configuration'!$F$2:$F$26,"Compliant")</f>
        <v>5</v>
      </c>
      <c r="M18" s="5">
        <f t="shared" si="3"/>
        <v>0.23809523809523808</v>
      </c>
    </row>
    <row r="19" spans="1:13" ht="18" customHeight="1" x14ac:dyDescent="0.25">
      <c r="A19" s="6" t="s">
        <v>28</v>
      </c>
      <c r="B19" s="7">
        <v>13</v>
      </c>
      <c r="C19" s="7">
        <v>2</v>
      </c>
      <c r="D19" s="7">
        <f>COUNTIFS('V14 - Data Protection'!$F$2:$F$17,"Compliant",'V14 - Data Protection'!$E$2:$E$17,1)</f>
        <v>1</v>
      </c>
      <c r="E19" s="8">
        <f t="shared" si="0"/>
        <v>0.5</v>
      </c>
      <c r="F19" s="7">
        <v>7</v>
      </c>
      <c r="G19" s="7">
        <f>COUNTIFS('V14 - Data Protection'!$F$2:$F$17,"Compliant",'V14 - Data Protection'!$E$2:$E$17,2)</f>
        <v>4</v>
      </c>
      <c r="H19" s="8">
        <f t="shared" si="1"/>
        <v>0.5714285714285714</v>
      </c>
      <c r="I19" s="7">
        <v>4</v>
      </c>
      <c r="J19" s="7">
        <f>COUNTIFS('V14 - Data Protection'!$F$2:$F$17,"Compliant",'V14 - Data Protection'!$E$2:$E$17,3)</f>
        <v>0</v>
      </c>
      <c r="K19" s="8">
        <f t="shared" si="4"/>
        <v>0</v>
      </c>
      <c r="L19" s="7">
        <f>COUNTIF('V14 - Data Protection'!$F$2:$F$17,"Compliant")</f>
        <v>5</v>
      </c>
      <c r="M19" s="8">
        <f t="shared" si="3"/>
        <v>0.38461538461538464</v>
      </c>
    </row>
    <row r="20" spans="1:13" ht="18" customHeight="1" x14ac:dyDescent="0.25">
      <c r="A20" s="3" t="s">
        <v>29</v>
      </c>
      <c r="B20" s="4">
        <v>21</v>
      </c>
      <c r="C20" s="4">
        <v>3</v>
      </c>
      <c r="D20" s="4">
        <f>COUNTIFS('V15 - Secure Coding and Archite'!$F$2:$F$26,"Compliant",'V15 - Secure Coding and Archite'!$E$2:$E$26,1)</f>
        <v>3</v>
      </c>
      <c r="E20" s="5">
        <f t="shared" si="0"/>
        <v>1</v>
      </c>
      <c r="F20" s="4">
        <v>10</v>
      </c>
      <c r="G20" s="4">
        <f>COUNTIFS('V15 - Secure Coding and Archite'!$F$2:$F$26,"Compliant",'V15 - Secure Coding and Archite'!$E$2:$E$26,2)</f>
        <v>9</v>
      </c>
      <c r="H20" s="5">
        <f t="shared" si="1"/>
        <v>0.9</v>
      </c>
      <c r="I20" s="4">
        <v>8</v>
      </c>
      <c r="J20" s="4">
        <f>COUNTIFS('V15 - Secure Coding and Archite'!$F$2:$F$26,"Compliant",'V15 - Secure Coding and Archite'!$E$2:$E$26,3)</f>
        <v>2</v>
      </c>
      <c r="K20" s="5">
        <f t="shared" si="4"/>
        <v>0.25</v>
      </c>
      <c r="L20" s="4">
        <f>COUNTIF('V15 - Secure Coding and Archite'!$F$2:$F$26,"Compliant")</f>
        <v>14</v>
      </c>
      <c r="M20" s="5">
        <f t="shared" si="3"/>
        <v>0.66666666666666663</v>
      </c>
    </row>
    <row r="21" spans="1:13" ht="18" customHeight="1" x14ac:dyDescent="0.25">
      <c r="A21" s="6" t="s">
        <v>30</v>
      </c>
      <c r="B21" s="7">
        <v>17</v>
      </c>
      <c r="C21" s="7">
        <v>0</v>
      </c>
      <c r="D21" s="7" t="s">
        <v>23</v>
      </c>
      <c r="E21" s="7" t="s">
        <v>23</v>
      </c>
      <c r="F21" s="7">
        <v>16</v>
      </c>
      <c r="G21" s="7">
        <f>COUNTIFS('V16 - Security Logging and Erro'!$F$2:$F$23,"Compliant",'V16 - Security Logging and Erro'!$E$2:$E$23,2)</f>
        <v>14</v>
      </c>
      <c r="H21" s="8">
        <f t="shared" si="1"/>
        <v>0.875</v>
      </c>
      <c r="I21" s="7">
        <v>1</v>
      </c>
      <c r="J21" s="7">
        <f>COUNTIFS('V16 - Security Logging and Erro'!$F$2:$F$23,"Compliant",'V16 - Security Logging and Erro'!$E$2:$E$23,3)</f>
        <v>1</v>
      </c>
      <c r="K21" s="8">
        <f t="shared" si="4"/>
        <v>1</v>
      </c>
      <c r="L21" s="7">
        <f>COUNTIF('V16 - Security Logging and Erro'!$F$2:$F$23,"Compliant")</f>
        <v>15</v>
      </c>
      <c r="M21" s="8">
        <f t="shared" si="3"/>
        <v>0.88235294117647056</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55</v>
      </c>
      <c r="E23" s="11">
        <f>IFERROR(AVERAGE(E6:E22),"")</f>
        <v>0.80974358974358973</v>
      </c>
      <c r="F23" s="10">
        <f>SUM(F6:F22)</f>
        <v>183</v>
      </c>
      <c r="G23" s="10">
        <f>SUM(G6:G22)</f>
        <v>117</v>
      </c>
      <c r="H23" s="11">
        <f>IFERROR(AVERAGE(H6:H22),"")</f>
        <v>0.62680498036535193</v>
      </c>
      <c r="I23" s="10">
        <f>SUM(I6:I22)</f>
        <v>92</v>
      </c>
      <c r="J23" s="10">
        <f>SUM(J6:J22)</f>
        <v>5</v>
      </c>
      <c r="K23" s="11">
        <f>IFERROR(AVERAGE(K6:K22),"")</f>
        <v>9.0624999999999997E-2</v>
      </c>
      <c r="L23" s="10">
        <f>SUM(L6:L22)</f>
        <v>177</v>
      </c>
      <c r="M23" s="11">
        <f>IFERROR(AVERAGE(M6:M22),"")</f>
        <v>0.52158716459606536</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3" activePane="bottomLeft" state="frozen"/>
      <selection pane="bottomLeft" activeCell="G38" sqref="G3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75" customHeight="1" x14ac:dyDescent="0.25">
      <c r="A3" s="14" t="s">
        <v>41</v>
      </c>
      <c r="B3" s="14" t="s">
        <v>42</v>
      </c>
      <c r="C3" s="15" t="s">
        <v>43</v>
      </c>
      <c r="D3" s="16" t="s">
        <v>44</v>
      </c>
      <c r="E3" s="17">
        <v>2</v>
      </c>
      <c r="F3" s="28" t="s">
        <v>45</v>
      </c>
      <c r="G3" s="29" t="s">
        <v>46</v>
      </c>
      <c r="H3" s="16" t="s">
        <v>47</v>
      </c>
    </row>
    <row r="4" spans="1:8" ht="30" customHeight="1" x14ac:dyDescent="0.25">
      <c r="A4" s="19" t="s">
        <v>41</v>
      </c>
      <c r="B4" s="19" t="s">
        <v>42</v>
      </c>
      <c r="C4" s="20" t="s">
        <v>48</v>
      </c>
      <c r="D4" s="21" t="s">
        <v>49</v>
      </c>
      <c r="E4" s="17">
        <v>2</v>
      </c>
      <c r="F4" s="28" t="s">
        <v>45</v>
      </c>
      <c r="G4" s="30" t="s">
        <v>50</v>
      </c>
      <c r="H4" s="21" t="s">
        <v>51</v>
      </c>
    </row>
    <row r="5" spans="1:8" ht="18" customHeight="1" x14ac:dyDescent="0.25">
      <c r="A5" s="13" t="s">
        <v>52</v>
      </c>
      <c r="B5" s="13" t="s">
        <v>53</v>
      </c>
      <c r="C5" s="13"/>
      <c r="D5" s="13"/>
      <c r="E5" s="13"/>
      <c r="F5" s="31"/>
      <c r="G5" s="31"/>
      <c r="H5" s="13"/>
    </row>
    <row r="6" spans="1:8" ht="30" customHeight="1" x14ac:dyDescent="0.25">
      <c r="A6" s="14" t="s">
        <v>52</v>
      </c>
      <c r="B6" s="14" t="s">
        <v>53</v>
      </c>
      <c r="C6" s="15" t="s">
        <v>54</v>
      </c>
      <c r="D6" s="16" t="s">
        <v>55</v>
      </c>
      <c r="E6" s="22">
        <v>1</v>
      </c>
      <c r="F6" s="28" t="s">
        <v>56</v>
      </c>
      <c r="G6" s="29" t="s">
        <v>57</v>
      </c>
      <c r="H6" s="16"/>
    </row>
    <row r="7" spans="1:8" ht="30" customHeight="1" x14ac:dyDescent="0.25">
      <c r="A7" s="19" t="s">
        <v>52</v>
      </c>
      <c r="B7" s="19" t="s">
        <v>53</v>
      </c>
      <c r="C7" s="20" t="s">
        <v>58</v>
      </c>
      <c r="D7" s="21" t="s">
        <v>59</v>
      </c>
      <c r="E7" s="22">
        <v>1</v>
      </c>
      <c r="F7" s="28" t="s">
        <v>45</v>
      </c>
      <c r="G7" s="30" t="s">
        <v>60</v>
      </c>
      <c r="H7" s="21" t="s">
        <v>61</v>
      </c>
    </row>
    <row r="8" spans="1:8" ht="30" customHeight="1" x14ac:dyDescent="0.25">
      <c r="A8" s="14" t="s">
        <v>52</v>
      </c>
      <c r="B8" s="14" t="s">
        <v>53</v>
      </c>
      <c r="C8" s="15" t="s">
        <v>62</v>
      </c>
      <c r="D8" s="16" t="s">
        <v>63</v>
      </c>
      <c r="E8" s="22">
        <v>1</v>
      </c>
      <c r="F8" s="28" t="s">
        <v>56</v>
      </c>
      <c r="G8" s="29"/>
      <c r="H8" s="16"/>
    </row>
    <row r="9" spans="1:8" ht="30" customHeight="1" x14ac:dyDescent="0.25">
      <c r="A9" s="19" t="s">
        <v>52</v>
      </c>
      <c r="B9" s="19" t="s">
        <v>53</v>
      </c>
      <c r="C9" s="20" t="s">
        <v>64</v>
      </c>
      <c r="D9" s="21" t="s">
        <v>65</v>
      </c>
      <c r="E9" s="22">
        <v>1</v>
      </c>
      <c r="F9" s="28" t="s">
        <v>45</v>
      </c>
      <c r="G9" s="30" t="s">
        <v>66</v>
      </c>
      <c r="H9" s="21"/>
    </row>
    <row r="10" spans="1:8" ht="30" customHeight="1" x14ac:dyDescent="0.25">
      <c r="A10" s="14" t="s">
        <v>52</v>
      </c>
      <c r="B10" s="14" t="s">
        <v>53</v>
      </c>
      <c r="C10" s="15" t="s">
        <v>67</v>
      </c>
      <c r="D10" s="16" t="s">
        <v>68</v>
      </c>
      <c r="E10" s="22">
        <v>1</v>
      </c>
      <c r="F10" s="28" t="s">
        <v>56</v>
      </c>
      <c r="G10" s="29" t="s">
        <v>69</v>
      </c>
      <c r="H10" s="16"/>
    </row>
    <row r="11" spans="1:8" ht="30" customHeight="1" x14ac:dyDescent="0.25">
      <c r="A11" s="19" t="s">
        <v>52</v>
      </c>
      <c r="B11" s="19" t="s">
        <v>53</v>
      </c>
      <c r="C11" s="20" t="s">
        <v>70</v>
      </c>
      <c r="D11" s="21" t="s">
        <v>71</v>
      </c>
      <c r="E11" s="17">
        <v>2</v>
      </c>
      <c r="F11" s="28" t="s">
        <v>56</v>
      </c>
      <c r="G11" s="30" t="s">
        <v>72</v>
      </c>
      <c r="H11" s="21"/>
    </row>
    <row r="12" spans="1:8" ht="30" customHeight="1" x14ac:dyDescent="0.25">
      <c r="A12" s="14" t="s">
        <v>52</v>
      </c>
      <c r="B12" s="14" t="s">
        <v>53</v>
      </c>
      <c r="C12" s="15" t="s">
        <v>73</v>
      </c>
      <c r="D12" s="16" t="s">
        <v>74</v>
      </c>
      <c r="E12" s="17">
        <v>2</v>
      </c>
      <c r="F12" s="28" t="s">
        <v>56</v>
      </c>
      <c r="G12" s="29" t="s">
        <v>75</v>
      </c>
      <c r="H12" s="16"/>
    </row>
    <row r="13" spans="1:8" ht="30" customHeight="1" x14ac:dyDescent="0.25">
      <c r="A13" s="19" t="s">
        <v>52</v>
      </c>
      <c r="B13" s="19" t="s">
        <v>53</v>
      </c>
      <c r="C13" s="20" t="s">
        <v>76</v>
      </c>
      <c r="D13" s="21" t="s">
        <v>77</v>
      </c>
      <c r="E13" s="17">
        <v>2</v>
      </c>
      <c r="F13" s="28" t="s">
        <v>56</v>
      </c>
      <c r="G13" s="30" t="s">
        <v>78</v>
      </c>
      <c r="H13" s="21"/>
    </row>
    <row r="14" spans="1:8" ht="30" customHeight="1" x14ac:dyDescent="0.25">
      <c r="A14" s="14" t="s">
        <v>52</v>
      </c>
      <c r="B14" s="14" t="s">
        <v>53</v>
      </c>
      <c r="C14" s="15" t="s">
        <v>79</v>
      </c>
      <c r="D14" s="16" t="s">
        <v>80</v>
      </c>
      <c r="E14" s="17">
        <v>2</v>
      </c>
      <c r="F14" s="28" t="s">
        <v>45</v>
      </c>
      <c r="G14" s="29" t="s">
        <v>81</v>
      </c>
      <c r="H14" s="16" t="s">
        <v>82</v>
      </c>
    </row>
    <row r="15" spans="1:8" ht="30" customHeight="1" x14ac:dyDescent="0.25">
      <c r="A15" s="19" t="s">
        <v>52</v>
      </c>
      <c r="B15" s="19" t="s">
        <v>53</v>
      </c>
      <c r="C15" s="20" t="s">
        <v>83</v>
      </c>
      <c r="D15" s="21" t="s">
        <v>84</v>
      </c>
      <c r="E15" s="23">
        <v>3</v>
      </c>
      <c r="F15" s="28" t="s">
        <v>56</v>
      </c>
      <c r="G15" s="30" t="s">
        <v>85</v>
      </c>
      <c r="H15" s="21"/>
    </row>
    <row r="16" spans="1:8" ht="18" customHeight="1" x14ac:dyDescent="0.25">
      <c r="A16" s="13" t="s">
        <v>86</v>
      </c>
      <c r="B16" s="13" t="s">
        <v>87</v>
      </c>
      <c r="C16" s="13"/>
      <c r="D16" s="13"/>
      <c r="E16" s="13"/>
      <c r="F16" s="31"/>
      <c r="G16" s="31"/>
      <c r="H16" s="13"/>
    </row>
    <row r="17" spans="1:8" ht="30" customHeight="1" x14ac:dyDescent="0.25">
      <c r="A17" s="14" t="s">
        <v>86</v>
      </c>
      <c r="B17" s="14" t="s">
        <v>87</v>
      </c>
      <c r="C17" s="15" t="s">
        <v>88</v>
      </c>
      <c r="D17" s="16" t="s">
        <v>89</v>
      </c>
      <c r="E17" s="22">
        <v>1</v>
      </c>
      <c r="F17" s="28" t="s">
        <v>56</v>
      </c>
      <c r="G17" s="29" t="s">
        <v>90</v>
      </c>
      <c r="H17" s="16"/>
    </row>
    <row r="18" spans="1:8" ht="30" customHeight="1" x14ac:dyDescent="0.25">
      <c r="A18" s="19" t="s">
        <v>86</v>
      </c>
      <c r="B18" s="19" t="s">
        <v>87</v>
      </c>
      <c r="C18" s="20" t="s">
        <v>91</v>
      </c>
      <c r="D18" s="21" t="s">
        <v>92</v>
      </c>
      <c r="E18" s="22">
        <v>1</v>
      </c>
      <c r="F18" s="28" t="s">
        <v>45</v>
      </c>
      <c r="G18" s="30" t="s">
        <v>93</v>
      </c>
      <c r="H18" s="21"/>
    </row>
    <row r="19" spans="1:8" ht="30" customHeight="1" x14ac:dyDescent="0.25">
      <c r="A19" s="14" t="s">
        <v>86</v>
      </c>
      <c r="B19" s="14" t="s">
        <v>87</v>
      </c>
      <c r="C19" s="15" t="s">
        <v>94</v>
      </c>
      <c r="D19" s="16" t="s">
        <v>95</v>
      </c>
      <c r="E19" s="17">
        <v>2</v>
      </c>
      <c r="F19" s="28" t="s">
        <v>45</v>
      </c>
      <c r="G19" s="29" t="s">
        <v>96</v>
      </c>
      <c r="H19" s="16" t="s">
        <v>97</v>
      </c>
    </row>
    <row r="20" spans="1:8" ht="30" customHeight="1" x14ac:dyDescent="0.25">
      <c r="A20" s="19" t="s">
        <v>86</v>
      </c>
      <c r="B20" s="19" t="s">
        <v>87</v>
      </c>
      <c r="C20" s="20" t="s">
        <v>98</v>
      </c>
      <c r="D20" s="21" t="s">
        <v>99</v>
      </c>
      <c r="E20" s="17">
        <v>2</v>
      </c>
      <c r="F20" s="28" t="s">
        <v>56</v>
      </c>
      <c r="G20" s="30" t="s">
        <v>100</v>
      </c>
      <c r="H20" s="21"/>
    </row>
    <row r="21" spans="1:8" ht="30" customHeight="1" x14ac:dyDescent="0.25">
      <c r="A21" s="14" t="s">
        <v>86</v>
      </c>
      <c r="B21" s="14" t="s">
        <v>87</v>
      </c>
      <c r="C21" s="15" t="s">
        <v>101</v>
      </c>
      <c r="D21" s="16" t="s">
        <v>102</v>
      </c>
      <c r="E21" s="17">
        <v>2</v>
      </c>
      <c r="F21" s="28" t="s">
        <v>56</v>
      </c>
      <c r="G21" s="29" t="s">
        <v>103</v>
      </c>
      <c r="H21" s="16"/>
    </row>
    <row r="22" spans="1:8" ht="30" customHeight="1" x14ac:dyDescent="0.25">
      <c r="A22" s="19" t="s">
        <v>86</v>
      </c>
      <c r="B22" s="19" t="s">
        <v>87</v>
      </c>
      <c r="C22" s="20" t="s">
        <v>104</v>
      </c>
      <c r="D22" s="21" t="s">
        <v>105</v>
      </c>
      <c r="E22" s="17">
        <v>2</v>
      </c>
      <c r="F22" s="28" t="s">
        <v>45</v>
      </c>
      <c r="G22" s="30" t="s">
        <v>106</v>
      </c>
      <c r="H22" s="21" t="s">
        <v>107</v>
      </c>
    </row>
    <row r="23" spans="1:8" ht="30" customHeight="1" x14ac:dyDescent="0.25">
      <c r="A23" s="14" t="s">
        <v>86</v>
      </c>
      <c r="B23" s="14" t="s">
        <v>87</v>
      </c>
      <c r="C23" s="15" t="s">
        <v>108</v>
      </c>
      <c r="D23" s="16" t="s">
        <v>109</v>
      </c>
      <c r="E23" s="17">
        <v>2</v>
      </c>
      <c r="F23" s="28" t="s">
        <v>56</v>
      </c>
      <c r="G23" s="29"/>
      <c r="H23" s="16"/>
    </row>
    <row r="24" spans="1:8" ht="30" customHeight="1" x14ac:dyDescent="0.25">
      <c r="A24" s="19" t="s">
        <v>86</v>
      </c>
      <c r="B24" s="19" t="s">
        <v>87</v>
      </c>
      <c r="C24" s="20" t="s">
        <v>110</v>
      </c>
      <c r="D24" s="21" t="s">
        <v>111</v>
      </c>
      <c r="E24" s="17">
        <v>2</v>
      </c>
      <c r="F24" s="28" t="s">
        <v>56</v>
      </c>
      <c r="G24" s="30" t="s">
        <v>112</v>
      </c>
      <c r="H24" s="21"/>
    </row>
    <row r="25" spans="1:8" ht="30" customHeight="1" x14ac:dyDescent="0.25">
      <c r="A25" s="14" t="s">
        <v>86</v>
      </c>
      <c r="B25" s="14" t="s">
        <v>87</v>
      </c>
      <c r="C25" s="15" t="s">
        <v>113</v>
      </c>
      <c r="D25" s="16" t="s">
        <v>114</v>
      </c>
      <c r="E25" s="17">
        <v>2</v>
      </c>
      <c r="F25" s="28" t="s">
        <v>56</v>
      </c>
      <c r="G25" s="29" t="s">
        <v>115</v>
      </c>
      <c r="H25" s="16"/>
    </row>
    <row r="26" spans="1:8" ht="30" customHeight="1" x14ac:dyDescent="0.25">
      <c r="A26" s="19" t="s">
        <v>86</v>
      </c>
      <c r="B26" s="19" t="s">
        <v>87</v>
      </c>
      <c r="C26" s="20" t="s">
        <v>116</v>
      </c>
      <c r="D26" s="21" t="s">
        <v>117</v>
      </c>
      <c r="E26" s="17">
        <v>2</v>
      </c>
      <c r="F26" s="28" t="s">
        <v>45</v>
      </c>
      <c r="G26" s="30" t="s">
        <v>118</v>
      </c>
      <c r="H26" s="21" t="s">
        <v>119</v>
      </c>
    </row>
    <row r="27" spans="1:8" ht="30" customHeight="1" x14ac:dyDescent="0.25">
      <c r="A27" s="14" t="s">
        <v>86</v>
      </c>
      <c r="B27" s="14" t="s">
        <v>87</v>
      </c>
      <c r="C27" s="15" t="s">
        <v>120</v>
      </c>
      <c r="D27" s="16" t="s">
        <v>121</v>
      </c>
      <c r="E27" s="17">
        <v>2</v>
      </c>
      <c r="F27" s="28" t="s">
        <v>56</v>
      </c>
      <c r="G27" s="29" t="s">
        <v>122</v>
      </c>
      <c r="H27" s="16"/>
    </row>
    <row r="28" spans="1:8" ht="30" customHeight="1" x14ac:dyDescent="0.25">
      <c r="A28" s="19" t="s">
        <v>86</v>
      </c>
      <c r="B28" s="19" t="s">
        <v>87</v>
      </c>
      <c r="C28" s="20" t="s">
        <v>123</v>
      </c>
      <c r="D28" s="21" t="s">
        <v>124</v>
      </c>
      <c r="E28" s="23">
        <v>3</v>
      </c>
      <c r="F28" s="28" t="s">
        <v>56</v>
      </c>
      <c r="G28" s="30"/>
      <c r="H28" s="21"/>
    </row>
    <row r="29" spans="1:8" ht="18" customHeight="1" x14ac:dyDescent="0.25">
      <c r="A29" s="13" t="s">
        <v>125</v>
      </c>
      <c r="B29" s="13" t="s">
        <v>126</v>
      </c>
      <c r="C29" s="13"/>
      <c r="D29" s="13"/>
      <c r="E29" s="13"/>
      <c r="F29" s="31"/>
      <c r="G29" s="31"/>
      <c r="H29" s="13"/>
    </row>
    <row r="30" spans="1:8" ht="30" customHeight="1" x14ac:dyDescent="0.25">
      <c r="A30" s="14" t="s">
        <v>125</v>
      </c>
      <c r="B30" s="14" t="s">
        <v>126</v>
      </c>
      <c r="C30" s="15" t="s">
        <v>127</v>
      </c>
      <c r="D30" s="16" t="s">
        <v>128</v>
      </c>
      <c r="E30" s="17">
        <v>2</v>
      </c>
      <c r="F30" s="28" t="s">
        <v>56</v>
      </c>
      <c r="G30" s="29" t="s">
        <v>129</v>
      </c>
      <c r="H30" s="16"/>
    </row>
    <row r="31" spans="1:8" ht="30" customHeight="1" x14ac:dyDescent="0.25">
      <c r="A31" s="19" t="s">
        <v>125</v>
      </c>
      <c r="B31" s="19" t="s">
        <v>126</v>
      </c>
      <c r="C31" s="20" t="s">
        <v>130</v>
      </c>
      <c r="D31" s="21" t="s">
        <v>131</v>
      </c>
      <c r="E31" s="17">
        <v>2</v>
      </c>
      <c r="F31" s="28" t="s">
        <v>45</v>
      </c>
      <c r="G31" s="30" t="s">
        <v>132</v>
      </c>
      <c r="H31" s="21" t="s">
        <v>133</v>
      </c>
    </row>
    <row r="32" spans="1:8" ht="30" customHeight="1" x14ac:dyDescent="0.25">
      <c r="A32" s="14" t="s">
        <v>125</v>
      </c>
      <c r="B32" s="14" t="s">
        <v>126</v>
      </c>
      <c r="C32" s="15" t="s">
        <v>134</v>
      </c>
      <c r="D32" s="16" t="s">
        <v>135</v>
      </c>
      <c r="E32" s="17">
        <v>2</v>
      </c>
      <c r="F32" s="28" t="s">
        <v>56</v>
      </c>
      <c r="G32" s="29"/>
      <c r="H32" s="16"/>
    </row>
    <row r="33" spans="1:8" ht="18" customHeight="1" x14ac:dyDescent="0.25">
      <c r="A33" s="13" t="s">
        <v>136</v>
      </c>
      <c r="B33" s="13" t="s">
        <v>137</v>
      </c>
      <c r="C33" s="13"/>
      <c r="D33" s="13"/>
      <c r="E33" s="13"/>
      <c r="F33" s="31"/>
      <c r="G33" s="31"/>
      <c r="H33" s="13"/>
    </row>
    <row r="34" spans="1:8" ht="30" customHeight="1" x14ac:dyDescent="0.25">
      <c r="A34" s="14" t="s">
        <v>136</v>
      </c>
      <c r="B34" s="14" t="s">
        <v>137</v>
      </c>
      <c r="C34" s="15" t="s">
        <v>138</v>
      </c>
      <c r="D34" s="16" t="s">
        <v>139</v>
      </c>
      <c r="E34" s="22">
        <v>1</v>
      </c>
      <c r="F34" s="28" t="s">
        <v>56</v>
      </c>
      <c r="G34" s="29"/>
      <c r="H34" s="16"/>
    </row>
    <row r="35" spans="1:8" ht="30" customHeight="1" x14ac:dyDescent="0.25">
      <c r="A35" s="19" t="s">
        <v>136</v>
      </c>
      <c r="B35" s="19" t="s">
        <v>137</v>
      </c>
      <c r="C35" s="20" t="s">
        <v>140</v>
      </c>
      <c r="D35" s="21" t="s">
        <v>141</v>
      </c>
      <c r="E35" s="17">
        <v>2</v>
      </c>
      <c r="F35" s="28" t="s">
        <v>45</v>
      </c>
      <c r="G35" s="30" t="s">
        <v>142</v>
      </c>
      <c r="H35" s="21" t="s">
        <v>143</v>
      </c>
    </row>
    <row r="36" spans="1:8" ht="30" customHeight="1" x14ac:dyDescent="0.25">
      <c r="A36" s="14" t="s">
        <v>136</v>
      </c>
      <c r="B36" s="14" t="s">
        <v>137</v>
      </c>
      <c r="C36" s="15" t="s">
        <v>144</v>
      </c>
      <c r="D36" s="16" t="s">
        <v>145</v>
      </c>
      <c r="E36" s="23">
        <v>3</v>
      </c>
      <c r="F36" s="28" t="s">
        <v>56</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8" activePane="bottomLeft" state="frozen"/>
      <selection pane="bottomLeft" activeCell="G17" sqref="G17:H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146</v>
      </c>
      <c r="B2" s="13" t="s">
        <v>147</v>
      </c>
      <c r="C2" s="13"/>
      <c r="D2" s="13"/>
      <c r="E2" s="13"/>
      <c r="F2" s="13"/>
      <c r="G2" s="13"/>
      <c r="H2" s="13"/>
    </row>
    <row r="3" spans="1:8" ht="75" customHeight="1" x14ac:dyDescent="0.25">
      <c r="A3" s="14" t="s">
        <v>146</v>
      </c>
      <c r="B3" s="14" t="s">
        <v>147</v>
      </c>
      <c r="C3" s="15" t="s">
        <v>148</v>
      </c>
      <c r="D3" s="16" t="s">
        <v>149</v>
      </c>
      <c r="E3" s="22">
        <v>1</v>
      </c>
      <c r="F3" s="28" t="s">
        <v>45</v>
      </c>
      <c r="G3" s="29" t="s">
        <v>150</v>
      </c>
      <c r="H3" s="16" t="s">
        <v>151</v>
      </c>
    </row>
    <row r="4" spans="1:8" ht="45" customHeight="1" x14ac:dyDescent="0.25">
      <c r="A4" s="19" t="s">
        <v>146</v>
      </c>
      <c r="B4" s="19" t="s">
        <v>147</v>
      </c>
      <c r="C4" s="20" t="s">
        <v>152</v>
      </c>
      <c r="D4" s="21" t="s">
        <v>153</v>
      </c>
      <c r="E4" s="17">
        <v>2</v>
      </c>
      <c r="F4" s="28" t="s">
        <v>45</v>
      </c>
      <c r="G4" s="30" t="s">
        <v>154</v>
      </c>
      <c r="H4" s="21" t="s">
        <v>155</v>
      </c>
    </row>
    <row r="5" spans="1:8" ht="45" customHeight="1" x14ac:dyDescent="0.25">
      <c r="A5" s="14" t="s">
        <v>146</v>
      </c>
      <c r="B5" s="14" t="s">
        <v>147</v>
      </c>
      <c r="C5" s="15" t="s">
        <v>156</v>
      </c>
      <c r="D5" s="16" t="s">
        <v>157</v>
      </c>
      <c r="E5" s="17">
        <v>2</v>
      </c>
      <c r="F5" s="28" t="s">
        <v>45</v>
      </c>
      <c r="G5" s="29" t="s">
        <v>158</v>
      </c>
      <c r="H5" s="16" t="s">
        <v>151</v>
      </c>
    </row>
    <row r="6" spans="1:8" ht="18" customHeight="1" x14ac:dyDescent="0.25">
      <c r="A6" s="13" t="s">
        <v>159</v>
      </c>
      <c r="B6" s="13" t="s">
        <v>160</v>
      </c>
      <c r="C6" s="13"/>
      <c r="D6" s="13"/>
      <c r="E6" s="13"/>
      <c r="F6" s="31"/>
      <c r="G6" s="31"/>
      <c r="H6" s="13"/>
    </row>
    <row r="7" spans="1:8" ht="30" customHeight="1" x14ac:dyDescent="0.25">
      <c r="A7" s="14" t="s">
        <v>159</v>
      </c>
      <c r="B7" s="14" t="s">
        <v>160</v>
      </c>
      <c r="C7" s="15" t="s">
        <v>161</v>
      </c>
      <c r="D7" s="16" t="s">
        <v>162</v>
      </c>
      <c r="E7" s="22">
        <v>1</v>
      </c>
      <c r="F7" s="28" t="s">
        <v>45</v>
      </c>
      <c r="G7" s="29" t="s">
        <v>163</v>
      </c>
      <c r="H7" s="16" t="s">
        <v>164</v>
      </c>
    </row>
    <row r="8" spans="1:8" ht="60" customHeight="1" x14ac:dyDescent="0.25">
      <c r="A8" s="19" t="s">
        <v>159</v>
      </c>
      <c r="B8" s="19" t="s">
        <v>160</v>
      </c>
      <c r="C8" s="20" t="s">
        <v>165</v>
      </c>
      <c r="D8" s="21" t="s">
        <v>166</v>
      </c>
      <c r="E8" s="22">
        <v>1</v>
      </c>
      <c r="F8" s="28" t="s">
        <v>45</v>
      </c>
      <c r="G8" s="30" t="s">
        <v>167</v>
      </c>
      <c r="H8" s="21" t="s">
        <v>168</v>
      </c>
    </row>
    <row r="9" spans="1:8" ht="30" customHeight="1" x14ac:dyDescent="0.25">
      <c r="A9" s="14" t="s">
        <v>159</v>
      </c>
      <c r="B9" s="14" t="s">
        <v>160</v>
      </c>
      <c r="C9" s="15" t="s">
        <v>169</v>
      </c>
      <c r="D9" s="16" t="s">
        <v>170</v>
      </c>
      <c r="E9" s="17">
        <v>2</v>
      </c>
      <c r="F9" s="28" t="s">
        <v>45</v>
      </c>
      <c r="G9" s="29" t="s">
        <v>171</v>
      </c>
      <c r="H9" s="16"/>
    </row>
    <row r="10" spans="1:8" ht="18" customHeight="1" x14ac:dyDescent="0.25">
      <c r="A10" s="13" t="s">
        <v>172</v>
      </c>
      <c r="B10" s="13" t="s">
        <v>173</v>
      </c>
      <c r="C10" s="13"/>
      <c r="D10" s="13"/>
      <c r="E10" s="13"/>
      <c r="F10" s="31"/>
      <c r="G10" s="31"/>
      <c r="H10" s="13"/>
    </row>
    <row r="11" spans="1:8" ht="75" customHeight="1" x14ac:dyDescent="0.25">
      <c r="A11" s="14" t="s">
        <v>172</v>
      </c>
      <c r="B11" s="14" t="s">
        <v>173</v>
      </c>
      <c r="C11" s="15" t="s">
        <v>174</v>
      </c>
      <c r="D11" s="16" t="s">
        <v>175</v>
      </c>
      <c r="E11" s="22">
        <v>1</v>
      </c>
      <c r="F11" s="28" t="s">
        <v>45</v>
      </c>
      <c r="G11" s="29" t="s">
        <v>176</v>
      </c>
      <c r="H11" s="16" t="s">
        <v>177</v>
      </c>
    </row>
    <row r="12" spans="1:8" ht="30" customHeight="1" x14ac:dyDescent="0.25">
      <c r="A12" s="19" t="s">
        <v>172</v>
      </c>
      <c r="B12" s="19" t="s">
        <v>173</v>
      </c>
      <c r="C12" s="20" t="s">
        <v>178</v>
      </c>
      <c r="D12" s="21" t="s">
        <v>179</v>
      </c>
      <c r="E12" s="17">
        <v>2</v>
      </c>
      <c r="F12" s="28" t="s">
        <v>45</v>
      </c>
      <c r="G12" s="29" t="s">
        <v>176</v>
      </c>
      <c r="H12" s="21" t="s">
        <v>180</v>
      </c>
    </row>
    <row r="13" spans="1:8" ht="30" customHeight="1" x14ac:dyDescent="0.25">
      <c r="A13" s="14" t="s">
        <v>172</v>
      </c>
      <c r="B13" s="14" t="s">
        <v>173</v>
      </c>
      <c r="C13" s="15" t="s">
        <v>181</v>
      </c>
      <c r="D13" s="16" t="s">
        <v>182</v>
      </c>
      <c r="E13" s="17">
        <v>2</v>
      </c>
      <c r="F13" s="28" t="s">
        <v>45</v>
      </c>
      <c r="G13" s="30" t="s">
        <v>183</v>
      </c>
      <c r="H13" s="16" t="s">
        <v>184</v>
      </c>
    </row>
    <row r="14" spans="1:8" ht="30" customHeight="1" x14ac:dyDescent="0.25">
      <c r="A14" s="19" t="s">
        <v>172</v>
      </c>
      <c r="B14" s="19" t="s">
        <v>173</v>
      </c>
      <c r="C14" s="20" t="s">
        <v>185</v>
      </c>
      <c r="D14" s="21" t="s">
        <v>186</v>
      </c>
      <c r="E14" s="17">
        <v>2</v>
      </c>
      <c r="F14" s="28" t="s">
        <v>187</v>
      </c>
      <c r="G14" s="29" t="s">
        <v>188</v>
      </c>
      <c r="H14" s="21"/>
    </row>
    <row r="15" spans="1:8" ht="75" customHeight="1" x14ac:dyDescent="0.25">
      <c r="A15" s="14" t="s">
        <v>172</v>
      </c>
      <c r="B15" s="14" t="s">
        <v>173</v>
      </c>
      <c r="C15" s="15" t="s">
        <v>189</v>
      </c>
      <c r="D15" s="16" t="s">
        <v>190</v>
      </c>
      <c r="E15" s="23">
        <v>3</v>
      </c>
      <c r="F15" s="28" t="s">
        <v>56</v>
      </c>
      <c r="G15" s="29" t="s">
        <v>191</v>
      </c>
      <c r="H15" s="16"/>
    </row>
    <row r="16" spans="1:8" ht="18" customHeight="1" x14ac:dyDescent="0.25">
      <c r="A16" s="13" t="s">
        <v>192</v>
      </c>
      <c r="B16" s="13" t="s">
        <v>193</v>
      </c>
      <c r="C16" s="13"/>
      <c r="D16" s="13"/>
      <c r="E16" s="13"/>
      <c r="F16" s="31"/>
      <c r="G16" s="31"/>
      <c r="H16" s="13"/>
    </row>
    <row r="17" spans="1:8" ht="30" customHeight="1" x14ac:dyDescent="0.25">
      <c r="A17" s="14" t="s">
        <v>192</v>
      </c>
      <c r="B17" s="14" t="s">
        <v>193</v>
      </c>
      <c r="C17" s="15" t="s">
        <v>194</v>
      </c>
      <c r="D17" s="16" t="s">
        <v>195</v>
      </c>
      <c r="E17" s="17">
        <v>2</v>
      </c>
      <c r="F17" s="28" t="s">
        <v>45</v>
      </c>
      <c r="G17" s="29" t="s">
        <v>196</v>
      </c>
      <c r="H17" s="16" t="s">
        <v>197</v>
      </c>
    </row>
    <row r="18" spans="1:8" ht="30" customHeight="1" x14ac:dyDescent="0.25">
      <c r="A18" s="19" t="s">
        <v>192</v>
      </c>
      <c r="B18" s="19" t="s">
        <v>193</v>
      </c>
      <c r="C18" s="20" t="s">
        <v>198</v>
      </c>
      <c r="D18" s="21" t="s">
        <v>199</v>
      </c>
      <c r="E18" s="23">
        <v>3</v>
      </c>
      <c r="F18" s="28" t="s">
        <v>56</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44" activePane="bottomLeft" state="frozen"/>
      <selection pane="bottomLeft" activeCell="G15" sqref="G15"/>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115.7109375" bestFit="1" customWidth="1"/>
    <col min="8" max="8" width="35" customWidth="1"/>
  </cols>
  <sheetData>
    <row r="1" spans="1:8" ht="39.75" customHeight="1" x14ac:dyDescent="0.25">
      <c r="A1" s="12" t="s">
        <v>200</v>
      </c>
      <c r="B1" s="12" t="s">
        <v>34</v>
      </c>
      <c r="C1" s="12" t="s">
        <v>35</v>
      </c>
      <c r="D1" s="12" t="s">
        <v>36</v>
      </c>
      <c r="E1" s="12" t="s">
        <v>37</v>
      </c>
      <c r="F1" s="12" t="s">
        <v>38</v>
      </c>
      <c r="G1" s="12" t="s">
        <v>39</v>
      </c>
      <c r="H1" s="12" t="s">
        <v>40</v>
      </c>
    </row>
    <row r="2" spans="1:8" x14ac:dyDescent="0.25">
      <c r="A2" s="13" t="s">
        <v>201</v>
      </c>
      <c r="B2" s="13" t="s">
        <v>202</v>
      </c>
      <c r="C2" s="13"/>
      <c r="D2" s="13"/>
      <c r="E2" s="13"/>
      <c r="F2" s="13"/>
      <c r="G2" s="13"/>
      <c r="H2" s="13"/>
    </row>
    <row r="3" spans="1:8" ht="85.15" customHeight="1" x14ac:dyDescent="0.25">
      <c r="A3" s="14" t="s">
        <v>201</v>
      </c>
      <c r="B3" s="14" t="s">
        <v>202</v>
      </c>
      <c r="C3" s="15" t="s">
        <v>203</v>
      </c>
      <c r="D3" s="16" t="s">
        <v>204</v>
      </c>
      <c r="E3" s="23">
        <v>3</v>
      </c>
      <c r="F3" s="18" t="s">
        <v>56</v>
      </c>
      <c r="G3" s="24" t="s">
        <v>205</v>
      </c>
      <c r="H3" s="16"/>
    </row>
    <row r="4" spans="1:8" x14ac:dyDescent="0.25">
      <c r="A4" s="13" t="s">
        <v>206</v>
      </c>
      <c r="B4" s="13" t="s">
        <v>207</v>
      </c>
      <c r="C4" s="13"/>
      <c r="D4" s="13"/>
      <c r="E4" s="13"/>
      <c r="F4" s="13"/>
      <c r="G4" s="13"/>
      <c r="H4" s="13"/>
    </row>
    <row r="5" spans="1:8" ht="127.9" customHeight="1" x14ac:dyDescent="0.25">
      <c r="A5" s="14" t="s">
        <v>206</v>
      </c>
      <c r="B5" s="14" t="s">
        <v>207</v>
      </c>
      <c r="C5" s="15" t="s">
        <v>208</v>
      </c>
      <c r="D5" s="16" t="s">
        <v>209</v>
      </c>
      <c r="E5" s="22">
        <v>1</v>
      </c>
      <c r="F5" s="18" t="s">
        <v>56</v>
      </c>
      <c r="G5" s="25"/>
      <c r="H5" s="16"/>
    </row>
    <row r="6" spans="1:8" ht="85.15" customHeight="1" x14ac:dyDescent="0.25">
      <c r="A6" s="19" t="s">
        <v>206</v>
      </c>
      <c r="B6" s="19" t="s">
        <v>207</v>
      </c>
      <c r="C6" s="20" t="s">
        <v>210</v>
      </c>
      <c r="D6" s="21" t="s">
        <v>211</v>
      </c>
      <c r="E6" s="22">
        <v>1</v>
      </c>
      <c r="F6" s="18" t="s">
        <v>56</v>
      </c>
      <c r="G6" t="s">
        <v>212</v>
      </c>
      <c r="H6" s="21"/>
    </row>
    <row r="7" spans="1:8" ht="85.15" customHeight="1" x14ac:dyDescent="0.25">
      <c r="A7" s="14" t="s">
        <v>206</v>
      </c>
      <c r="B7" s="14" t="s">
        <v>207</v>
      </c>
      <c r="C7" s="15" t="s">
        <v>213</v>
      </c>
      <c r="D7" s="16" t="s">
        <v>214</v>
      </c>
      <c r="E7" s="23">
        <v>3</v>
      </c>
      <c r="F7" s="18" t="s">
        <v>56</v>
      </c>
      <c r="G7" t="s">
        <v>215</v>
      </c>
      <c r="H7" s="16"/>
    </row>
    <row r="8" spans="1:8" x14ac:dyDescent="0.25">
      <c r="A8" s="13" t="s">
        <v>216</v>
      </c>
      <c r="B8" s="13" t="s">
        <v>217</v>
      </c>
      <c r="C8" s="13"/>
      <c r="D8" s="13"/>
      <c r="E8" s="13"/>
      <c r="F8" s="13"/>
      <c r="G8" s="13"/>
      <c r="H8" s="13"/>
    </row>
    <row r="9" spans="1:8" ht="72" customHeight="1" x14ac:dyDescent="0.25">
      <c r="A9" s="14" t="s">
        <v>216</v>
      </c>
      <c r="B9" s="14" t="s">
        <v>217</v>
      </c>
      <c r="C9" s="15" t="s">
        <v>218</v>
      </c>
      <c r="D9" s="16" t="s">
        <v>219</v>
      </c>
      <c r="E9" s="22">
        <v>1</v>
      </c>
      <c r="F9" s="18" t="s">
        <v>56</v>
      </c>
      <c r="G9" s="25" t="s">
        <v>220</v>
      </c>
      <c r="H9" s="16"/>
    </row>
    <row r="10" spans="1:8" ht="72" customHeight="1" x14ac:dyDescent="0.25">
      <c r="A10" s="19" t="s">
        <v>216</v>
      </c>
      <c r="B10" s="19" t="s">
        <v>217</v>
      </c>
      <c r="C10" s="20" t="s">
        <v>221</v>
      </c>
      <c r="D10" s="21" t="s">
        <v>222</v>
      </c>
      <c r="E10" s="17">
        <v>2</v>
      </c>
      <c r="F10" s="18" t="s">
        <v>56</v>
      </c>
      <c r="G10" t="s">
        <v>223</v>
      </c>
      <c r="H10" s="21"/>
    </row>
    <row r="11" spans="1:8" ht="72" customHeight="1" x14ac:dyDescent="0.25">
      <c r="A11" s="14" t="s">
        <v>216</v>
      </c>
      <c r="B11" s="14" t="s">
        <v>217</v>
      </c>
      <c r="C11" s="15" t="s">
        <v>224</v>
      </c>
      <c r="D11" s="16" t="s">
        <v>225</v>
      </c>
      <c r="E11" s="17">
        <v>2</v>
      </c>
      <c r="F11" s="18" t="s">
        <v>56</v>
      </c>
      <c r="G11" t="s">
        <v>223</v>
      </c>
      <c r="H11" s="16"/>
    </row>
    <row r="12" spans="1:8" ht="72" customHeight="1" x14ac:dyDescent="0.25">
      <c r="A12" s="19" t="s">
        <v>216</v>
      </c>
      <c r="B12" s="19" t="s">
        <v>217</v>
      </c>
      <c r="C12" s="20" t="s">
        <v>226</v>
      </c>
      <c r="D12" s="21" t="s">
        <v>227</v>
      </c>
      <c r="E12" s="17">
        <v>2</v>
      </c>
      <c r="F12" s="18" t="s">
        <v>56</v>
      </c>
      <c r="G12" s="26" t="s">
        <v>228</v>
      </c>
      <c r="H12" s="21"/>
    </row>
    <row r="13" spans="1:8" ht="72" customHeight="1" x14ac:dyDescent="0.25">
      <c r="A13" s="14" t="s">
        <v>216</v>
      </c>
      <c r="B13" s="14" t="s">
        <v>217</v>
      </c>
      <c r="C13" s="15" t="s">
        <v>229</v>
      </c>
      <c r="D13" s="16" t="s">
        <v>230</v>
      </c>
      <c r="E13" s="23">
        <v>3</v>
      </c>
      <c r="F13" s="18" t="s">
        <v>56</v>
      </c>
      <c r="G13" t="s">
        <v>231</v>
      </c>
      <c r="H13" s="16"/>
    </row>
    <row r="14" spans="1:8" x14ac:dyDescent="0.25">
      <c r="A14" s="13" t="s">
        <v>232</v>
      </c>
      <c r="B14" s="13" t="s">
        <v>233</v>
      </c>
      <c r="C14" s="13"/>
      <c r="D14" s="13"/>
      <c r="E14" s="13"/>
      <c r="F14" s="13"/>
      <c r="G14" s="13"/>
      <c r="H14" s="13"/>
    </row>
    <row r="15" spans="1:8" ht="72" customHeight="1" x14ac:dyDescent="0.25">
      <c r="A15" s="14" t="s">
        <v>232</v>
      </c>
      <c r="B15" s="14" t="s">
        <v>233</v>
      </c>
      <c r="C15" s="15" t="s">
        <v>234</v>
      </c>
      <c r="D15" s="16" t="s">
        <v>235</v>
      </c>
      <c r="E15" s="22">
        <v>1</v>
      </c>
      <c r="F15" s="18" t="s">
        <v>45</v>
      </c>
      <c r="G15" s="25" t="s">
        <v>1339</v>
      </c>
      <c r="H15" s="16" t="s">
        <v>1340</v>
      </c>
    </row>
    <row r="16" spans="1:8" ht="104.25" customHeight="1" x14ac:dyDescent="0.25">
      <c r="A16" s="19" t="s">
        <v>232</v>
      </c>
      <c r="B16" s="19" t="s">
        <v>233</v>
      </c>
      <c r="C16" s="20" t="s">
        <v>237</v>
      </c>
      <c r="D16" s="21" t="s">
        <v>238</v>
      </c>
      <c r="E16" s="22">
        <v>1</v>
      </c>
      <c r="F16" s="18" t="s">
        <v>45</v>
      </c>
      <c r="G16" s="26" t="s">
        <v>1341</v>
      </c>
      <c r="H16" s="21" t="s">
        <v>1342</v>
      </c>
    </row>
    <row r="17" spans="1:8" ht="138" customHeight="1" x14ac:dyDescent="0.25">
      <c r="A17" s="14" t="s">
        <v>232</v>
      </c>
      <c r="B17" s="14" t="s">
        <v>233</v>
      </c>
      <c r="C17" s="15" t="s">
        <v>239</v>
      </c>
      <c r="D17" s="16" t="s">
        <v>240</v>
      </c>
      <c r="E17" s="17">
        <v>2</v>
      </c>
      <c r="F17" s="18" t="s">
        <v>56</v>
      </c>
      <c r="G17" s="25" t="s">
        <v>241</v>
      </c>
      <c r="H17" s="16"/>
    </row>
    <row r="18" spans="1:8" ht="78" customHeight="1" x14ac:dyDescent="0.25">
      <c r="A18" s="19" t="s">
        <v>232</v>
      </c>
      <c r="B18" s="19" t="s">
        <v>233</v>
      </c>
      <c r="C18" s="20" t="s">
        <v>242</v>
      </c>
      <c r="D18" s="21" t="s">
        <v>243</v>
      </c>
      <c r="E18" s="17">
        <v>2</v>
      </c>
      <c r="F18" s="18" t="s">
        <v>45</v>
      </c>
      <c r="G18" s="26" t="s">
        <v>1343</v>
      </c>
      <c r="H18" s="21" t="s">
        <v>1344</v>
      </c>
    </row>
    <row r="19" spans="1:8" ht="105" customHeight="1" x14ac:dyDescent="0.25">
      <c r="A19" s="14" t="s">
        <v>232</v>
      </c>
      <c r="B19" s="14" t="s">
        <v>233</v>
      </c>
      <c r="C19" s="15" t="s">
        <v>244</v>
      </c>
      <c r="D19" s="16" t="s">
        <v>245</v>
      </c>
      <c r="E19" s="17">
        <v>2</v>
      </c>
      <c r="F19" s="18" t="s">
        <v>56</v>
      </c>
      <c r="G19" s="25" t="s">
        <v>246</v>
      </c>
      <c r="H19" s="16"/>
    </row>
    <row r="20" spans="1:8" ht="90" customHeight="1" x14ac:dyDescent="0.25">
      <c r="A20" s="19" t="s">
        <v>232</v>
      </c>
      <c r="B20" s="19" t="s">
        <v>233</v>
      </c>
      <c r="C20" s="20" t="s">
        <v>247</v>
      </c>
      <c r="D20" s="21" t="s">
        <v>248</v>
      </c>
      <c r="E20" s="17">
        <v>2</v>
      </c>
      <c r="F20" s="18" t="s">
        <v>56</v>
      </c>
      <c r="G20" s="26" t="s">
        <v>249</v>
      </c>
      <c r="H20" s="21"/>
    </row>
    <row r="21" spans="1:8" ht="72" customHeight="1" x14ac:dyDescent="0.25">
      <c r="A21" s="14" t="s">
        <v>232</v>
      </c>
      <c r="B21" s="14" t="s">
        <v>233</v>
      </c>
      <c r="C21" s="15" t="s">
        <v>250</v>
      </c>
      <c r="D21" s="16" t="s">
        <v>251</v>
      </c>
      <c r="E21" s="23">
        <v>3</v>
      </c>
      <c r="F21" s="18" t="s">
        <v>56</v>
      </c>
      <c r="G21" s="25" t="s">
        <v>252</v>
      </c>
      <c r="H21" s="16"/>
    </row>
    <row r="22" spans="1:8" ht="90" customHeight="1" x14ac:dyDescent="0.25">
      <c r="A22" s="19" t="s">
        <v>232</v>
      </c>
      <c r="B22" s="19" t="s">
        <v>233</v>
      </c>
      <c r="C22" s="20" t="s">
        <v>253</v>
      </c>
      <c r="D22" s="21" t="s">
        <v>254</v>
      </c>
      <c r="E22" s="23">
        <v>3</v>
      </c>
      <c r="F22" s="18" t="s">
        <v>56</v>
      </c>
      <c r="G22" s="26" t="s">
        <v>255</v>
      </c>
      <c r="H22" s="21"/>
    </row>
    <row r="23" spans="1:8" x14ac:dyDescent="0.25">
      <c r="A23" s="13" t="s">
        <v>256</v>
      </c>
      <c r="B23" s="13" t="s">
        <v>257</v>
      </c>
      <c r="C23" s="13"/>
      <c r="D23" s="13"/>
      <c r="E23" s="13"/>
      <c r="F23" s="13"/>
      <c r="G23" s="13"/>
      <c r="H23" s="13"/>
    </row>
    <row r="24" spans="1:8" ht="120" customHeight="1" x14ac:dyDescent="0.25">
      <c r="A24" s="14" t="s">
        <v>256</v>
      </c>
      <c r="B24" s="14" t="s">
        <v>257</v>
      </c>
      <c r="C24" s="15" t="s">
        <v>258</v>
      </c>
      <c r="D24" s="16" t="s">
        <v>259</v>
      </c>
      <c r="E24" s="22">
        <v>1</v>
      </c>
      <c r="F24" s="18" t="s">
        <v>45</v>
      </c>
      <c r="G24" s="25" t="s">
        <v>260</v>
      </c>
      <c r="H24" s="16" t="s">
        <v>261</v>
      </c>
    </row>
    <row r="25" spans="1:8" ht="105" customHeight="1" x14ac:dyDescent="0.25">
      <c r="A25" s="19" t="s">
        <v>256</v>
      </c>
      <c r="B25" s="19" t="s">
        <v>257</v>
      </c>
      <c r="C25" s="20" t="s">
        <v>262</v>
      </c>
      <c r="D25" s="21" t="s">
        <v>263</v>
      </c>
      <c r="E25" s="22">
        <v>1</v>
      </c>
      <c r="F25" s="18" t="s">
        <v>45</v>
      </c>
      <c r="G25" s="26" t="s">
        <v>264</v>
      </c>
      <c r="H25" s="21" t="s">
        <v>265</v>
      </c>
    </row>
    <row r="26" spans="1:8" ht="120" customHeight="1" x14ac:dyDescent="0.25">
      <c r="A26" s="14" t="s">
        <v>256</v>
      </c>
      <c r="B26" s="14" t="s">
        <v>257</v>
      </c>
      <c r="C26" s="15" t="s">
        <v>266</v>
      </c>
      <c r="D26" s="16" t="s">
        <v>267</v>
      </c>
      <c r="E26" s="22">
        <v>1</v>
      </c>
      <c r="F26" s="18" t="s">
        <v>45</v>
      </c>
      <c r="G26" s="25" t="s">
        <v>268</v>
      </c>
      <c r="H26" s="16" t="s">
        <v>269</v>
      </c>
    </row>
    <row r="27" spans="1:8" ht="75" customHeight="1" x14ac:dyDescent="0.25">
      <c r="A27" s="19" t="s">
        <v>256</v>
      </c>
      <c r="B27" s="19" t="s">
        <v>257</v>
      </c>
      <c r="C27" s="20" t="s">
        <v>270</v>
      </c>
      <c r="D27" s="21" t="s">
        <v>271</v>
      </c>
      <c r="E27" s="17">
        <v>2</v>
      </c>
      <c r="F27" s="18" t="s">
        <v>56</v>
      </c>
      <c r="G27" s="26" t="s">
        <v>272</v>
      </c>
      <c r="H27" s="21"/>
    </row>
    <row r="28" spans="1:8" ht="72" customHeight="1" x14ac:dyDescent="0.25">
      <c r="A28" s="14" t="s">
        <v>256</v>
      </c>
      <c r="B28" s="14" t="s">
        <v>257</v>
      </c>
      <c r="C28" s="15" t="s">
        <v>273</v>
      </c>
      <c r="D28" s="16" t="s">
        <v>274</v>
      </c>
      <c r="E28" s="17">
        <v>2</v>
      </c>
      <c r="F28" s="18" t="s">
        <v>56</v>
      </c>
      <c r="G28" s="25" t="s">
        <v>275</v>
      </c>
      <c r="H28" s="16"/>
    </row>
    <row r="29" spans="1:8" ht="72" customHeight="1" x14ac:dyDescent="0.25">
      <c r="A29" s="19" t="s">
        <v>256</v>
      </c>
      <c r="B29" s="19" t="s">
        <v>257</v>
      </c>
      <c r="C29" s="20" t="s">
        <v>276</v>
      </c>
      <c r="D29" s="21" t="s">
        <v>277</v>
      </c>
      <c r="E29" s="23">
        <v>3</v>
      </c>
      <c r="F29" s="18" t="s">
        <v>56</v>
      </c>
      <c r="G29" s="26" t="s">
        <v>278</v>
      </c>
      <c r="H29" s="21"/>
    </row>
    <row r="30" spans="1:8" ht="72" customHeight="1" x14ac:dyDescent="0.25">
      <c r="A30" s="14" t="s">
        <v>256</v>
      </c>
      <c r="B30" s="14" t="s">
        <v>257</v>
      </c>
      <c r="C30" s="15" t="s">
        <v>279</v>
      </c>
      <c r="D30" s="16" t="s">
        <v>280</v>
      </c>
      <c r="E30" s="23">
        <v>3</v>
      </c>
      <c r="F30" s="18" t="s">
        <v>56</v>
      </c>
      <c r="G30" s="25" t="s">
        <v>281</v>
      </c>
      <c r="H30" s="16"/>
    </row>
    <row r="31" spans="1:8" ht="120.4" customHeight="1" x14ac:dyDescent="0.25">
      <c r="A31" s="19" t="s">
        <v>256</v>
      </c>
      <c r="B31" s="19" t="s">
        <v>257</v>
      </c>
      <c r="C31" s="20" t="s">
        <v>282</v>
      </c>
      <c r="D31" s="21" t="s">
        <v>283</v>
      </c>
      <c r="E31" s="23">
        <v>3</v>
      </c>
      <c r="F31" s="18" t="s">
        <v>56</v>
      </c>
      <c r="G31" s="26"/>
      <c r="H31" s="21"/>
    </row>
    <row r="32" spans="1:8" x14ac:dyDescent="0.25">
      <c r="A32" s="13" t="s">
        <v>284</v>
      </c>
      <c r="B32" s="13" t="s">
        <v>285</v>
      </c>
      <c r="C32" s="13"/>
      <c r="D32" s="13"/>
      <c r="E32" s="13"/>
      <c r="F32" s="13"/>
      <c r="G32" s="13"/>
      <c r="H32" s="13"/>
    </row>
    <row r="33" spans="1:8" ht="106.5" customHeight="1" x14ac:dyDescent="0.25">
      <c r="A33" s="14" t="s">
        <v>284</v>
      </c>
      <c r="B33" s="14" t="s">
        <v>285</v>
      </c>
      <c r="C33" s="15" t="s">
        <v>286</v>
      </c>
      <c r="D33" s="16" t="s">
        <v>287</v>
      </c>
      <c r="E33" s="23">
        <v>3</v>
      </c>
      <c r="F33" s="18" t="s">
        <v>56</v>
      </c>
      <c r="G33" t="s">
        <v>288</v>
      </c>
      <c r="H33" s="16"/>
    </row>
    <row r="34" spans="1:8" x14ac:dyDescent="0.25">
      <c r="A34" s="13" t="s">
        <v>289</v>
      </c>
      <c r="B34" s="13" t="s">
        <v>290</v>
      </c>
      <c r="C34" s="13"/>
      <c r="D34" s="13"/>
      <c r="E34" s="13"/>
      <c r="F34" s="13"/>
      <c r="G34" s="13"/>
      <c r="H34" s="13"/>
    </row>
    <row r="35" spans="1:8" ht="72" customHeight="1" x14ac:dyDescent="0.25">
      <c r="A35" s="14" t="s">
        <v>289</v>
      </c>
      <c r="B35" s="14" t="s">
        <v>290</v>
      </c>
      <c r="C35" s="15" t="s">
        <v>291</v>
      </c>
      <c r="D35" s="16" t="s">
        <v>292</v>
      </c>
      <c r="E35" s="17">
        <v>2</v>
      </c>
      <c r="F35" s="18" t="s">
        <v>56</v>
      </c>
      <c r="G35" t="s">
        <v>293</v>
      </c>
      <c r="H35" s="16"/>
    </row>
    <row r="36" spans="1:8" ht="72" customHeight="1" x14ac:dyDescent="0.25">
      <c r="A36" s="19" t="s">
        <v>289</v>
      </c>
      <c r="B36" s="19" t="s">
        <v>290</v>
      </c>
      <c r="C36" s="20" t="s">
        <v>294</v>
      </c>
      <c r="D36" s="21" t="s">
        <v>295</v>
      </c>
      <c r="E36" s="17">
        <v>2</v>
      </c>
      <c r="F36" s="18" t="s">
        <v>56</v>
      </c>
      <c r="G36" s="26"/>
      <c r="H36" s="21"/>
    </row>
    <row r="37" spans="1:8" ht="72" customHeight="1" x14ac:dyDescent="0.25">
      <c r="A37" s="14" t="s">
        <v>289</v>
      </c>
      <c r="B37" s="14" t="s">
        <v>290</v>
      </c>
      <c r="C37" s="15" t="s">
        <v>296</v>
      </c>
      <c r="D37" s="16" t="s">
        <v>297</v>
      </c>
      <c r="E37" s="23">
        <v>3</v>
      </c>
      <c r="F37" s="18" t="s">
        <v>56</v>
      </c>
      <c r="G37" t="s">
        <v>298</v>
      </c>
      <c r="H37" s="16"/>
    </row>
    <row r="38" spans="1:8" ht="72" customHeight="1" x14ac:dyDescent="0.25">
      <c r="A38" s="19" t="s">
        <v>289</v>
      </c>
      <c r="B38" s="19" t="s">
        <v>290</v>
      </c>
      <c r="C38" s="20" t="s">
        <v>299</v>
      </c>
      <c r="D38" s="21" t="s">
        <v>300</v>
      </c>
      <c r="E38" s="23">
        <v>3</v>
      </c>
      <c r="F38" s="18" t="s">
        <v>56</v>
      </c>
      <c r="G38" s="26"/>
      <c r="H38" s="21"/>
    </row>
    <row r="39" spans="1:8" ht="72" customHeight="1" x14ac:dyDescent="0.25">
      <c r="A39" s="14" t="s">
        <v>289</v>
      </c>
      <c r="B39" s="14" t="s">
        <v>290</v>
      </c>
      <c r="C39" s="15" t="s">
        <v>301</v>
      </c>
      <c r="D39" s="16" t="s">
        <v>302</v>
      </c>
      <c r="E39" s="23">
        <v>3</v>
      </c>
      <c r="F39" s="18" t="s">
        <v>56</v>
      </c>
      <c r="G39" t="s">
        <v>303</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9" activePane="bottomLeft" state="frozen"/>
      <selection pane="bottomLeft" activeCell="N9" sqref="N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304</v>
      </c>
      <c r="B2" s="13" t="s">
        <v>305</v>
      </c>
      <c r="C2" s="13"/>
      <c r="D2" s="13"/>
      <c r="E2" s="13"/>
      <c r="F2" s="13"/>
      <c r="G2" s="13"/>
      <c r="H2" s="13"/>
    </row>
    <row r="3" spans="1:8" ht="75" customHeight="1" x14ac:dyDescent="0.25">
      <c r="A3" s="14" t="s">
        <v>304</v>
      </c>
      <c r="B3" s="14" t="s">
        <v>305</v>
      </c>
      <c r="C3" s="15" t="s">
        <v>306</v>
      </c>
      <c r="D3" s="16" t="s">
        <v>307</v>
      </c>
      <c r="E3" s="22">
        <v>1</v>
      </c>
      <c r="F3" s="18" t="s">
        <v>45</v>
      </c>
      <c r="G3" s="16" t="s">
        <v>308</v>
      </c>
      <c r="H3" s="16" t="s">
        <v>309</v>
      </c>
    </row>
    <row r="4" spans="1:8" ht="105" customHeight="1" x14ac:dyDescent="0.25">
      <c r="A4" s="19" t="s">
        <v>304</v>
      </c>
      <c r="B4" s="19" t="s">
        <v>305</v>
      </c>
      <c r="C4" s="20" t="s">
        <v>310</v>
      </c>
      <c r="D4" s="21" t="s">
        <v>311</v>
      </c>
      <c r="E4" s="17">
        <v>2</v>
      </c>
      <c r="F4" s="18" t="s">
        <v>45</v>
      </c>
      <c r="G4" s="21" t="s">
        <v>312</v>
      </c>
      <c r="H4" s="21" t="s">
        <v>313</v>
      </c>
    </row>
    <row r="5" spans="1:8" ht="75" customHeight="1" x14ac:dyDescent="0.25">
      <c r="A5" s="14" t="s">
        <v>304</v>
      </c>
      <c r="B5" s="14" t="s">
        <v>305</v>
      </c>
      <c r="C5" s="15" t="s">
        <v>314</v>
      </c>
      <c r="D5" s="16" t="s">
        <v>315</v>
      </c>
      <c r="E5" s="17">
        <v>2</v>
      </c>
      <c r="F5" s="18" t="s">
        <v>45</v>
      </c>
      <c r="G5" s="16" t="s">
        <v>316</v>
      </c>
      <c r="H5" s="16" t="s">
        <v>317</v>
      </c>
    </row>
    <row r="6" spans="1:8" ht="30" customHeight="1" x14ac:dyDescent="0.25">
      <c r="A6" s="19" t="s">
        <v>304</v>
      </c>
      <c r="B6" s="19" t="s">
        <v>305</v>
      </c>
      <c r="C6" s="20" t="s">
        <v>318</v>
      </c>
      <c r="D6" s="21" t="s">
        <v>319</v>
      </c>
      <c r="E6" s="23">
        <v>3</v>
      </c>
      <c r="F6" s="18" t="s">
        <v>56</v>
      </c>
      <c r="G6" s="21"/>
      <c r="H6" s="21"/>
    </row>
    <row r="7" spans="1:8" ht="30" customHeight="1" x14ac:dyDescent="0.25">
      <c r="A7" s="14" t="s">
        <v>304</v>
      </c>
      <c r="B7" s="14" t="s">
        <v>305</v>
      </c>
      <c r="C7" s="15" t="s">
        <v>320</v>
      </c>
      <c r="D7" s="16" t="s">
        <v>321</v>
      </c>
      <c r="E7" s="23">
        <v>3</v>
      </c>
      <c r="F7" s="18" t="s">
        <v>56</v>
      </c>
      <c r="G7" s="16"/>
      <c r="H7" s="16"/>
    </row>
    <row r="8" spans="1:8" ht="18" customHeight="1" x14ac:dyDescent="0.25">
      <c r="A8" s="13" t="s">
        <v>322</v>
      </c>
      <c r="B8" s="13" t="s">
        <v>323</v>
      </c>
      <c r="C8" s="13"/>
      <c r="D8" s="13"/>
      <c r="E8" s="13"/>
      <c r="F8" s="13"/>
      <c r="G8" s="13"/>
      <c r="H8" s="13"/>
    </row>
    <row r="9" spans="1:8" ht="30" customHeight="1" x14ac:dyDescent="0.25">
      <c r="A9" s="14" t="s">
        <v>322</v>
      </c>
      <c r="B9" s="14" t="s">
        <v>323</v>
      </c>
      <c r="C9" s="15" t="s">
        <v>324</v>
      </c>
      <c r="D9" s="16" t="s">
        <v>325</v>
      </c>
      <c r="E9" s="17">
        <v>2</v>
      </c>
      <c r="F9" s="18" t="s">
        <v>45</v>
      </c>
      <c r="G9" s="16" t="s">
        <v>326</v>
      </c>
      <c r="H9" s="16" t="s">
        <v>327</v>
      </c>
    </row>
    <row r="10" spans="1:8" ht="30" customHeight="1" x14ac:dyDescent="0.25">
      <c r="A10" s="19" t="s">
        <v>322</v>
      </c>
      <c r="B10" s="19" t="s">
        <v>323</v>
      </c>
      <c r="C10" s="20" t="s">
        <v>328</v>
      </c>
      <c r="D10" s="21" t="s">
        <v>329</v>
      </c>
      <c r="E10" s="23">
        <v>3</v>
      </c>
      <c r="F10" s="18" t="s">
        <v>56</v>
      </c>
      <c r="G10" s="21"/>
      <c r="H10" s="21"/>
    </row>
    <row r="11" spans="1:8" ht="30" customHeight="1" x14ac:dyDescent="0.25">
      <c r="A11" s="14" t="s">
        <v>322</v>
      </c>
      <c r="B11" s="14" t="s">
        <v>323</v>
      </c>
      <c r="C11" s="15" t="s">
        <v>330</v>
      </c>
      <c r="D11" s="16" t="s">
        <v>331</v>
      </c>
      <c r="E11" s="23">
        <v>3</v>
      </c>
      <c r="F11" s="18" t="s">
        <v>56</v>
      </c>
      <c r="G11" s="16"/>
      <c r="H11" s="16"/>
    </row>
    <row r="12" spans="1:8" ht="30" customHeight="1" x14ac:dyDescent="0.25">
      <c r="A12" s="19" t="s">
        <v>322</v>
      </c>
      <c r="B12" s="19" t="s">
        <v>323</v>
      </c>
      <c r="C12" s="20" t="s">
        <v>332</v>
      </c>
      <c r="D12" s="21" t="s">
        <v>333</v>
      </c>
      <c r="E12" s="23">
        <v>3</v>
      </c>
      <c r="F12" s="18" t="s">
        <v>56</v>
      </c>
      <c r="G12" s="21"/>
      <c r="H12" s="21"/>
    </row>
    <row r="13" spans="1:8" ht="30" customHeight="1" x14ac:dyDescent="0.25">
      <c r="A13" s="14" t="s">
        <v>322</v>
      </c>
      <c r="B13" s="14" t="s">
        <v>323</v>
      </c>
      <c r="C13" s="15" t="s">
        <v>334</v>
      </c>
      <c r="D13" s="16" t="s">
        <v>335</v>
      </c>
      <c r="E13" s="23">
        <v>3</v>
      </c>
      <c r="F13" s="18" t="s">
        <v>56</v>
      </c>
      <c r="G13" s="16"/>
      <c r="H13" s="16"/>
    </row>
    <row r="14" spans="1:8" ht="18" customHeight="1" x14ac:dyDescent="0.25">
      <c r="A14" s="13" t="s">
        <v>336</v>
      </c>
      <c r="B14" s="13" t="s">
        <v>337</v>
      </c>
      <c r="C14" s="13"/>
      <c r="D14" s="13"/>
      <c r="E14" s="13"/>
      <c r="F14" s="13"/>
      <c r="G14" s="13"/>
      <c r="H14" s="13"/>
    </row>
    <row r="15" spans="1:8" ht="60" customHeight="1" x14ac:dyDescent="0.25">
      <c r="A15" s="14" t="s">
        <v>336</v>
      </c>
      <c r="B15" s="14" t="s">
        <v>337</v>
      </c>
      <c r="C15" s="15" t="s">
        <v>338</v>
      </c>
      <c r="D15" s="16" t="s">
        <v>339</v>
      </c>
      <c r="E15" s="17">
        <v>2</v>
      </c>
      <c r="F15" s="18" t="s">
        <v>56</v>
      </c>
      <c r="G15" s="16" t="s">
        <v>340</v>
      </c>
      <c r="H15" s="16"/>
    </row>
    <row r="16" spans="1:8" ht="30" customHeight="1" x14ac:dyDescent="0.25">
      <c r="A16" s="19" t="s">
        <v>336</v>
      </c>
      <c r="B16" s="19" t="s">
        <v>337</v>
      </c>
      <c r="C16" s="20" t="s">
        <v>341</v>
      </c>
      <c r="D16" s="21" t="s">
        <v>342</v>
      </c>
      <c r="E16" s="17">
        <v>2</v>
      </c>
      <c r="F16" s="18" t="s">
        <v>56</v>
      </c>
      <c r="G16" s="21" t="s">
        <v>343</v>
      </c>
      <c r="H16" s="21"/>
    </row>
    <row r="17" spans="1:8" ht="18" customHeight="1" x14ac:dyDescent="0.25">
      <c r="A17" s="13" t="s">
        <v>344</v>
      </c>
      <c r="B17" s="13" t="s">
        <v>345</v>
      </c>
      <c r="C17" s="13"/>
      <c r="D17" s="13"/>
      <c r="E17" s="13"/>
      <c r="F17" s="13"/>
      <c r="G17" s="13"/>
      <c r="H17" s="13"/>
    </row>
    <row r="18" spans="1:8" ht="30" customHeight="1" x14ac:dyDescent="0.25">
      <c r="A18" s="14" t="s">
        <v>344</v>
      </c>
      <c r="B18" s="14" t="s">
        <v>345</v>
      </c>
      <c r="C18" s="15" t="s">
        <v>346</v>
      </c>
      <c r="D18" s="16" t="s">
        <v>347</v>
      </c>
      <c r="E18" s="22">
        <v>1</v>
      </c>
      <c r="F18" s="18" t="s">
        <v>56</v>
      </c>
      <c r="G18" s="16" t="s">
        <v>348</v>
      </c>
      <c r="H18" s="16"/>
    </row>
    <row r="19" spans="1:8" ht="30" customHeight="1" x14ac:dyDescent="0.25">
      <c r="A19" s="19" t="s">
        <v>344</v>
      </c>
      <c r="B19" s="19" t="s">
        <v>345</v>
      </c>
      <c r="C19" s="20" t="s">
        <v>349</v>
      </c>
      <c r="D19" s="21" t="s">
        <v>350</v>
      </c>
      <c r="E19" s="17">
        <v>2</v>
      </c>
      <c r="F19" s="18" t="s">
        <v>56</v>
      </c>
      <c r="G19" t="s">
        <v>351</v>
      </c>
      <c r="H19" s="21"/>
    </row>
    <row r="20" spans="1:8" ht="30" customHeight="1" x14ac:dyDescent="0.25">
      <c r="A20" s="14" t="s">
        <v>344</v>
      </c>
      <c r="B20" s="14" t="s">
        <v>345</v>
      </c>
      <c r="C20" s="15" t="s">
        <v>352</v>
      </c>
      <c r="D20" s="16" t="s">
        <v>353</v>
      </c>
      <c r="E20" s="17">
        <v>2</v>
      </c>
      <c r="F20" s="18" t="s">
        <v>56</v>
      </c>
      <c r="G20" t="s">
        <v>354</v>
      </c>
      <c r="H20" s="16"/>
    </row>
    <row r="21" spans="1:8" ht="30" customHeight="1" x14ac:dyDescent="0.25">
      <c r="A21" s="19" t="s">
        <v>344</v>
      </c>
      <c r="B21" s="19" t="s">
        <v>345</v>
      </c>
      <c r="C21" s="20" t="s">
        <v>355</v>
      </c>
      <c r="D21" s="21" t="s">
        <v>356</v>
      </c>
      <c r="E21" s="17">
        <v>2</v>
      </c>
      <c r="F21" s="18" t="s">
        <v>56</v>
      </c>
      <c r="G21" t="s">
        <v>357</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abSelected="1" topLeftCell="B1" zoomScale="85" zoomScaleNormal="85" workbookViewId="0">
      <pane ySplit="1" topLeftCell="A6" activePane="bottomLeft" state="frozen"/>
      <selection pane="bottomLeft" activeCell="F6" sqref="F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358</v>
      </c>
      <c r="B2" s="13" t="s">
        <v>359</v>
      </c>
      <c r="C2" s="13"/>
      <c r="D2" s="13"/>
      <c r="E2" s="13"/>
      <c r="F2" s="13"/>
      <c r="G2" s="13"/>
      <c r="H2" s="13"/>
    </row>
    <row r="3" spans="1:8" ht="150" customHeight="1" x14ac:dyDescent="0.25">
      <c r="A3" s="14" t="s">
        <v>358</v>
      </c>
      <c r="B3" s="14" t="s">
        <v>359</v>
      </c>
      <c r="C3" s="15" t="s">
        <v>360</v>
      </c>
      <c r="D3" s="16" t="s">
        <v>361</v>
      </c>
      <c r="E3" s="17">
        <v>2</v>
      </c>
      <c r="F3" s="18" t="s">
        <v>45</v>
      </c>
      <c r="G3" s="16" t="s">
        <v>362</v>
      </c>
      <c r="H3" s="16" t="s">
        <v>363</v>
      </c>
    </row>
    <row r="4" spans="1:8" ht="18" customHeight="1" x14ac:dyDescent="0.25">
      <c r="A4" s="13" t="s">
        <v>364</v>
      </c>
      <c r="B4" s="13" t="s">
        <v>365</v>
      </c>
      <c r="C4" s="13"/>
      <c r="D4" s="13"/>
      <c r="E4" s="13"/>
      <c r="F4" s="13"/>
      <c r="G4" s="13"/>
      <c r="H4" s="13"/>
    </row>
    <row r="5" spans="1:8" ht="30" customHeight="1" x14ac:dyDescent="0.25">
      <c r="A5" s="14" t="s">
        <v>364</v>
      </c>
      <c r="B5" s="14" t="s">
        <v>365</v>
      </c>
      <c r="C5" s="15" t="s">
        <v>366</v>
      </c>
      <c r="D5" s="16" t="s">
        <v>367</v>
      </c>
      <c r="E5" s="22">
        <v>1</v>
      </c>
      <c r="F5" s="18" t="s">
        <v>45</v>
      </c>
      <c r="G5" s="16" t="s">
        <v>368</v>
      </c>
      <c r="H5" s="16" t="s">
        <v>369</v>
      </c>
    </row>
    <row r="6" spans="1:8" ht="150" customHeight="1" x14ac:dyDescent="0.25">
      <c r="A6" s="19" t="s">
        <v>364</v>
      </c>
      <c r="B6" s="19" t="s">
        <v>365</v>
      </c>
      <c r="C6" s="20" t="s">
        <v>370</v>
      </c>
      <c r="D6" s="21" t="s">
        <v>371</v>
      </c>
      <c r="E6" s="22">
        <v>1</v>
      </c>
      <c r="F6" s="18" t="s">
        <v>45</v>
      </c>
      <c r="G6" s="21" t="s">
        <v>372</v>
      </c>
      <c r="H6" s="21" t="s">
        <v>373</v>
      </c>
    </row>
    <row r="7" spans="1:8" ht="45" customHeight="1" x14ac:dyDescent="0.25">
      <c r="A7" s="14" t="s">
        <v>364</v>
      </c>
      <c r="B7" s="14" t="s">
        <v>365</v>
      </c>
      <c r="C7" s="15" t="s">
        <v>374</v>
      </c>
      <c r="D7" s="16" t="s">
        <v>375</v>
      </c>
      <c r="E7" s="17">
        <v>2</v>
      </c>
      <c r="F7" s="18" t="s">
        <v>56</v>
      </c>
      <c r="G7" s="16" t="s">
        <v>376</v>
      </c>
      <c r="H7" s="16"/>
    </row>
    <row r="8" spans="1:8" ht="30" customHeight="1" x14ac:dyDescent="0.25">
      <c r="A8" s="19" t="s">
        <v>364</v>
      </c>
      <c r="B8" s="19" t="s">
        <v>365</v>
      </c>
      <c r="C8" s="20" t="s">
        <v>377</v>
      </c>
      <c r="D8" s="21" t="s">
        <v>378</v>
      </c>
      <c r="E8" s="23">
        <v>3</v>
      </c>
      <c r="F8" s="18" t="s">
        <v>56</v>
      </c>
      <c r="G8" s="21"/>
      <c r="H8" s="21"/>
    </row>
    <row r="9" spans="1:8" ht="60" customHeight="1" x14ac:dyDescent="0.25">
      <c r="A9" s="14" t="s">
        <v>364</v>
      </c>
      <c r="B9" s="14" t="s">
        <v>365</v>
      </c>
      <c r="C9" s="15" t="s">
        <v>379</v>
      </c>
      <c r="D9" s="16" t="s">
        <v>380</v>
      </c>
      <c r="E9" s="23">
        <v>3</v>
      </c>
      <c r="F9" s="18" t="s">
        <v>56</v>
      </c>
      <c r="G9" s="16" t="s">
        <v>381</v>
      </c>
      <c r="H9" s="16"/>
    </row>
    <row r="10" spans="1:8" ht="30" customHeight="1" x14ac:dyDescent="0.25">
      <c r="A10" s="19" t="s">
        <v>364</v>
      </c>
      <c r="B10" s="19" t="s">
        <v>365</v>
      </c>
      <c r="C10" s="20" t="s">
        <v>382</v>
      </c>
      <c r="D10" s="21" t="s">
        <v>383</v>
      </c>
      <c r="E10" s="23">
        <v>3</v>
      </c>
      <c r="F10" s="18" t="s">
        <v>56</v>
      </c>
      <c r="G10" s="21"/>
      <c r="H10" s="21"/>
    </row>
    <row r="11" spans="1:8" ht="18" customHeight="1" x14ac:dyDescent="0.25">
      <c r="A11" s="13" t="s">
        <v>384</v>
      </c>
      <c r="B11" s="13" t="s">
        <v>385</v>
      </c>
      <c r="C11" s="13"/>
      <c r="D11" s="13"/>
      <c r="E11" s="13"/>
      <c r="F11" s="13"/>
      <c r="G11" s="13"/>
      <c r="H11" s="13"/>
    </row>
    <row r="12" spans="1:8" ht="30" customHeight="1" x14ac:dyDescent="0.25">
      <c r="A12" s="14" t="s">
        <v>384</v>
      </c>
      <c r="B12" s="14" t="s">
        <v>385</v>
      </c>
      <c r="C12" s="15" t="s">
        <v>386</v>
      </c>
      <c r="D12" s="16" t="s">
        <v>387</v>
      </c>
      <c r="E12" s="22">
        <v>1</v>
      </c>
      <c r="F12" s="18" t="s">
        <v>45</v>
      </c>
      <c r="G12" s="16" t="s">
        <v>388</v>
      </c>
      <c r="H12" s="16" t="s">
        <v>389</v>
      </c>
    </row>
    <row r="13" spans="1:8" ht="30" customHeight="1" x14ac:dyDescent="0.25">
      <c r="A13" s="19" t="s">
        <v>384</v>
      </c>
      <c r="B13" s="19" t="s">
        <v>385</v>
      </c>
      <c r="C13" s="20" t="s">
        <v>390</v>
      </c>
      <c r="D13" s="21" t="s">
        <v>391</v>
      </c>
      <c r="E13" s="22">
        <v>1</v>
      </c>
      <c r="F13" s="18" t="s">
        <v>45</v>
      </c>
      <c r="G13" s="21" t="s">
        <v>392</v>
      </c>
      <c r="H13" s="21" t="s">
        <v>393</v>
      </c>
    </row>
    <row r="14" spans="1:8" ht="60" customHeight="1" x14ac:dyDescent="0.25">
      <c r="A14" s="14" t="s">
        <v>384</v>
      </c>
      <c r="B14" s="14" t="s">
        <v>385</v>
      </c>
      <c r="C14" s="15" t="s">
        <v>394</v>
      </c>
      <c r="D14" s="16" t="s">
        <v>395</v>
      </c>
      <c r="E14" s="23">
        <v>3</v>
      </c>
      <c r="F14" s="18" t="s">
        <v>56</v>
      </c>
      <c r="G14" s="16" t="s">
        <v>396</v>
      </c>
      <c r="H14" s="16"/>
    </row>
    <row r="15" spans="1:8" ht="18" customHeight="1" x14ac:dyDescent="0.25">
      <c r="A15" s="13" t="s">
        <v>397</v>
      </c>
      <c r="B15" s="13" t="s">
        <v>398</v>
      </c>
      <c r="C15" s="13"/>
      <c r="D15" s="13"/>
      <c r="E15" s="13"/>
      <c r="F15" s="13"/>
      <c r="G15" s="13"/>
      <c r="H15" s="13"/>
    </row>
    <row r="16" spans="1:8" ht="30" customHeight="1" x14ac:dyDescent="0.25">
      <c r="A16" s="14" t="s">
        <v>397</v>
      </c>
      <c r="B16" s="14" t="s">
        <v>398</v>
      </c>
      <c r="C16" s="15" t="s">
        <v>399</v>
      </c>
      <c r="D16" s="16" t="s">
        <v>400</v>
      </c>
      <c r="E16" s="17">
        <v>2</v>
      </c>
      <c r="F16" s="18" t="s">
        <v>45</v>
      </c>
      <c r="G16" s="16" t="s">
        <v>401</v>
      </c>
      <c r="H16" s="16" t="s">
        <v>402</v>
      </c>
    </row>
    <row r="17" spans="1:8" ht="30" customHeight="1" x14ac:dyDescent="0.25">
      <c r="A17" s="19" t="s">
        <v>397</v>
      </c>
      <c r="B17" s="19" t="s">
        <v>398</v>
      </c>
      <c r="C17" s="20" t="s">
        <v>403</v>
      </c>
      <c r="D17" s="21" t="s">
        <v>404</v>
      </c>
      <c r="E17" s="17">
        <v>2</v>
      </c>
      <c r="F17" s="18" t="s">
        <v>45</v>
      </c>
      <c r="G17" s="21" t="s">
        <v>405</v>
      </c>
      <c r="H17" s="21" t="s">
        <v>406</v>
      </c>
    </row>
    <row r="18" spans="1:8" ht="30" customHeight="1" x14ac:dyDescent="0.25">
      <c r="A18" s="14" t="s">
        <v>397</v>
      </c>
      <c r="B18" s="14" t="s">
        <v>398</v>
      </c>
      <c r="C18" s="15" t="s">
        <v>407</v>
      </c>
      <c r="D18" s="16" t="s">
        <v>408</v>
      </c>
      <c r="E18" s="17">
        <v>2</v>
      </c>
      <c r="F18" s="18" t="s">
        <v>45</v>
      </c>
      <c r="G18" s="16" t="s">
        <v>409</v>
      </c>
      <c r="H18" s="16" t="s">
        <v>410</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50" activePane="bottomLeft" state="frozen"/>
      <selection pane="bottomLeft" activeCell="L4" sqref="L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ht="18" customHeight="1" x14ac:dyDescent="0.25">
      <c r="A2" s="13" t="s">
        <v>411</v>
      </c>
      <c r="B2" s="13" t="s">
        <v>412</v>
      </c>
      <c r="C2" s="13"/>
      <c r="D2" s="13"/>
      <c r="E2" s="13"/>
      <c r="F2" s="13"/>
      <c r="G2" s="13"/>
      <c r="H2" s="13"/>
    </row>
    <row r="3" spans="1:8" ht="90" customHeight="1" x14ac:dyDescent="0.25">
      <c r="A3" s="14" t="s">
        <v>411</v>
      </c>
      <c r="B3" s="14" t="s">
        <v>412</v>
      </c>
      <c r="C3" s="15" t="s">
        <v>413</v>
      </c>
      <c r="D3" s="16" t="s">
        <v>414</v>
      </c>
      <c r="E3" s="22">
        <v>1</v>
      </c>
      <c r="F3" s="18" t="s">
        <v>45</v>
      </c>
      <c r="G3" s="16" t="s">
        <v>415</v>
      </c>
      <c r="H3" s="16" t="s">
        <v>416</v>
      </c>
    </row>
    <row r="4" spans="1:8" ht="75" customHeight="1" x14ac:dyDescent="0.25">
      <c r="A4" s="19" t="s">
        <v>411</v>
      </c>
      <c r="B4" s="19" t="s">
        <v>412</v>
      </c>
      <c r="C4" s="20" t="s">
        <v>417</v>
      </c>
      <c r="D4" s="21" t="s">
        <v>418</v>
      </c>
      <c r="E4" s="17">
        <v>2</v>
      </c>
      <c r="F4" s="18" t="s">
        <v>45</v>
      </c>
      <c r="G4" s="21" t="s">
        <v>419</v>
      </c>
      <c r="H4" s="21" t="s">
        <v>420</v>
      </c>
    </row>
    <row r="5" spans="1:8" ht="120" customHeight="1" x14ac:dyDescent="0.25">
      <c r="A5" s="14" t="s">
        <v>411</v>
      </c>
      <c r="B5" s="14" t="s">
        <v>412</v>
      </c>
      <c r="C5" s="15" t="s">
        <v>421</v>
      </c>
      <c r="D5" s="16" t="s">
        <v>422</v>
      </c>
      <c r="E5" s="17">
        <v>2</v>
      </c>
      <c r="F5" s="18" t="s">
        <v>45</v>
      </c>
      <c r="G5" s="16" t="s">
        <v>423</v>
      </c>
      <c r="H5" s="16" t="s">
        <v>424</v>
      </c>
    </row>
    <row r="6" spans="1:8" ht="18" customHeight="1" x14ac:dyDescent="0.25">
      <c r="A6" s="13" t="s">
        <v>425</v>
      </c>
      <c r="B6" s="13" t="s">
        <v>426</v>
      </c>
      <c r="C6" s="13"/>
      <c r="D6" s="13"/>
      <c r="E6" s="13"/>
      <c r="F6" s="13"/>
      <c r="G6" s="13"/>
      <c r="H6" s="13"/>
    </row>
    <row r="7" spans="1:8" ht="60" customHeight="1" x14ac:dyDescent="0.25">
      <c r="A7" s="14" t="s">
        <v>425</v>
      </c>
      <c r="B7" s="14" t="s">
        <v>426</v>
      </c>
      <c r="C7" s="15" t="s">
        <v>427</v>
      </c>
      <c r="D7" s="16" t="s">
        <v>428</v>
      </c>
      <c r="E7" s="22">
        <v>1</v>
      </c>
      <c r="F7" s="18" t="s">
        <v>45</v>
      </c>
      <c r="G7" s="16" t="s">
        <v>429</v>
      </c>
      <c r="H7" s="16" t="s">
        <v>430</v>
      </c>
    </row>
    <row r="8" spans="1:8" ht="60" customHeight="1" x14ac:dyDescent="0.25">
      <c r="A8" s="19" t="s">
        <v>425</v>
      </c>
      <c r="B8" s="19" t="s">
        <v>426</v>
      </c>
      <c r="C8" s="20" t="s">
        <v>431</v>
      </c>
      <c r="D8" s="21" t="s">
        <v>432</v>
      </c>
      <c r="E8" s="22">
        <v>1</v>
      </c>
      <c r="F8" s="18" t="s">
        <v>45</v>
      </c>
      <c r="G8" s="21" t="s">
        <v>433</v>
      </c>
      <c r="H8" s="21" t="s">
        <v>434</v>
      </c>
    </row>
    <row r="9" spans="1:8" ht="60" customHeight="1" x14ac:dyDescent="0.25">
      <c r="A9" s="14" t="s">
        <v>425</v>
      </c>
      <c r="B9" s="14" t="s">
        <v>426</v>
      </c>
      <c r="C9" s="15" t="s">
        <v>435</v>
      </c>
      <c r="D9" s="16" t="s">
        <v>436</v>
      </c>
      <c r="E9" s="22">
        <v>1</v>
      </c>
      <c r="F9" s="18" t="s">
        <v>45</v>
      </c>
      <c r="G9" s="16" t="s">
        <v>437</v>
      </c>
      <c r="H9" s="16" t="s">
        <v>438</v>
      </c>
    </row>
    <row r="10" spans="1:8" ht="105" customHeight="1" x14ac:dyDescent="0.25">
      <c r="A10" s="19" t="s">
        <v>425</v>
      </c>
      <c r="B10" s="19" t="s">
        <v>426</v>
      </c>
      <c r="C10" s="20" t="s">
        <v>439</v>
      </c>
      <c r="D10" s="21" t="s">
        <v>440</v>
      </c>
      <c r="E10" s="22">
        <v>1</v>
      </c>
      <c r="F10" s="18" t="s">
        <v>45</v>
      </c>
      <c r="G10" s="21" t="s">
        <v>441</v>
      </c>
      <c r="H10" s="21" t="s">
        <v>442</v>
      </c>
    </row>
    <row r="11" spans="1:8" ht="90" customHeight="1" x14ac:dyDescent="0.25">
      <c r="A11" s="14" t="s">
        <v>425</v>
      </c>
      <c r="B11" s="14" t="s">
        <v>426</v>
      </c>
      <c r="C11" s="15" t="s">
        <v>443</v>
      </c>
      <c r="D11" s="16" t="s">
        <v>444</v>
      </c>
      <c r="E11" s="22">
        <v>1</v>
      </c>
      <c r="F11" s="18" t="s">
        <v>45</v>
      </c>
      <c r="G11" s="16" t="s">
        <v>445</v>
      </c>
      <c r="H11" s="16" t="s">
        <v>446</v>
      </c>
    </row>
    <row r="12" spans="1:8" ht="60" customHeight="1" x14ac:dyDescent="0.25">
      <c r="A12" s="19" t="s">
        <v>425</v>
      </c>
      <c r="B12" s="19" t="s">
        <v>426</v>
      </c>
      <c r="C12" s="20" t="s">
        <v>447</v>
      </c>
      <c r="D12" s="21" t="s">
        <v>448</v>
      </c>
      <c r="E12" s="22">
        <v>1</v>
      </c>
      <c r="F12" s="18" t="s">
        <v>56</v>
      </c>
      <c r="G12" s="21" t="s">
        <v>449</v>
      </c>
      <c r="H12" s="21"/>
    </row>
    <row r="13" spans="1:8" ht="60" customHeight="1" x14ac:dyDescent="0.25">
      <c r="A13" s="14" t="s">
        <v>425</v>
      </c>
      <c r="B13" s="14" t="s">
        <v>426</v>
      </c>
      <c r="C13" s="15" t="s">
        <v>450</v>
      </c>
      <c r="D13" s="16" t="s">
        <v>451</v>
      </c>
      <c r="E13" s="22">
        <v>1</v>
      </c>
      <c r="F13" s="18" t="s">
        <v>56</v>
      </c>
      <c r="G13" s="16" t="s">
        <v>452</v>
      </c>
      <c r="H13" s="16"/>
    </row>
    <row r="14" spans="1:8" ht="75" customHeight="1" x14ac:dyDescent="0.25">
      <c r="A14" s="19" t="s">
        <v>425</v>
      </c>
      <c r="B14" s="19" t="s">
        <v>426</v>
      </c>
      <c r="C14" s="20" t="s">
        <v>453</v>
      </c>
      <c r="D14" s="21" t="s">
        <v>454</v>
      </c>
      <c r="E14" s="22">
        <v>1</v>
      </c>
      <c r="F14" s="18" t="s">
        <v>45</v>
      </c>
      <c r="G14" s="21" t="s">
        <v>455</v>
      </c>
      <c r="H14" s="21" t="s">
        <v>456</v>
      </c>
    </row>
    <row r="15" spans="1:8" ht="60" customHeight="1" x14ac:dyDescent="0.25">
      <c r="A15" s="14" t="s">
        <v>425</v>
      </c>
      <c r="B15" s="14" t="s">
        <v>426</v>
      </c>
      <c r="C15" s="15" t="s">
        <v>457</v>
      </c>
      <c r="D15" s="16" t="s">
        <v>458</v>
      </c>
      <c r="E15" s="17">
        <v>2</v>
      </c>
      <c r="F15" s="18" t="s">
        <v>45</v>
      </c>
      <c r="G15" s="16" t="s">
        <v>459</v>
      </c>
      <c r="H15" s="16" t="s">
        <v>460</v>
      </c>
    </row>
    <row r="16" spans="1:8" ht="60" customHeight="1" x14ac:dyDescent="0.25">
      <c r="A16" s="19" t="s">
        <v>425</v>
      </c>
      <c r="B16" s="19" t="s">
        <v>426</v>
      </c>
      <c r="C16" s="20" t="s">
        <v>461</v>
      </c>
      <c r="D16" s="21" t="s">
        <v>462</v>
      </c>
      <c r="E16" s="17">
        <v>2</v>
      </c>
      <c r="F16" s="18" t="s">
        <v>45</v>
      </c>
      <c r="G16" s="21" t="s">
        <v>463</v>
      </c>
      <c r="H16" s="21" t="s">
        <v>464</v>
      </c>
    </row>
    <row r="17" spans="1:8" ht="90" customHeight="1" x14ac:dyDescent="0.25">
      <c r="A17" s="14" t="s">
        <v>425</v>
      </c>
      <c r="B17" s="14" t="s">
        <v>426</v>
      </c>
      <c r="C17" s="15" t="s">
        <v>465</v>
      </c>
      <c r="D17" s="16" t="s">
        <v>466</v>
      </c>
      <c r="E17" s="17">
        <v>2</v>
      </c>
      <c r="F17" s="18" t="s">
        <v>45</v>
      </c>
      <c r="G17" s="16" t="s">
        <v>467</v>
      </c>
      <c r="H17" s="16" t="s">
        <v>468</v>
      </c>
    </row>
    <row r="18" spans="1:8" ht="105" customHeight="1" x14ac:dyDescent="0.25">
      <c r="A18" s="19" t="s">
        <v>425</v>
      </c>
      <c r="B18" s="19" t="s">
        <v>426</v>
      </c>
      <c r="C18" s="20" t="s">
        <v>469</v>
      </c>
      <c r="D18" s="21" t="s">
        <v>470</v>
      </c>
      <c r="E18" s="17">
        <v>2</v>
      </c>
      <c r="F18" s="18" t="s">
        <v>45</v>
      </c>
      <c r="G18" s="21" t="s">
        <v>471</v>
      </c>
      <c r="H18" s="21" t="s">
        <v>472</v>
      </c>
    </row>
    <row r="19" spans="1:8" ht="18" customHeight="1" x14ac:dyDescent="0.25">
      <c r="A19" s="13" t="s">
        <v>473</v>
      </c>
      <c r="B19" s="13" t="s">
        <v>474</v>
      </c>
      <c r="C19" s="13"/>
      <c r="D19" s="13"/>
      <c r="E19" s="13"/>
      <c r="F19" s="13"/>
      <c r="G19" s="13"/>
      <c r="H19" s="13"/>
    </row>
    <row r="20" spans="1:8" ht="75" customHeight="1" x14ac:dyDescent="0.25">
      <c r="A20" s="14" t="s">
        <v>473</v>
      </c>
      <c r="B20" s="14" t="s">
        <v>474</v>
      </c>
      <c r="C20" s="15" t="s">
        <v>475</v>
      </c>
      <c r="D20" s="16" t="s">
        <v>476</v>
      </c>
      <c r="E20" s="22">
        <v>1</v>
      </c>
      <c r="F20" s="18" t="s">
        <v>45</v>
      </c>
      <c r="G20" s="16" t="s">
        <v>477</v>
      </c>
      <c r="H20" s="16" t="s">
        <v>478</v>
      </c>
    </row>
    <row r="21" spans="1:8" ht="105" customHeight="1" x14ac:dyDescent="0.25">
      <c r="A21" s="19" t="s">
        <v>473</v>
      </c>
      <c r="B21" s="19" t="s">
        <v>474</v>
      </c>
      <c r="C21" s="20" t="s">
        <v>479</v>
      </c>
      <c r="D21" s="21" t="s">
        <v>480</v>
      </c>
      <c r="E21" s="22">
        <v>1</v>
      </c>
      <c r="F21" s="18" t="s">
        <v>45</v>
      </c>
      <c r="G21" s="21" t="s">
        <v>481</v>
      </c>
      <c r="H21" s="21" t="s">
        <v>482</v>
      </c>
    </row>
    <row r="22" spans="1:8" ht="165" customHeight="1" x14ac:dyDescent="0.25">
      <c r="A22" s="14" t="s">
        <v>473</v>
      </c>
      <c r="B22" s="14" t="s">
        <v>474</v>
      </c>
      <c r="C22" s="15" t="s">
        <v>483</v>
      </c>
      <c r="D22" s="16" t="s">
        <v>484</v>
      </c>
      <c r="E22" s="17">
        <v>2</v>
      </c>
      <c r="F22" s="18" t="s">
        <v>45</v>
      </c>
      <c r="G22" s="16" t="s">
        <v>485</v>
      </c>
      <c r="H22" s="16" t="s">
        <v>486</v>
      </c>
    </row>
    <row r="23" spans="1:8" ht="75" customHeight="1" x14ac:dyDescent="0.25">
      <c r="A23" s="19" t="s">
        <v>473</v>
      </c>
      <c r="B23" s="19" t="s">
        <v>474</v>
      </c>
      <c r="C23" s="20" t="s">
        <v>487</v>
      </c>
      <c r="D23" s="21" t="s">
        <v>488</v>
      </c>
      <c r="E23" s="17">
        <v>2</v>
      </c>
      <c r="F23" s="18" t="s">
        <v>45</v>
      </c>
      <c r="G23" s="21" t="s">
        <v>489</v>
      </c>
      <c r="H23" s="21" t="s">
        <v>490</v>
      </c>
    </row>
    <row r="24" spans="1:8" ht="30" customHeight="1" x14ac:dyDescent="0.25">
      <c r="A24" s="14" t="s">
        <v>473</v>
      </c>
      <c r="B24" s="14" t="s">
        <v>474</v>
      </c>
      <c r="C24" s="15" t="s">
        <v>491</v>
      </c>
      <c r="D24" s="16" t="s">
        <v>492</v>
      </c>
      <c r="E24" s="23">
        <v>3</v>
      </c>
      <c r="F24" s="18" t="s">
        <v>56</v>
      </c>
      <c r="G24" s="16"/>
      <c r="H24" s="16"/>
    </row>
    <row r="25" spans="1:8" ht="30" customHeight="1" x14ac:dyDescent="0.25">
      <c r="A25" s="19" t="s">
        <v>473</v>
      </c>
      <c r="B25" s="19" t="s">
        <v>474</v>
      </c>
      <c r="C25" s="20" t="s">
        <v>493</v>
      </c>
      <c r="D25" s="21" t="s">
        <v>494</v>
      </c>
      <c r="E25" s="23">
        <v>3</v>
      </c>
      <c r="F25" s="18" t="s">
        <v>56</v>
      </c>
      <c r="G25" s="21"/>
      <c r="H25" s="21"/>
    </row>
    <row r="26" spans="1:8" ht="30" customHeight="1" x14ac:dyDescent="0.25">
      <c r="A26" s="14" t="s">
        <v>473</v>
      </c>
      <c r="B26" s="14" t="s">
        <v>474</v>
      </c>
      <c r="C26" s="15" t="s">
        <v>495</v>
      </c>
      <c r="D26" s="16" t="s">
        <v>496</v>
      </c>
      <c r="E26" s="23">
        <v>3</v>
      </c>
      <c r="F26" s="18" t="s">
        <v>56</v>
      </c>
      <c r="G26" s="16"/>
      <c r="H26" s="16"/>
    </row>
    <row r="27" spans="1:8" ht="30" customHeight="1" x14ac:dyDescent="0.25">
      <c r="A27" s="19" t="s">
        <v>473</v>
      </c>
      <c r="B27" s="19" t="s">
        <v>474</v>
      </c>
      <c r="C27" s="20" t="s">
        <v>497</v>
      </c>
      <c r="D27" s="21" t="s">
        <v>498</v>
      </c>
      <c r="E27" s="23">
        <v>3</v>
      </c>
      <c r="F27" s="18" t="s">
        <v>56</v>
      </c>
      <c r="G27" s="21"/>
      <c r="H27" s="21"/>
    </row>
    <row r="28" spans="1:8" ht="18" customHeight="1" x14ac:dyDescent="0.25">
      <c r="A28" s="13" t="s">
        <v>499</v>
      </c>
      <c r="B28" s="13" t="s">
        <v>500</v>
      </c>
      <c r="C28" s="13"/>
      <c r="D28" s="13"/>
      <c r="E28" s="13"/>
      <c r="F28" s="13"/>
      <c r="G28" s="13"/>
      <c r="H28" s="13"/>
    </row>
    <row r="29" spans="1:8" ht="90" customHeight="1" x14ac:dyDescent="0.25">
      <c r="A29" s="14" t="s">
        <v>499</v>
      </c>
      <c r="B29" s="14" t="s">
        <v>500</v>
      </c>
      <c r="C29" s="15" t="s">
        <v>501</v>
      </c>
      <c r="D29" s="16" t="s">
        <v>502</v>
      </c>
      <c r="E29" s="22">
        <v>1</v>
      </c>
      <c r="F29" s="18" t="s">
        <v>45</v>
      </c>
      <c r="G29" s="16" t="s">
        <v>503</v>
      </c>
      <c r="H29" s="16" t="s">
        <v>504</v>
      </c>
    </row>
    <row r="30" spans="1:8" ht="90" customHeight="1" x14ac:dyDescent="0.25">
      <c r="A30" s="19" t="s">
        <v>499</v>
      </c>
      <c r="B30" s="19" t="s">
        <v>500</v>
      </c>
      <c r="C30" s="20" t="s">
        <v>505</v>
      </c>
      <c r="D30" s="21" t="s">
        <v>506</v>
      </c>
      <c r="E30" s="22">
        <v>1</v>
      </c>
      <c r="F30" s="18" t="s">
        <v>45</v>
      </c>
      <c r="G30" s="21" t="s">
        <v>507</v>
      </c>
      <c r="H30" s="21" t="s">
        <v>508</v>
      </c>
    </row>
    <row r="31" spans="1:8" ht="90" customHeight="1" x14ac:dyDescent="0.25">
      <c r="A31" s="14" t="s">
        <v>499</v>
      </c>
      <c r="B31" s="14" t="s">
        <v>500</v>
      </c>
      <c r="C31" s="15" t="s">
        <v>509</v>
      </c>
      <c r="D31" s="16" t="s">
        <v>510</v>
      </c>
      <c r="E31" s="17">
        <v>2</v>
      </c>
      <c r="F31" s="18" t="s">
        <v>45</v>
      </c>
      <c r="G31" s="16" t="s">
        <v>511</v>
      </c>
      <c r="H31" s="16" t="s">
        <v>512</v>
      </c>
    </row>
    <row r="32" spans="1:8" ht="60" customHeight="1" x14ac:dyDescent="0.25">
      <c r="A32" s="19" t="s">
        <v>499</v>
      </c>
      <c r="B32" s="19" t="s">
        <v>500</v>
      </c>
      <c r="C32" s="20" t="s">
        <v>513</v>
      </c>
      <c r="D32" s="21" t="s">
        <v>514</v>
      </c>
      <c r="E32" s="17">
        <v>2</v>
      </c>
      <c r="F32" s="18" t="s">
        <v>45</v>
      </c>
      <c r="G32" s="21" t="s">
        <v>515</v>
      </c>
      <c r="H32" s="21" t="s">
        <v>516</v>
      </c>
    </row>
    <row r="33" spans="1:8" ht="30" customHeight="1" x14ac:dyDescent="0.25">
      <c r="A33" s="14" t="s">
        <v>499</v>
      </c>
      <c r="B33" s="14" t="s">
        <v>500</v>
      </c>
      <c r="C33" s="15" t="s">
        <v>517</v>
      </c>
      <c r="D33" s="16" t="s">
        <v>518</v>
      </c>
      <c r="E33" s="23">
        <v>3</v>
      </c>
      <c r="F33" s="18" t="s">
        <v>56</v>
      </c>
      <c r="G33" s="16"/>
      <c r="H33" s="16"/>
    </row>
    <row r="34" spans="1:8" ht="30" customHeight="1" x14ac:dyDescent="0.25">
      <c r="A34" s="19" t="s">
        <v>499</v>
      </c>
      <c r="B34" s="19" t="s">
        <v>500</v>
      </c>
      <c r="C34" s="20" t="s">
        <v>519</v>
      </c>
      <c r="D34" s="21" t="s">
        <v>520</v>
      </c>
      <c r="E34" s="23">
        <v>3</v>
      </c>
      <c r="F34" s="18" t="s">
        <v>56</v>
      </c>
      <c r="G34" s="21"/>
      <c r="H34" s="21"/>
    </row>
    <row r="35" spans="1:8" ht="18" customHeight="1" x14ac:dyDescent="0.25">
      <c r="A35" s="13" t="s">
        <v>521</v>
      </c>
      <c r="B35" s="13" t="s">
        <v>522</v>
      </c>
      <c r="C35" s="13"/>
      <c r="D35" s="13"/>
      <c r="E35" s="13"/>
      <c r="F35" s="13"/>
      <c r="G35" s="13"/>
      <c r="H35" s="13"/>
    </row>
    <row r="36" spans="1:8" ht="75" customHeight="1" x14ac:dyDescent="0.25">
      <c r="A36" s="14" t="s">
        <v>521</v>
      </c>
      <c r="B36" s="14" t="s">
        <v>522</v>
      </c>
      <c r="C36" s="15" t="s">
        <v>523</v>
      </c>
      <c r="D36" s="16" t="s">
        <v>524</v>
      </c>
      <c r="E36" s="17">
        <v>2</v>
      </c>
      <c r="F36" s="18" t="s">
        <v>45</v>
      </c>
      <c r="G36" s="16" t="s">
        <v>525</v>
      </c>
      <c r="H36" s="16" t="s">
        <v>526</v>
      </c>
    </row>
    <row r="37" spans="1:8" ht="90" customHeight="1" x14ac:dyDescent="0.25">
      <c r="A37" s="19" t="s">
        <v>521</v>
      </c>
      <c r="B37" s="19" t="s">
        <v>522</v>
      </c>
      <c r="C37" s="20" t="s">
        <v>527</v>
      </c>
      <c r="D37" s="21" t="s">
        <v>528</v>
      </c>
      <c r="E37" s="17">
        <v>2</v>
      </c>
      <c r="F37" s="18" t="s">
        <v>45</v>
      </c>
      <c r="G37" s="21" t="s">
        <v>529</v>
      </c>
      <c r="H37" s="21" t="s">
        <v>530</v>
      </c>
    </row>
    <row r="38" spans="1:8" ht="105" customHeight="1" x14ac:dyDescent="0.25">
      <c r="A38" s="14" t="s">
        <v>521</v>
      </c>
      <c r="B38" s="14" t="s">
        <v>522</v>
      </c>
      <c r="C38" s="15" t="s">
        <v>531</v>
      </c>
      <c r="D38" s="16" t="s">
        <v>532</v>
      </c>
      <c r="E38" s="17">
        <v>2</v>
      </c>
      <c r="F38" s="18" t="s">
        <v>45</v>
      </c>
      <c r="G38" s="16" t="s">
        <v>533</v>
      </c>
      <c r="H38" s="16" t="s">
        <v>534</v>
      </c>
    </row>
    <row r="39" spans="1:8" ht="105" customHeight="1" x14ac:dyDescent="0.25">
      <c r="A39" s="19" t="s">
        <v>521</v>
      </c>
      <c r="B39" s="19" t="s">
        <v>522</v>
      </c>
      <c r="C39" s="20" t="s">
        <v>535</v>
      </c>
      <c r="D39" s="21" t="s">
        <v>536</v>
      </c>
      <c r="E39" s="17">
        <v>2</v>
      </c>
      <c r="F39" s="18" t="s">
        <v>45</v>
      </c>
      <c r="G39" s="21" t="s">
        <v>537</v>
      </c>
      <c r="H39" s="21" t="s">
        <v>538</v>
      </c>
    </row>
    <row r="40" spans="1:8" ht="75" customHeight="1" x14ac:dyDescent="0.25">
      <c r="A40" s="14" t="s">
        <v>521</v>
      </c>
      <c r="B40" s="14" t="s">
        <v>522</v>
      </c>
      <c r="C40" s="15" t="s">
        <v>539</v>
      </c>
      <c r="D40" s="16" t="s">
        <v>540</v>
      </c>
      <c r="E40" s="17">
        <v>2</v>
      </c>
      <c r="F40" s="18" t="s">
        <v>45</v>
      </c>
      <c r="G40" s="16" t="s">
        <v>541</v>
      </c>
      <c r="H40" s="16" t="s">
        <v>542</v>
      </c>
    </row>
    <row r="41" spans="1:8" ht="30" customHeight="1" x14ac:dyDescent="0.25">
      <c r="A41" s="19" t="s">
        <v>521</v>
      </c>
      <c r="B41" s="19" t="s">
        <v>522</v>
      </c>
      <c r="C41" s="20" t="s">
        <v>543</v>
      </c>
      <c r="D41" s="21" t="s">
        <v>544</v>
      </c>
      <c r="E41" s="23">
        <v>3</v>
      </c>
      <c r="F41" s="18" t="s">
        <v>56</v>
      </c>
      <c r="G41" s="21"/>
      <c r="H41" s="21"/>
    </row>
    <row r="42" spans="1:8" ht="30" customHeight="1" x14ac:dyDescent="0.25">
      <c r="A42" s="14" t="s">
        <v>521</v>
      </c>
      <c r="B42" s="14" t="s">
        <v>522</v>
      </c>
      <c r="C42" s="15" t="s">
        <v>545</v>
      </c>
      <c r="D42" s="16" t="s">
        <v>546</v>
      </c>
      <c r="E42" s="23">
        <v>3</v>
      </c>
      <c r="F42" s="18" t="s">
        <v>56</v>
      </c>
      <c r="G42" s="16"/>
      <c r="H42" s="16"/>
    </row>
    <row r="43" spans="1:8" ht="30" customHeight="1" x14ac:dyDescent="0.25">
      <c r="A43" s="19" t="s">
        <v>521</v>
      </c>
      <c r="B43" s="19" t="s">
        <v>522</v>
      </c>
      <c r="C43" s="20" t="s">
        <v>547</v>
      </c>
      <c r="D43" s="21" t="s">
        <v>548</v>
      </c>
      <c r="E43" s="23">
        <v>3</v>
      </c>
      <c r="F43" s="18" t="s">
        <v>56</v>
      </c>
      <c r="G43" s="21"/>
      <c r="H43" s="21"/>
    </row>
    <row r="44" spans="1:8" ht="18" customHeight="1" x14ac:dyDescent="0.25">
      <c r="A44" s="13" t="s">
        <v>549</v>
      </c>
      <c r="B44" s="13" t="s">
        <v>550</v>
      </c>
      <c r="C44" s="13"/>
      <c r="D44" s="13"/>
      <c r="E44" s="13"/>
      <c r="F44" s="13"/>
      <c r="G44" s="13"/>
      <c r="H44" s="13"/>
    </row>
    <row r="45" spans="1:8" ht="30" customHeight="1" x14ac:dyDescent="0.25">
      <c r="A45" s="14" t="s">
        <v>549</v>
      </c>
      <c r="B45" s="14" t="s">
        <v>550</v>
      </c>
      <c r="C45" s="15" t="s">
        <v>551</v>
      </c>
      <c r="D45" s="16" t="s">
        <v>552</v>
      </c>
      <c r="E45" s="17">
        <v>2</v>
      </c>
      <c r="F45" s="18" t="s">
        <v>56</v>
      </c>
      <c r="G45" s="16" t="s">
        <v>553</v>
      </c>
      <c r="H45" s="16"/>
    </row>
    <row r="46" spans="1:8" ht="30" customHeight="1" x14ac:dyDescent="0.25">
      <c r="A46" s="19" t="s">
        <v>549</v>
      </c>
      <c r="B46" s="19" t="s">
        <v>550</v>
      </c>
      <c r="C46" s="20" t="s">
        <v>554</v>
      </c>
      <c r="D46" s="21" t="s">
        <v>555</v>
      </c>
      <c r="E46" s="17">
        <v>2</v>
      </c>
      <c r="F46" s="18" t="s">
        <v>45</v>
      </c>
      <c r="G46" s="21" t="s">
        <v>556</v>
      </c>
      <c r="H46" s="21" t="s">
        <v>557</v>
      </c>
    </row>
    <row r="47" spans="1:8" ht="72" customHeight="1" x14ac:dyDescent="0.25">
      <c r="A47" s="14" t="s">
        <v>549</v>
      </c>
      <c r="B47" s="14" t="s">
        <v>550</v>
      </c>
      <c r="C47" s="15" t="s">
        <v>558</v>
      </c>
      <c r="D47" s="16" t="s">
        <v>559</v>
      </c>
      <c r="E47" s="17">
        <v>2</v>
      </c>
      <c r="F47" s="18" t="s">
        <v>45</v>
      </c>
      <c r="G47" s="16" t="s">
        <v>560</v>
      </c>
      <c r="H47" s="16" t="s">
        <v>561</v>
      </c>
    </row>
    <row r="48" spans="1:8" ht="30" customHeight="1" x14ac:dyDescent="0.25">
      <c r="A48" s="19" t="s">
        <v>549</v>
      </c>
      <c r="B48" s="19" t="s">
        <v>550</v>
      </c>
      <c r="C48" s="20" t="s">
        <v>562</v>
      </c>
      <c r="D48" s="21" t="s">
        <v>563</v>
      </c>
      <c r="E48" s="23">
        <v>3</v>
      </c>
      <c r="F48" s="18" t="s">
        <v>56</v>
      </c>
      <c r="G48" s="21"/>
      <c r="H48" s="21"/>
    </row>
    <row r="49" spans="1:8" ht="18" customHeight="1" x14ac:dyDescent="0.25">
      <c r="A49" s="13" t="s">
        <v>564</v>
      </c>
      <c r="B49" s="13" t="s">
        <v>565</v>
      </c>
      <c r="C49" s="13"/>
      <c r="D49" s="13"/>
      <c r="E49" s="13"/>
      <c r="F49" s="13"/>
      <c r="G49" s="13"/>
      <c r="H49" s="13"/>
    </row>
    <row r="50" spans="1:8" ht="30" customHeight="1" x14ac:dyDescent="0.25">
      <c r="A50" s="14" t="s">
        <v>564</v>
      </c>
      <c r="B50" s="14" t="s">
        <v>565</v>
      </c>
      <c r="C50" s="15" t="s">
        <v>566</v>
      </c>
      <c r="D50" s="16" t="s">
        <v>567</v>
      </c>
      <c r="E50" s="23">
        <v>3</v>
      </c>
      <c r="F50" s="18" t="s">
        <v>56</v>
      </c>
      <c r="G50" s="16"/>
      <c r="H50" s="16"/>
    </row>
    <row r="51" spans="1:8" ht="30" customHeight="1" x14ac:dyDescent="0.25">
      <c r="A51" s="19" t="s">
        <v>564</v>
      </c>
      <c r="B51" s="19" t="s">
        <v>565</v>
      </c>
      <c r="C51" s="20" t="s">
        <v>568</v>
      </c>
      <c r="D51" s="21" t="s">
        <v>569</v>
      </c>
      <c r="E51" s="23">
        <v>3</v>
      </c>
      <c r="F51" s="18" t="s">
        <v>56</v>
      </c>
      <c r="G51" s="21"/>
      <c r="H51" s="21"/>
    </row>
    <row r="52" spans="1:8" ht="18" customHeight="1" x14ac:dyDescent="0.25">
      <c r="A52" s="13" t="s">
        <v>570</v>
      </c>
      <c r="B52" s="13" t="s">
        <v>571</v>
      </c>
      <c r="C52" s="13"/>
      <c r="D52" s="13"/>
      <c r="E52" s="13"/>
      <c r="F52" s="13"/>
      <c r="G52" s="13"/>
      <c r="H52" s="13"/>
    </row>
    <row r="53" spans="1:8" ht="90" customHeight="1" x14ac:dyDescent="0.25">
      <c r="A53" s="14" t="s">
        <v>570</v>
      </c>
      <c r="B53" s="14" t="s">
        <v>571</v>
      </c>
      <c r="C53" s="15" t="s">
        <v>572</v>
      </c>
      <c r="D53" s="16" t="s">
        <v>573</v>
      </c>
      <c r="E53" s="17">
        <v>2</v>
      </c>
      <c r="F53" s="18" t="s">
        <v>56</v>
      </c>
      <c r="G53" s="16" t="s">
        <v>574</v>
      </c>
      <c r="H53" s="16"/>
    </row>
    <row r="54" spans="1:8" ht="90" customHeight="1" x14ac:dyDescent="0.25">
      <c r="A54" s="19" t="s">
        <v>570</v>
      </c>
      <c r="B54" s="19" t="s">
        <v>571</v>
      </c>
      <c r="C54" s="20" t="s">
        <v>575</v>
      </c>
      <c r="D54" s="21" t="s">
        <v>576</v>
      </c>
      <c r="E54" s="17">
        <v>2</v>
      </c>
      <c r="F54" s="18" t="s">
        <v>45</v>
      </c>
      <c r="G54" s="21" t="s">
        <v>577</v>
      </c>
      <c r="H54" s="21" t="s">
        <v>578</v>
      </c>
    </row>
    <row r="55" spans="1:8" ht="75" customHeight="1" x14ac:dyDescent="0.25">
      <c r="A55" s="14" t="s">
        <v>570</v>
      </c>
      <c r="B55" s="14" t="s">
        <v>571</v>
      </c>
      <c r="C55" s="15" t="s">
        <v>579</v>
      </c>
      <c r="D55" s="16" t="s">
        <v>580</v>
      </c>
      <c r="E55" s="17">
        <v>2</v>
      </c>
      <c r="F55" s="18" t="s">
        <v>45</v>
      </c>
      <c r="G55" s="16" t="s">
        <v>581</v>
      </c>
      <c r="H55" s="16" t="s">
        <v>582</v>
      </c>
    </row>
    <row r="56" spans="1:8" ht="150" customHeight="1" x14ac:dyDescent="0.25">
      <c r="A56" s="19" t="s">
        <v>570</v>
      </c>
      <c r="B56" s="19" t="s">
        <v>571</v>
      </c>
      <c r="C56" s="20" t="s">
        <v>583</v>
      </c>
      <c r="D56" s="21" t="s">
        <v>584</v>
      </c>
      <c r="E56" s="17">
        <v>2</v>
      </c>
      <c r="F56" s="18" t="s">
        <v>56</v>
      </c>
      <c r="G56" s="21" t="s">
        <v>585</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14" activePane="bottomLeft" state="frozen"/>
      <selection pane="bottomLeft" activeCell="P26" sqref="P2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586</v>
      </c>
      <c r="B2" s="13" t="s">
        <v>587</v>
      </c>
      <c r="C2" s="13"/>
      <c r="D2" s="13"/>
      <c r="E2" s="13"/>
      <c r="F2" s="13"/>
      <c r="G2" s="13"/>
      <c r="H2" s="13"/>
    </row>
    <row r="3" spans="1:8" ht="30" customHeight="1" x14ac:dyDescent="0.25">
      <c r="A3" s="14" t="s">
        <v>586</v>
      </c>
      <c r="B3" s="14" t="s">
        <v>587</v>
      </c>
      <c r="C3" s="15" t="s">
        <v>588</v>
      </c>
      <c r="D3" s="16" t="s">
        <v>589</v>
      </c>
      <c r="E3" s="17">
        <v>2</v>
      </c>
      <c r="F3" s="18" t="s">
        <v>45</v>
      </c>
      <c r="G3" s="16" t="s">
        <v>590</v>
      </c>
      <c r="H3" s="16" t="s">
        <v>591</v>
      </c>
    </row>
    <row r="4" spans="1:8" ht="30" customHeight="1" x14ac:dyDescent="0.25">
      <c r="A4" s="19" t="s">
        <v>586</v>
      </c>
      <c r="B4" s="19" t="s">
        <v>587</v>
      </c>
      <c r="C4" s="20" t="s">
        <v>592</v>
      </c>
      <c r="D4" s="21" t="s">
        <v>593</v>
      </c>
      <c r="E4" s="17">
        <v>2</v>
      </c>
      <c r="F4" s="18" t="s">
        <v>45</v>
      </c>
      <c r="G4" s="21" t="s">
        <v>594</v>
      </c>
      <c r="H4" s="21" t="s">
        <v>591</v>
      </c>
    </row>
    <row r="5" spans="1:8" ht="30" customHeight="1" x14ac:dyDescent="0.25">
      <c r="A5" s="14" t="s">
        <v>586</v>
      </c>
      <c r="B5" s="14" t="s">
        <v>587</v>
      </c>
      <c r="C5" s="15" t="s">
        <v>595</v>
      </c>
      <c r="D5" s="16" t="s">
        <v>596</v>
      </c>
      <c r="E5" s="17">
        <v>2</v>
      </c>
      <c r="F5" s="18" t="s">
        <v>45</v>
      </c>
      <c r="G5" s="16" t="s">
        <v>597</v>
      </c>
      <c r="H5" s="16" t="s">
        <v>598</v>
      </c>
    </row>
    <row r="6" spans="1:8" ht="18" customHeight="1" x14ac:dyDescent="0.25">
      <c r="A6" s="13" t="s">
        <v>599</v>
      </c>
      <c r="B6" s="13" t="s">
        <v>600</v>
      </c>
      <c r="C6" s="13"/>
      <c r="D6" s="13"/>
      <c r="E6" s="13"/>
      <c r="F6" s="13"/>
      <c r="G6" s="13"/>
      <c r="H6" s="13"/>
    </row>
    <row r="7" spans="1:8" ht="90" customHeight="1" x14ac:dyDescent="0.25">
      <c r="A7" s="14" t="s">
        <v>599</v>
      </c>
      <c r="B7" s="14" t="s">
        <v>600</v>
      </c>
      <c r="C7" s="15" t="s">
        <v>601</v>
      </c>
      <c r="D7" s="16" t="s">
        <v>602</v>
      </c>
      <c r="E7" s="22">
        <v>1</v>
      </c>
      <c r="F7" s="18" t="s">
        <v>45</v>
      </c>
      <c r="G7" s="16" t="s">
        <v>603</v>
      </c>
      <c r="H7" s="16" t="s">
        <v>604</v>
      </c>
    </row>
    <row r="8" spans="1:8" ht="120" customHeight="1" x14ac:dyDescent="0.25">
      <c r="A8" s="19" t="s">
        <v>599</v>
      </c>
      <c r="B8" s="19" t="s">
        <v>600</v>
      </c>
      <c r="C8" s="20" t="s">
        <v>605</v>
      </c>
      <c r="D8" s="21" t="s">
        <v>606</v>
      </c>
      <c r="E8" s="22">
        <v>1</v>
      </c>
      <c r="F8" s="18" t="s">
        <v>45</v>
      </c>
      <c r="G8" s="21" t="s">
        <v>607</v>
      </c>
      <c r="H8" s="21" t="s">
        <v>608</v>
      </c>
    </row>
    <row r="9" spans="1:8" ht="30" customHeight="1" x14ac:dyDescent="0.25">
      <c r="A9" s="14" t="s">
        <v>599</v>
      </c>
      <c r="B9" s="14" t="s">
        <v>600</v>
      </c>
      <c r="C9" s="15" t="s">
        <v>609</v>
      </c>
      <c r="D9" s="16" t="s">
        <v>610</v>
      </c>
      <c r="E9" s="22">
        <v>1</v>
      </c>
      <c r="F9" s="18" t="s">
        <v>56</v>
      </c>
      <c r="G9" s="16"/>
      <c r="H9" s="16"/>
    </row>
    <row r="10" spans="1:8" ht="105" customHeight="1" x14ac:dyDescent="0.25">
      <c r="A10" s="19" t="s">
        <v>599</v>
      </c>
      <c r="B10" s="19" t="s">
        <v>600</v>
      </c>
      <c r="C10" s="20" t="s">
        <v>611</v>
      </c>
      <c r="D10" s="21" t="s">
        <v>612</v>
      </c>
      <c r="E10" s="22">
        <v>1</v>
      </c>
      <c r="F10" s="18" t="s">
        <v>45</v>
      </c>
      <c r="G10" s="21" t="s">
        <v>613</v>
      </c>
      <c r="H10" s="21" t="s">
        <v>614</v>
      </c>
    </row>
    <row r="11" spans="1:8" ht="18" customHeight="1" x14ac:dyDescent="0.25">
      <c r="A11" s="13" t="s">
        <v>615</v>
      </c>
      <c r="B11" s="13" t="s">
        <v>616</v>
      </c>
      <c r="C11" s="13"/>
      <c r="D11" s="13"/>
      <c r="E11" s="13"/>
      <c r="F11" s="13"/>
      <c r="G11" s="13"/>
      <c r="H11" s="13"/>
    </row>
    <row r="12" spans="1:8" ht="30" customHeight="1" x14ac:dyDescent="0.25">
      <c r="A12" s="14" t="s">
        <v>615</v>
      </c>
      <c r="B12" s="14" t="s">
        <v>616</v>
      </c>
      <c r="C12" s="15" t="s">
        <v>617</v>
      </c>
      <c r="D12" s="16" t="s">
        <v>618</v>
      </c>
      <c r="E12" s="17">
        <v>2</v>
      </c>
      <c r="F12" s="18" t="s">
        <v>45</v>
      </c>
      <c r="G12" s="16" t="s">
        <v>619</v>
      </c>
      <c r="H12" s="16" t="s">
        <v>614</v>
      </c>
    </row>
    <row r="13" spans="1:8" ht="30" customHeight="1" x14ac:dyDescent="0.25">
      <c r="A13" s="19" t="s">
        <v>615</v>
      </c>
      <c r="B13" s="19" t="s">
        <v>616</v>
      </c>
      <c r="C13" s="20" t="s">
        <v>620</v>
      </c>
      <c r="D13" s="21" t="s">
        <v>621</v>
      </c>
      <c r="E13" s="17">
        <v>2</v>
      </c>
      <c r="F13" s="18" t="s">
        <v>45</v>
      </c>
      <c r="G13" s="21" t="s">
        <v>622</v>
      </c>
      <c r="H13" s="21" t="s">
        <v>614</v>
      </c>
    </row>
    <row r="14" spans="1:8" ht="18" customHeight="1" x14ac:dyDescent="0.25">
      <c r="A14" s="13" t="s">
        <v>623</v>
      </c>
      <c r="B14" s="13" t="s">
        <v>624</v>
      </c>
      <c r="C14" s="13"/>
      <c r="D14" s="13"/>
      <c r="E14" s="13"/>
      <c r="F14" s="13"/>
      <c r="G14" s="13"/>
      <c r="H14" s="13"/>
    </row>
    <row r="15" spans="1:8" ht="120" customHeight="1" x14ac:dyDescent="0.25">
      <c r="A15" s="14" t="s">
        <v>623</v>
      </c>
      <c r="B15" s="14" t="s">
        <v>624</v>
      </c>
      <c r="C15" s="15" t="s">
        <v>625</v>
      </c>
      <c r="D15" s="16" t="s">
        <v>626</v>
      </c>
      <c r="E15" s="22">
        <v>1</v>
      </c>
      <c r="F15" s="18" t="s">
        <v>45</v>
      </c>
      <c r="G15" s="16" t="s">
        <v>627</v>
      </c>
      <c r="H15" s="16" t="s">
        <v>628</v>
      </c>
    </row>
    <row r="16" spans="1:8" ht="30" customHeight="1" x14ac:dyDescent="0.25">
      <c r="A16" s="19" t="s">
        <v>623</v>
      </c>
      <c r="B16" s="19" t="s">
        <v>624</v>
      </c>
      <c r="C16" s="20" t="s">
        <v>629</v>
      </c>
      <c r="D16" s="21" t="s">
        <v>630</v>
      </c>
      <c r="E16" s="22">
        <v>1</v>
      </c>
      <c r="F16" s="18" t="s">
        <v>45</v>
      </c>
      <c r="G16" s="21" t="s">
        <v>631</v>
      </c>
      <c r="H16" s="21"/>
    </row>
    <row r="17" spans="1:8" ht="30" customHeight="1" x14ac:dyDescent="0.25">
      <c r="A17" s="14" t="s">
        <v>623</v>
      </c>
      <c r="B17" s="14" t="s">
        <v>624</v>
      </c>
      <c r="C17" s="15" t="s">
        <v>632</v>
      </c>
      <c r="D17" s="16" t="s">
        <v>633</v>
      </c>
      <c r="E17" s="17">
        <v>2</v>
      </c>
      <c r="F17" s="18" t="s">
        <v>56</v>
      </c>
      <c r="G17" s="16" t="s">
        <v>634</v>
      </c>
      <c r="H17" s="16"/>
    </row>
    <row r="18" spans="1:8" ht="30" customHeight="1" x14ac:dyDescent="0.25">
      <c r="A18" s="19" t="s">
        <v>623</v>
      </c>
      <c r="B18" s="19" t="s">
        <v>624</v>
      </c>
      <c r="C18" s="20" t="s">
        <v>635</v>
      </c>
      <c r="D18" s="21" t="s">
        <v>636</v>
      </c>
      <c r="E18" s="17">
        <v>2</v>
      </c>
      <c r="F18" s="18" t="s">
        <v>56</v>
      </c>
      <c r="G18" s="21"/>
      <c r="H18" s="21"/>
    </row>
    <row r="19" spans="1:8" ht="30" customHeight="1" x14ac:dyDescent="0.25">
      <c r="A19" s="14" t="s">
        <v>623</v>
      </c>
      <c r="B19" s="14" t="s">
        <v>624</v>
      </c>
      <c r="C19" s="15" t="s">
        <v>637</v>
      </c>
      <c r="D19" s="16" t="s">
        <v>638</v>
      </c>
      <c r="E19" s="17">
        <v>2</v>
      </c>
      <c r="F19" s="18" t="s">
        <v>45</v>
      </c>
      <c r="G19" s="16" t="s">
        <v>639</v>
      </c>
      <c r="H19" s="16"/>
    </row>
    <row r="20" spans="1:8" ht="18" customHeight="1" x14ac:dyDescent="0.25">
      <c r="A20" s="13" t="s">
        <v>640</v>
      </c>
      <c r="B20" s="13" t="s">
        <v>641</v>
      </c>
      <c r="C20" s="13"/>
      <c r="D20" s="13"/>
      <c r="E20" s="13"/>
      <c r="F20" s="13"/>
      <c r="G20" s="13"/>
      <c r="H20" s="13"/>
    </row>
    <row r="21" spans="1:8" ht="30" customHeight="1" x14ac:dyDescent="0.25">
      <c r="A21" s="14" t="s">
        <v>640</v>
      </c>
      <c r="B21" s="14" t="s">
        <v>641</v>
      </c>
      <c r="C21" s="15" t="s">
        <v>642</v>
      </c>
      <c r="D21" s="16" t="s">
        <v>643</v>
      </c>
      <c r="E21" s="17">
        <v>2</v>
      </c>
      <c r="F21" s="18" t="s">
        <v>45</v>
      </c>
      <c r="G21" s="16" t="s">
        <v>644</v>
      </c>
      <c r="H21" s="16" t="s">
        <v>604</v>
      </c>
    </row>
    <row r="22" spans="1:8" ht="30" customHeight="1" x14ac:dyDescent="0.25">
      <c r="A22" s="19" t="s">
        <v>640</v>
      </c>
      <c r="B22" s="19" t="s">
        <v>641</v>
      </c>
      <c r="C22" s="20" t="s">
        <v>645</v>
      </c>
      <c r="D22" s="21" t="s">
        <v>646</v>
      </c>
      <c r="E22" s="17">
        <v>2</v>
      </c>
      <c r="F22" s="18" t="s">
        <v>45</v>
      </c>
      <c r="G22" s="21" t="s">
        <v>647</v>
      </c>
      <c r="H22" s="21" t="s">
        <v>648</v>
      </c>
    </row>
    <row r="23" spans="1:8" ht="30" customHeight="1" x14ac:dyDescent="0.25">
      <c r="A23" s="14" t="s">
        <v>640</v>
      </c>
      <c r="B23" s="14" t="s">
        <v>641</v>
      </c>
      <c r="C23" s="15" t="s">
        <v>649</v>
      </c>
      <c r="D23" s="16" t="s">
        <v>650</v>
      </c>
      <c r="E23" s="23">
        <v>3</v>
      </c>
      <c r="F23" s="18" t="s">
        <v>56</v>
      </c>
      <c r="G23" s="16"/>
      <c r="H23" s="16"/>
    </row>
    <row r="24" spans="1:8" ht="18" customHeight="1" x14ac:dyDescent="0.25">
      <c r="A24" s="13" t="s">
        <v>651</v>
      </c>
      <c r="B24" s="13" t="s">
        <v>652</v>
      </c>
      <c r="C24" s="13"/>
      <c r="D24" s="13"/>
      <c r="E24" s="13"/>
      <c r="F24" s="13"/>
      <c r="G24" s="13"/>
      <c r="H24" s="13"/>
    </row>
    <row r="25" spans="1:8" ht="30" customHeight="1" x14ac:dyDescent="0.25">
      <c r="A25" s="14" t="s">
        <v>651</v>
      </c>
      <c r="B25" s="14" t="s">
        <v>652</v>
      </c>
      <c r="C25" s="15" t="s">
        <v>653</v>
      </c>
      <c r="D25" s="16" t="s">
        <v>654</v>
      </c>
      <c r="E25" s="17">
        <v>2</v>
      </c>
      <c r="F25" s="18" t="s">
        <v>45</v>
      </c>
      <c r="G25" s="16" t="s">
        <v>655</v>
      </c>
      <c r="H25" s="16" t="s">
        <v>614</v>
      </c>
    </row>
    <row r="26" spans="1:8" ht="105" customHeight="1" x14ac:dyDescent="0.25">
      <c r="A26" s="19" t="s">
        <v>651</v>
      </c>
      <c r="B26" s="19" t="s">
        <v>652</v>
      </c>
      <c r="C26" s="20" t="s">
        <v>656</v>
      </c>
      <c r="D26" s="21" t="s">
        <v>657</v>
      </c>
      <c r="E26" s="17">
        <v>2</v>
      </c>
      <c r="F26" s="18" t="s">
        <v>45</v>
      </c>
      <c r="G26" s="21" t="s">
        <v>658</v>
      </c>
      <c r="H26" s="21" t="s">
        <v>628</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13" sqref="G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659</v>
      </c>
      <c r="B2" s="13" t="s">
        <v>660</v>
      </c>
      <c r="C2" s="13"/>
      <c r="D2" s="13"/>
      <c r="E2" s="13"/>
      <c r="F2" s="13"/>
      <c r="G2" s="13"/>
      <c r="H2" s="13"/>
    </row>
    <row r="3" spans="1:8" ht="30" customHeight="1" x14ac:dyDescent="0.25">
      <c r="A3" s="14" t="s">
        <v>659</v>
      </c>
      <c r="B3" s="14" t="s">
        <v>660</v>
      </c>
      <c r="C3" s="15" t="s">
        <v>661</v>
      </c>
      <c r="D3" s="16" t="s">
        <v>662</v>
      </c>
      <c r="E3" s="22">
        <v>1</v>
      </c>
      <c r="F3" s="18" t="s">
        <v>45</v>
      </c>
      <c r="G3" s="16" t="s">
        <v>663</v>
      </c>
      <c r="H3" s="16" t="s">
        <v>664</v>
      </c>
    </row>
    <row r="4" spans="1:8" ht="30" customHeight="1" x14ac:dyDescent="0.25">
      <c r="A4" s="19" t="s">
        <v>659</v>
      </c>
      <c r="B4" s="19" t="s">
        <v>660</v>
      </c>
      <c r="C4" s="20" t="s">
        <v>665</v>
      </c>
      <c r="D4" s="21" t="s">
        <v>666</v>
      </c>
      <c r="E4" s="17">
        <v>2</v>
      </c>
      <c r="F4" s="18" t="s">
        <v>45</v>
      </c>
      <c r="G4" s="21" t="s">
        <v>667</v>
      </c>
      <c r="H4" s="21" t="s">
        <v>668</v>
      </c>
    </row>
    <row r="5" spans="1:8" ht="30" customHeight="1" x14ac:dyDescent="0.25">
      <c r="A5" s="14" t="s">
        <v>659</v>
      </c>
      <c r="B5" s="14" t="s">
        <v>660</v>
      </c>
      <c r="C5" s="15" t="s">
        <v>669</v>
      </c>
      <c r="D5" s="16" t="s">
        <v>670</v>
      </c>
      <c r="E5" s="23">
        <v>3</v>
      </c>
      <c r="F5" s="18" t="s">
        <v>56</v>
      </c>
      <c r="G5" s="16" t="s">
        <v>671</v>
      </c>
      <c r="H5" s="16"/>
    </row>
    <row r="6" spans="1:8" ht="90" customHeight="1" x14ac:dyDescent="0.25">
      <c r="A6" s="19" t="s">
        <v>659</v>
      </c>
      <c r="B6" s="19" t="s">
        <v>660</v>
      </c>
      <c r="C6" s="20" t="s">
        <v>672</v>
      </c>
      <c r="D6" s="21" t="s">
        <v>673</v>
      </c>
      <c r="E6" s="23">
        <v>3</v>
      </c>
      <c r="F6" s="18" t="s">
        <v>56</v>
      </c>
      <c r="G6" s="21" t="s">
        <v>674</v>
      </c>
      <c r="H6" s="21"/>
    </row>
    <row r="7" spans="1:8" ht="18" customHeight="1" x14ac:dyDescent="0.25">
      <c r="A7" s="13" t="s">
        <v>675</v>
      </c>
      <c r="B7" s="13" t="s">
        <v>676</v>
      </c>
      <c r="C7" s="13"/>
      <c r="D7" s="13"/>
      <c r="E7" s="13"/>
      <c r="F7" s="13"/>
      <c r="G7" s="13"/>
      <c r="H7" s="13"/>
    </row>
    <row r="8" spans="1:8" ht="30" customHeight="1" x14ac:dyDescent="0.25">
      <c r="A8" s="14" t="s">
        <v>675</v>
      </c>
      <c r="B8" s="14" t="s">
        <v>676</v>
      </c>
      <c r="C8" s="15" t="s">
        <v>677</v>
      </c>
      <c r="D8" s="16" t="s">
        <v>678</v>
      </c>
      <c r="E8" s="22">
        <v>1</v>
      </c>
      <c r="F8" s="18" t="s">
        <v>45</v>
      </c>
      <c r="G8" s="16" t="s">
        <v>679</v>
      </c>
      <c r="H8" s="16" t="s">
        <v>680</v>
      </c>
    </row>
    <row r="9" spans="1:8" ht="30" customHeight="1" x14ac:dyDescent="0.25">
      <c r="A9" s="19" t="s">
        <v>675</v>
      </c>
      <c r="B9" s="19" t="s">
        <v>676</v>
      </c>
      <c r="C9" s="20" t="s">
        <v>681</v>
      </c>
      <c r="D9" s="21" t="s">
        <v>682</v>
      </c>
      <c r="E9" s="22">
        <v>1</v>
      </c>
      <c r="F9" s="18" t="s">
        <v>45</v>
      </c>
      <c r="G9" s="21" t="s">
        <v>683</v>
      </c>
      <c r="H9" s="21" t="s">
        <v>684</v>
      </c>
    </row>
    <row r="10" spans="1:8" ht="30" customHeight="1" x14ac:dyDescent="0.25">
      <c r="A10" s="14" t="s">
        <v>675</v>
      </c>
      <c r="B10" s="14" t="s">
        <v>676</v>
      </c>
      <c r="C10" s="15" t="s">
        <v>685</v>
      </c>
      <c r="D10" s="16" t="s">
        <v>686</v>
      </c>
      <c r="E10" s="17">
        <v>2</v>
      </c>
      <c r="F10" s="18" t="s">
        <v>45</v>
      </c>
      <c r="G10" s="16" t="s">
        <v>687</v>
      </c>
      <c r="H10" s="16" t="s">
        <v>688</v>
      </c>
    </row>
    <row r="11" spans="1:8" ht="105" customHeight="1" x14ac:dyDescent="0.25">
      <c r="A11" s="19" t="s">
        <v>675</v>
      </c>
      <c r="B11" s="19" t="s">
        <v>676</v>
      </c>
      <c r="C11" s="20" t="s">
        <v>689</v>
      </c>
      <c r="D11" s="21" t="s">
        <v>690</v>
      </c>
      <c r="E11" s="23">
        <v>3</v>
      </c>
      <c r="F11" s="18" t="s">
        <v>56</v>
      </c>
      <c r="G11" s="21" t="s">
        <v>691</v>
      </c>
      <c r="H11" s="21"/>
    </row>
    <row r="12" spans="1:8" ht="18" customHeight="1" x14ac:dyDescent="0.25">
      <c r="A12" s="13" t="s">
        <v>692</v>
      </c>
      <c r="B12" s="13" t="s">
        <v>693</v>
      </c>
      <c r="C12" s="13"/>
      <c r="D12" s="13"/>
      <c r="E12" s="13"/>
      <c r="F12" s="13"/>
      <c r="G12" s="13"/>
      <c r="H12" s="13"/>
    </row>
    <row r="13" spans="1:8" ht="60" customHeight="1" x14ac:dyDescent="0.25">
      <c r="A13" s="14" t="s">
        <v>692</v>
      </c>
      <c r="B13" s="14" t="s">
        <v>693</v>
      </c>
      <c r="C13" s="15" t="s">
        <v>694</v>
      </c>
      <c r="D13" s="16" t="s">
        <v>695</v>
      </c>
      <c r="E13" s="22">
        <v>1</v>
      </c>
      <c r="F13" s="18" t="s">
        <v>45</v>
      </c>
      <c r="G13" s="16" t="s">
        <v>696</v>
      </c>
      <c r="H13" s="16"/>
    </row>
    <row r="14" spans="1:8" ht="30" customHeight="1" x14ac:dyDescent="0.25">
      <c r="A14" s="19" t="s">
        <v>692</v>
      </c>
      <c r="B14" s="19" t="s">
        <v>693</v>
      </c>
      <c r="C14" s="20" t="s">
        <v>697</v>
      </c>
      <c r="D14" s="21" t="s">
        <v>698</v>
      </c>
      <c r="E14" s="23">
        <v>3</v>
      </c>
      <c r="F14" s="18" t="s">
        <v>56</v>
      </c>
      <c r="G14" s="21"/>
      <c r="H14" s="21"/>
    </row>
    <row r="15" spans="1:8" ht="30" customHeight="1" x14ac:dyDescent="0.25">
      <c r="A15" s="14" t="s">
        <v>692</v>
      </c>
      <c r="B15" s="14" t="s">
        <v>693</v>
      </c>
      <c r="C15" s="15" t="s">
        <v>699</v>
      </c>
      <c r="D15" s="16" t="s">
        <v>700</v>
      </c>
      <c r="E15" s="23">
        <v>3</v>
      </c>
      <c r="F15" s="18" t="s">
        <v>56</v>
      </c>
      <c r="G15" s="16" t="s">
        <v>701</v>
      </c>
      <c r="H15" s="16"/>
    </row>
    <row r="16" spans="1:8" ht="18" customHeight="1" x14ac:dyDescent="0.25">
      <c r="A16" s="13" t="s">
        <v>702</v>
      </c>
      <c r="B16" s="13" t="s">
        <v>703</v>
      </c>
      <c r="C16" s="13"/>
      <c r="D16" s="13"/>
      <c r="E16" s="13"/>
      <c r="F16" s="13"/>
      <c r="G16" s="13"/>
      <c r="H16" s="13"/>
    </row>
    <row r="17" spans="1:8" ht="30" customHeight="1" x14ac:dyDescent="0.25">
      <c r="A17" s="14" t="s">
        <v>702</v>
      </c>
      <c r="B17" s="14" t="s">
        <v>703</v>
      </c>
      <c r="C17" s="15" t="s">
        <v>704</v>
      </c>
      <c r="D17" s="16" t="s">
        <v>705</v>
      </c>
      <c r="E17" s="17">
        <v>2</v>
      </c>
      <c r="F17" s="18" t="s">
        <v>56</v>
      </c>
      <c r="G17" s="16" t="s">
        <v>706</v>
      </c>
      <c r="H17" s="16"/>
    </row>
    <row r="18" spans="1:8" ht="30" customHeight="1" x14ac:dyDescent="0.25">
      <c r="A18" s="19" t="s">
        <v>702</v>
      </c>
      <c r="B18" s="19" t="s">
        <v>703</v>
      </c>
      <c r="C18" s="20" t="s">
        <v>707</v>
      </c>
      <c r="D18" s="21" t="s">
        <v>708</v>
      </c>
      <c r="E18" s="23">
        <v>3</v>
      </c>
      <c r="F18" s="18" t="s">
        <v>56</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709</v>
      </c>
      <c r="B2" s="13" t="s">
        <v>710</v>
      </c>
      <c r="C2" s="13"/>
      <c r="D2" s="13"/>
      <c r="E2" s="13"/>
      <c r="F2" s="13"/>
      <c r="G2" s="13"/>
      <c r="H2" s="13"/>
    </row>
    <row r="3" spans="1:8" ht="90" customHeight="1" x14ac:dyDescent="0.25">
      <c r="A3" s="14" t="s">
        <v>709</v>
      </c>
      <c r="B3" s="14" t="s">
        <v>710</v>
      </c>
      <c r="C3" s="15" t="s">
        <v>711</v>
      </c>
      <c r="D3" s="16" t="s">
        <v>712</v>
      </c>
      <c r="E3" s="22">
        <v>1</v>
      </c>
      <c r="F3" s="18" t="s">
        <v>45</v>
      </c>
      <c r="G3" s="16" t="s">
        <v>713</v>
      </c>
      <c r="H3" s="16" t="s">
        <v>714</v>
      </c>
    </row>
    <row r="4" spans="1:8" ht="105" customHeight="1" x14ac:dyDescent="0.25">
      <c r="A4" s="19" t="s">
        <v>709</v>
      </c>
      <c r="B4" s="19" t="s">
        <v>710</v>
      </c>
      <c r="C4" s="20" t="s">
        <v>715</v>
      </c>
      <c r="D4" s="21" t="s">
        <v>716</v>
      </c>
      <c r="E4" s="22">
        <v>1</v>
      </c>
      <c r="F4" s="18" t="s">
        <v>45</v>
      </c>
      <c r="G4" s="21" t="s">
        <v>717</v>
      </c>
      <c r="H4" s="21" t="s">
        <v>718</v>
      </c>
    </row>
    <row r="5" spans="1:8" ht="105" customHeight="1" x14ac:dyDescent="0.25">
      <c r="A5" s="14" t="s">
        <v>709</v>
      </c>
      <c r="B5" s="14" t="s">
        <v>710</v>
      </c>
      <c r="C5" s="15" t="s">
        <v>719</v>
      </c>
      <c r="D5" s="16" t="s">
        <v>720</v>
      </c>
      <c r="E5" s="22">
        <v>1</v>
      </c>
      <c r="F5" s="18" t="s">
        <v>45</v>
      </c>
      <c r="G5" s="16" t="s">
        <v>721</v>
      </c>
      <c r="H5" s="16" t="s">
        <v>722</v>
      </c>
    </row>
    <row r="6" spans="1:8" ht="18" customHeight="1" x14ac:dyDescent="0.25">
      <c r="A6" s="13" t="s">
        <v>723</v>
      </c>
      <c r="B6" s="13" t="s">
        <v>724</v>
      </c>
      <c r="C6" s="13"/>
      <c r="D6" s="13"/>
      <c r="E6" s="13"/>
      <c r="F6" s="13"/>
      <c r="G6" s="13"/>
      <c r="H6" s="13"/>
    </row>
    <row r="7" spans="1:8" ht="75" customHeight="1" x14ac:dyDescent="0.25">
      <c r="A7" s="14" t="s">
        <v>723</v>
      </c>
      <c r="B7" s="14" t="s">
        <v>724</v>
      </c>
      <c r="C7" s="15" t="s">
        <v>725</v>
      </c>
      <c r="D7" s="16" t="s">
        <v>726</v>
      </c>
      <c r="E7" s="22">
        <v>1</v>
      </c>
      <c r="F7" s="18" t="s">
        <v>45</v>
      </c>
      <c r="G7" s="16" t="s">
        <v>727</v>
      </c>
      <c r="H7" s="16" t="s">
        <v>728</v>
      </c>
    </row>
    <row r="8" spans="1:8" ht="75" customHeight="1" x14ac:dyDescent="0.25">
      <c r="A8" s="19" t="s">
        <v>723</v>
      </c>
      <c r="B8" s="19" t="s">
        <v>724</v>
      </c>
      <c r="C8" s="20" t="s">
        <v>729</v>
      </c>
      <c r="D8" s="21" t="s">
        <v>730</v>
      </c>
      <c r="E8" s="17">
        <v>2</v>
      </c>
      <c r="F8" s="18" t="s">
        <v>45</v>
      </c>
      <c r="G8" s="21" t="s">
        <v>731</v>
      </c>
      <c r="H8" s="21" t="s">
        <v>732</v>
      </c>
    </row>
    <row r="9" spans="1:8" ht="75" customHeight="1" x14ac:dyDescent="0.25">
      <c r="A9" s="14" t="s">
        <v>723</v>
      </c>
      <c r="B9" s="14" t="s">
        <v>724</v>
      </c>
      <c r="C9" s="15" t="s">
        <v>733</v>
      </c>
      <c r="D9" s="16" t="s">
        <v>734</v>
      </c>
      <c r="E9" s="17">
        <v>2</v>
      </c>
      <c r="F9" s="18" t="s">
        <v>45</v>
      </c>
      <c r="G9" s="16" t="s">
        <v>735</v>
      </c>
      <c r="H9" s="16" t="s">
        <v>736</v>
      </c>
    </row>
    <row r="10" spans="1:8" ht="120" customHeight="1" x14ac:dyDescent="0.25">
      <c r="A10" s="19" t="s">
        <v>723</v>
      </c>
      <c r="B10" s="19" t="s">
        <v>724</v>
      </c>
      <c r="C10" s="20" t="s">
        <v>737</v>
      </c>
      <c r="D10" s="21" t="s">
        <v>738</v>
      </c>
      <c r="E10" s="17">
        <v>2</v>
      </c>
      <c r="F10" s="18" t="s">
        <v>45</v>
      </c>
      <c r="G10" s="21" t="s">
        <v>739</v>
      </c>
      <c r="H10" s="21" t="s">
        <v>740</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31" activePane="bottomLeft" state="frozen"/>
      <selection pane="bottomLeft" activeCell="F12" sqref="F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741</v>
      </c>
      <c r="B2" s="13" t="s">
        <v>742</v>
      </c>
      <c r="C2" s="13"/>
      <c r="D2" s="13"/>
      <c r="E2" s="13"/>
      <c r="F2" s="13"/>
      <c r="G2" s="13"/>
      <c r="H2" s="13"/>
    </row>
    <row r="3" spans="1:8" ht="75" customHeight="1" x14ac:dyDescent="0.25">
      <c r="A3" s="14" t="s">
        <v>741</v>
      </c>
      <c r="B3" s="14" t="s">
        <v>742</v>
      </c>
      <c r="C3" s="15" t="s">
        <v>743</v>
      </c>
      <c r="D3" s="16" t="s">
        <v>744</v>
      </c>
      <c r="E3" s="17">
        <v>2</v>
      </c>
      <c r="F3" s="18" t="s">
        <v>45</v>
      </c>
      <c r="G3" s="16" t="s">
        <v>745</v>
      </c>
      <c r="H3" s="16" t="s">
        <v>746</v>
      </c>
    </row>
    <row r="4" spans="1:8" ht="135" customHeight="1" x14ac:dyDescent="0.25">
      <c r="A4" s="19" t="s">
        <v>741</v>
      </c>
      <c r="B4" s="19" t="s">
        <v>742</v>
      </c>
      <c r="C4" s="20" t="s">
        <v>747</v>
      </c>
      <c r="D4" s="21" t="s">
        <v>748</v>
      </c>
      <c r="E4" s="17">
        <v>2</v>
      </c>
      <c r="F4" s="18" t="s">
        <v>45</v>
      </c>
      <c r="G4" s="21" t="s">
        <v>749</v>
      </c>
      <c r="H4" s="21" t="s">
        <v>750</v>
      </c>
    </row>
    <row r="5" spans="1:8" ht="18" customHeight="1" x14ac:dyDescent="0.25">
      <c r="A5" s="13" t="s">
        <v>751</v>
      </c>
      <c r="B5" s="13" t="s">
        <v>752</v>
      </c>
      <c r="C5" s="13"/>
      <c r="D5" s="13"/>
      <c r="E5" s="13"/>
      <c r="F5" s="13"/>
      <c r="G5" s="13"/>
      <c r="H5" s="13"/>
    </row>
    <row r="6" spans="1:8" ht="105" customHeight="1" x14ac:dyDescent="0.25">
      <c r="A6" s="14" t="s">
        <v>751</v>
      </c>
      <c r="B6" s="14" t="s">
        <v>752</v>
      </c>
      <c r="C6" s="15" t="s">
        <v>753</v>
      </c>
      <c r="D6" s="16" t="s">
        <v>754</v>
      </c>
      <c r="E6" s="17">
        <v>2</v>
      </c>
      <c r="F6" s="18" t="s">
        <v>56</v>
      </c>
      <c r="G6" s="16" t="s">
        <v>755</v>
      </c>
      <c r="H6" s="16"/>
    </row>
    <row r="7" spans="1:8" ht="75" customHeight="1" x14ac:dyDescent="0.25">
      <c r="A7" s="19" t="s">
        <v>751</v>
      </c>
      <c r="B7" s="19" t="s">
        <v>752</v>
      </c>
      <c r="C7" s="20" t="s">
        <v>756</v>
      </c>
      <c r="D7" s="21" t="s">
        <v>757</v>
      </c>
      <c r="E7" s="17">
        <v>2</v>
      </c>
      <c r="F7" s="18" t="s">
        <v>56</v>
      </c>
      <c r="G7" s="21" t="s">
        <v>758</v>
      </c>
      <c r="H7" s="21"/>
    </row>
    <row r="8" spans="1:8" ht="45" customHeight="1" x14ac:dyDescent="0.25">
      <c r="A8" s="14" t="s">
        <v>751</v>
      </c>
      <c r="B8" s="14" t="s">
        <v>752</v>
      </c>
      <c r="C8" s="15" t="s">
        <v>759</v>
      </c>
      <c r="D8" s="16" t="s">
        <v>760</v>
      </c>
      <c r="E8" s="23">
        <v>3</v>
      </c>
      <c r="F8" s="18" t="s">
        <v>56</v>
      </c>
      <c r="G8" s="16"/>
      <c r="H8" s="16"/>
    </row>
    <row r="9" spans="1:8" ht="18" customHeight="1" x14ac:dyDescent="0.25">
      <c r="A9" s="13" t="s">
        <v>761</v>
      </c>
      <c r="B9" s="13" t="s">
        <v>762</v>
      </c>
      <c r="C9" s="13"/>
      <c r="D9" s="13"/>
      <c r="E9" s="13"/>
      <c r="F9" s="13"/>
      <c r="G9" s="13"/>
      <c r="H9" s="13"/>
    </row>
    <row r="10" spans="1:8" ht="90" customHeight="1" x14ac:dyDescent="0.25">
      <c r="A10" s="14" t="s">
        <v>761</v>
      </c>
      <c r="B10" s="14" t="s">
        <v>762</v>
      </c>
      <c r="C10" s="15" t="s">
        <v>763</v>
      </c>
      <c r="D10" s="16" t="s">
        <v>764</v>
      </c>
      <c r="E10" s="17">
        <v>2</v>
      </c>
      <c r="F10" s="18" t="s">
        <v>45</v>
      </c>
      <c r="G10" s="16" t="s">
        <v>765</v>
      </c>
      <c r="H10" s="16" t="s">
        <v>766</v>
      </c>
    </row>
    <row r="11" spans="1:8" ht="106.5" customHeight="1" x14ac:dyDescent="0.25">
      <c r="A11" s="19" t="s">
        <v>761</v>
      </c>
      <c r="B11" s="19" t="s">
        <v>762</v>
      </c>
      <c r="C11" s="20" t="s">
        <v>767</v>
      </c>
      <c r="D11" s="21" t="s">
        <v>768</v>
      </c>
      <c r="E11" s="17">
        <v>2</v>
      </c>
      <c r="F11" s="18" t="s">
        <v>45</v>
      </c>
      <c r="G11" s="21" t="s">
        <v>769</v>
      </c>
      <c r="H11" s="21" t="s">
        <v>770</v>
      </c>
    </row>
    <row r="12" spans="1:8" ht="87" customHeight="1" x14ac:dyDescent="0.25">
      <c r="A12" s="14" t="s">
        <v>761</v>
      </c>
      <c r="B12" s="14" t="s">
        <v>762</v>
      </c>
      <c r="C12" s="15" t="s">
        <v>771</v>
      </c>
      <c r="D12" s="16" t="s">
        <v>772</v>
      </c>
      <c r="E12" s="17">
        <v>2</v>
      </c>
      <c r="F12" s="18" t="s">
        <v>45</v>
      </c>
      <c r="G12" s="16" t="s">
        <v>773</v>
      </c>
      <c r="H12" s="16" t="s">
        <v>774</v>
      </c>
    </row>
    <row r="13" spans="1:8" ht="73.150000000000006" customHeight="1" x14ac:dyDescent="0.25">
      <c r="A13" s="19" t="s">
        <v>761</v>
      </c>
      <c r="B13" s="19" t="s">
        <v>762</v>
      </c>
      <c r="C13" s="20" t="s">
        <v>775</v>
      </c>
      <c r="D13" s="21" t="s">
        <v>776</v>
      </c>
      <c r="E13" s="17">
        <v>2</v>
      </c>
      <c r="F13" s="18" t="s">
        <v>56</v>
      </c>
      <c r="G13" s="21" t="s">
        <v>777</v>
      </c>
      <c r="H13" s="21"/>
    </row>
    <row r="14" spans="1:8" ht="100.5" customHeight="1" x14ac:dyDescent="0.25">
      <c r="A14" s="14" t="s">
        <v>761</v>
      </c>
      <c r="B14" s="14" t="s">
        <v>762</v>
      </c>
      <c r="C14" s="15" t="s">
        <v>778</v>
      </c>
      <c r="D14" s="16" t="s">
        <v>779</v>
      </c>
      <c r="E14" s="23">
        <v>3</v>
      </c>
      <c r="F14" s="18" t="s">
        <v>56</v>
      </c>
      <c r="G14" s="16" t="s">
        <v>780</v>
      </c>
      <c r="H14" s="16"/>
    </row>
    <row r="15" spans="1:8" ht="18" customHeight="1" x14ac:dyDescent="0.25">
      <c r="A15" s="13" t="s">
        <v>781</v>
      </c>
      <c r="B15" s="13" t="s">
        <v>782</v>
      </c>
      <c r="C15" s="13"/>
      <c r="D15" s="13"/>
      <c r="E15" s="13"/>
      <c r="F15" s="13"/>
      <c r="G15" s="13"/>
      <c r="H15" s="13"/>
    </row>
    <row r="16" spans="1:8" ht="60" customHeight="1" x14ac:dyDescent="0.25">
      <c r="A16" s="14" t="s">
        <v>781</v>
      </c>
      <c r="B16" s="14" t="s">
        <v>782</v>
      </c>
      <c r="C16" s="15" t="s">
        <v>783</v>
      </c>
      <c r="D16" s="16" t="s">
        <v>784</v>
      </c>
      <c r="E16" s="22">
        <v>1</v>
      </c>
      <c r="F16" s="18" t="s">
        <v>45</v>
      </c>
      <c r="G16" s="16" t="s">
        <v>785</v>
      </c>
      <c r="H16" s="16" t="s">
        <v>786</v>
      </c>
    </row>
    <row r="17" spans="1:8" ht="90" customHeight="1" x14ac:dyDescent="0.25">
      <c r="A17" s="19" t="s">
        <v>781</v>
      </c>
      <c r="B17" s="19" t="s">
        <v>782</v>
      </c>
      <c r="C17" s="20" t="s">
        <v>787</v>
      </c>
      <c r="D17" s="21" t="s">
        <v>788</v>
      </c>
      <c r="E17" s="22">
        <v>1</v>
      </c>
      <c r="F17" s="18" t="s">
        <v>45</v>
      </c>
      <c r="G17" s="21" t="s">
        <v>789</v>
      </c>
      <c r="H17" s="21" t="s">
        <v>790</v>
      </c>
    </row>
    <row r="18" spans="1:8" ht="45" customHeight="1" x14ac:dyDescent="0.25">
      <c r="A18" s="14" t="s">
        <v>781</v>
      </c>
      <c r="B18" s="14" t="s">
        <v>782</v>
      </c>
      <c r="C18" s="15" t="s">
        <v>791</v>
      </c>
      <c r="D18" s="16" t="s">
        <v>792</v>
      </c>
      <c r="E18" s="22">
        <v>1</v>
      </c>
      <c r="F18" s="18" t="s">
        <v>45</v>
      </c>
      <c r="G18" s="16" t="s">
        <v>793</v>
      </c>
      <c r="H18" s="16" t="s">
        <v>794</v>
      </c>
    </row>
    <row r="19" spans="1:8" ht="105.75" customHeight="1" x14ac:dyDescent="0.25">
      <c r="A19" s="19" t="s">
        <v>781</v>
      </c>
      <c r="B19" s="19" t="s">
        <v>782</v>
      </c>
      <c r="C19" s="20" t="s">
        <v>795</v>
      </c>
      <c r="D19" s="21" t="s">
        <v>796</v>
      </c>
      <c r="E19" s="22">
        <v>1</v>
      </c>
      <c r="F19" s="18" t="s">
        <v>236</v>
      </c>
      <c r="G19" s="21" t="s">
        <v>797</v>
      </c>
      <c r="H19" s="21" t="s">
        <v>798</v>
      </c>
    </row>
    <row r="20" spans="1:8" ht="135" customHeight="1" x14ac:dyDescent="0.25">
      <c r="A20" s="14" t="s">
        <v>781</v>
      </c>
      <c r="B20" s="14" t="s">
        <v>782</v>
      </c>
      <c r="C20" s="15" t="s">
        <v>799</v>
      </c>
      <c r="D20" s="16" t="s">
        <v>800</v>
      </c>
      <c r="E20" s="22">
        <v>1</v>
      </c>
      <c r="F20" s="18" t="s">
        <v>45</v>
      </c>
      <c r="G20" s="16" t="s">
        <v>801</v>
      </c>
      <c r="H20" s="16" t="s">
        <v>802</v>
      </c>
    </row>
    <row r="21" spans="1:8" ht="105" customHeight="1" x14ac:dyDescent="0.25">
      <c r="A21" s="19" t="s">
        <v>781</v>
      </c>
      <c r="B21" s="19" t="s">
        <v>782</v>
      </c>
      <c r="C21" s="20" t="s">
        <v>803</v>
      </c>
      <c r="D21" s="21" t="s">
        <v>804</v>
      </c>
      <c r="E21" s="17">
        <v>2</v>
      </c>
      <c r="F21" s="18" t="s">
        <v>45</v>
      </c>
      <c r="G21" s="21" t="s">
        <v>805</v>
      </c>
      <c r="H21" s="21" t="s">
        <v>806</v>
      </c>
    </row>
    <row r="22" spans="1:8" ht="90" customHeight="1" x14ac:dyDescent="0.25">
      <c r="A22" s="14" t="s">
        <v>781</v>
      </c>
      <c r="B22" s="14" t="s">
        <v>782</v>
      </c>
      <c r="C22" s="15" t="s">
        <v>807</v>
      </c>
      <c r="D22" s="16" t="s">
        <v>808</v>
      </c>
      <c r="E22" s="17">
        <v>2</v>
      </c>
      <c r="F22" s="18" t="s">
        <v>56</v>
      </c>
      <c r="G22" s="16" t="s">
        <v>809</v>
      </c>
      <c r="H22" s="16"/>
    </row>
    <row r="23" spans="1:8" ht="73.900000000000006" customHeight="1" x14ac:dyDescent="0.25">
      <c r="A23" s="19" t="s">
        <v>781</v>
      </c>
      <c r="B23" s="19" t="s">
        <v>782</v>
      </c>
      <c r="C23" s="20" t="s">
        <v>810</v>
      </c>
      <c r="D23" s="21" t="s">
        <v>811</v>
      </c>
      <c r="E23" s="17">
        <v>2</v>
      </c>
      <c r="F23" s="18" t="s">
        <v>45</v>
      </c>
      <c r="G23" s="21" t="s">
        <v>812</v>
      </c>
      <c r="H23" s="21" t="s">
        <v>813</v>
      </c>
    </row>
    <row r="24" spans="1:8" ht="107.25" customHeight="1" x14ac:dyDescent="0.25">
      <c r="A24" s="14" t="s">
        <v>781</v>
      </c>
      <c r="B24" s="14" t="s">
        <v>782</v>
      </c>
      <c r="C24" s="15" t="s">
        <v>814</v>
      </c>
      <c r="D24" s="16" t="s">
        <v>815</v>
      </c>
      <c r="E24" s="17">
        <v>2</v>
      </c>
      <c r="F24" s="18" t="s">
        <v>45</v>
      </c>
      <c r="G24" s="16" t="s">
        <v>816</v>
      </c>
      <c r="H24" s="16" t="s">
        <v>817</v>
      </c>
    </row>
    <row r="25" spans="1:8" ht="90" customHeight="1" x14ac:dyDescent="0.25">
      <c r="A25" s="19" t="s">
        <v>781</v>
      </c>
      <c r="B25" s="19" t="s">
        <v>782</v>
      </c>
      <c r="C25" s="20" t="s">
        <v>818</v>
      </c>
      <c r="D25" s="21" t="s">
        <v>819</v>
      </c>
      <c r="E25" s="17">
        <v>2</v>
      </c>
      <c r="F25" s="18" t="s">
        <v>45</v>
      </c>
      <c r="G25" s="21" t="s">
        <v>820</v>
      </c>
      <c r="H25" s="21" t="s">
        <v>821</v>
      </c>
    </row>
    <row r="26" spans="1:8" ht="100.5" customHeight="1" x14ac:dyDescent="0.25">
      <c r="A26" s="14" t="s">
        <v>781</v>
      </c>
      <c r="B26" s="14" t="s">
        <v>782</v>
      </c>
      <c r="C26" s="15" t="s">
        <v>822</v>
      </c>
      <c r="D26" s="16" t="s">
        <v>823</v>
      </c>
      <c r="E26" s="17">
        <v>2</v>
      </c>
      <c r="F26" s="18" t="s">
        <v>45</v>
      </c>
      <c r="G26" s="16" t="s">
        <v>824</v>
      </c>
      <c r="H26" s="16" t="s">
        <v>825</v>
      </c>
    </row>
    <row r="27" spans="1:8" ht="75" customHeight="1" x14ac:dyDescent="0.25">
      <c r="A27" s="19" t="s">
        <v>781</v>
      </c>
      <c r="B27" s="19" t="s">
        <v>782</v>
      </c>
      <c r="C27" s="20" t="s">
        <v>826</v>
      </c>
      <c r="D27" s="21" t="s">
        <v>827</v>
      </c>
      <c r="E27" s="23">
        <v>3</v>
      </c>
      <c r="F27" s="18" t="s">
        <v>56</v>
      </c>
      <c r="G27" s="21" t="s">
        <v>828</v>
      </c>
      <c r="H27" s="21"/>
    </row>
    <row r="28" spans="1:8" ht="30" customHeight="1" x14ac:dyDescent="0.25">
      <c r="A28" s="14" t="s">
        <v>781</v>
      </c>
      <c r="B28" s="14" t="s">
        <v>782</v>
      </c>
      <c r="C28" s="15" t="s">
        <v>829</v>
      </c>
      <c r="D28" s="16" t="s">
        <v>830</v>
      </c>
      <c r="E28" s="23">
        <v>3</v>
      </c>
      <c r="F28" s="18" t="s">
        <v>56</v>
      </c>
      <c r="G28" s="16" t="s">
        <v>831</v>
      </c>
      <c r="H28" s="16"/>
    </row>
    <row r="29" spans="1:8" ht="60" customHeight="1" x14ac:dyDescent="0.25">
      <c r="A29" s="19" t="s">
        <v>781</v>
      </c>
      <c r="B29" s="19" t="s">
        <v>782</v>
      </c>
      <c r="C29" s="20" t="s">
        <v>832</v>
      </c>
      <c r="D29" s="21" t="s">
        <v>833</v>
      </c>
      <c r="E29" s="23">
        <v>3</v>
      </c>
      <c r="F29" s="18" t="s">
        <v>56</v>
      </c>
      <c r="G29" s="21" t="s">
        <v>834</v>
      </c>
      <c r="H29" s="21"/>
    </row>
    <row r="30" spans="1:8" ht="90" customHeight="1" x14ac:dyDescent="0.25">
      <c r="A30" s="14" t="s">
        <v>781</v>
      </c>
      <c r="B30" s="14" t="s">
        <v>782</v>
      </c>
      <c r="C30" s="15" t="s">
        <v>835</v>
      </c>
      <c r="D30" s="16" t="s">
        <v>836</v>
      </c>
      <c r="E30" s="23">
        <v>3</v>
      </c>
      <c r="F30" s="18" t="s">
        <v>56</v>
      </c>
      <c r="G30" s="16" t="s">
        <v>837</v>
      </c>
      <c r="H30" s="16"/>
    </row>
    <row r="31" spans="1:8" ht="75" customHeight="1" x14ac:dyDescent="0.25">
      <c r="A31" s="19" t="s">
        <v>781</v>
      </c>
      <c r="B31" s="19" t="s">
        <v>782</v>
      </c>
      <c r="C31" s="20" t="s">
        <v>838</v>
      </c>
      <c r="D31" s="21" t="s">
        <v>839</v>
      </c>
      <c r="E31" s="23">
        <v>3</v>
      </c>
      <c r="F31" s="18" t="s">
        <v>56</v>
      </c>
      <c r="G31" s="21" t="s">
        <v>840</v>
      </c>
      <c r="H31" s="21"/>
    </row>
    <row r="32" spans="1:8" ht="18" customHeight="1" x14ac:dyDescent="0.25">
      <c r="A32" s="13" t="s">
        <v>841</v>
      </c>
      <c r="B32" s="13" t="s">
        <v>842</v>
      </c>
      <c r="C32" s="13"/>
      <c r="D32" s="13"/>
      <c r="E32" s="13"/>
      <c r="F32" s="13"/>
      <c r="G32" s="13"/>
      <c r="H32" s="13"/>
    </row>
    <row r="33" spans="1:8" ht="90" customHeight="1" x14ac:dyDescent="0.25">
      <c r="A33" s="14" t="s">
        <v>841</v>
      </c>
      <c r="B33" s="14" t="s">
        <v>842</v>
      </c>
      <c r="C33" s="15" t="s">
        <v>843</v>
      </c>
      <c r="D33" s="16" t="s">
        <v>844</v>
      </c>
      <c r="E33" s="17">
        <v>2</v>
      </c>
      <c r="F33" s="18" t="s">
        <v>56</v>
      </c>
      <c r="G33" s="16" t="s">
        <v>845</v>
      </c>
      <c r="H33" s="16"/>
    </row>
    <row r="34" spans="1:8" ht="86.25" customHeight="1" x14ac:dyDescent="0.25">
      <c r="A34" s="19" t="s">
        <v>841</v>
      </c>
      <c r="B34" s="19" t="s">
        <v>842</v>
      </c>
      <c r="C34" s="20" t="s">
        <v>846</v>
      </c>
      <c r="D34" s="21" t="s">
        <v>847</v>
      </c>
      <c r="E34" s="17">
        <v>2</v>
      </c>
      <c r="F34" s="18" t="s">
        <v>45</v>
      </c>
      <c r="G34" s="21" t="s">
        <v>848</v>
      </c>
      <c r="H34" s="21" t="s">
        <v>849</v>
      </c>
    </row>
    <row r="35" spans="1:8" ht="120" customHeight="1" x14ac:dyDescent="0.25">
      <c r="A35" s="14" t="s">
        <v>841</v>
      </c>
      <c r="B35" s="14" t="s">
        <v>842</v>
      </c>
      <c r="C35" s="15" t="s">
        <v>850</v>
      </c>
      <c r="D35" s="16" t="s">
        <v>851</v>
      </c>
      <c r="E35" s="17">
        <v>2</v>
      </c>
      <c r="F35" s="18" t="s">
        <v>45</v>
      </c>
      <c r="G35" s="16" t="s">
        <v>852</v>
      </c>
      <c r="H35" s="16" t="s">
        <v>853</v>
      </c>
    </row>
    <row r="36" spans="1:8" ht="96" customHeight="1" x14ac:dyDescent="0.25">
      <c r="A36" s="19" t="s">
        <v>841</v>
      </c>
      <c r="B36" s="19" t="s">
        <v>842</v>
      </c>
      <c r="C36" s="20" t="s">
        <v>854</v>
      </c>
      <c r="D36" s="21" t="s">
        <v>855</v>
      </c>
      <c r="E36" s="17">
        <v>2</v>
      </c>
      <c r="F36" s="18" t="s">
        <v>45</v>
      </c>
      <c r="G36" s="21" t="s">
        <v>856</v>
      </c>
      <c r="H36" s="21" t="s">
        <v>857</v>
      </c>
    </row>
    <row r="37" spans="1:8" ht="105" customHeight="1" x14ac:dyDescent="0.25">
      <c r="A37" s="14" t="s">
        <v>841</v>
      </c>
      <c r="B37" s="14" t="s">
        <v>842</v>
      </c>
      <c r="C37" s="15" t="s">
        <v>858</v>
      </c>
      <c r="D37" s="16" t="s">
        <v>859</v>
      </c>
      <c r="E37" s="17">
        <v>2</v>
      </c>
      <c r="F37" s="18" t="s">
        <v>56</v>
      </c>
      <c r="G37" s="16" t="s">
        <v>860</v>
      </c>
      <c r="H37" s="16"/>
    </row>
    <row r="38" spans="1:8" ht="18" customHeight="1" x14ac:dyDescent="0.25">
      <c r="A38" s="13" t="s">
        <v>861</v>
      </c>
      <c r="B38" s="13" t="s">
        <v>862</v>
      </c>
      <c r="C38" s="13"/>
      <c r="D38" s="13"/>
      <c r="E38" s="13"/>
      <c r="F38" s="13"/>
      <c r="G38" s="13"/>
      <c r="H38" s="13"/>
    </row>
    <row r="39" spans="1:8" ht="75" customHeight="1" x14ac:dyDescent="0.25">
      <c r="A39" s="14" t="s">
        <v>861</v>
      </c>
      <c r="B39" s="14" t="s">
        <v>862</v>
      </c>
      <c r="C39" s="15" t="s">
        <v>863</v>
      </c>
      <c r="D39" s="16" t="s">
        <v>864</v>
      </c>
      <c r="E39" s="17">
        <v>2</v>
      </c>
      <c r="F39" s="18" t="s">
        <v>45</v>
      </c>
      <c r="G39" s="16" t="s">
        <v>865</v>
      </c>
      <c r="H39" s="16" t="s">
        <v>866</v>
      </c>
    </row>
    <row r="40" spans="1:8" ht="106.5" customHeight="1" x14ac:dyDescent="0.25">
      <c r="A40" s="19" t="s">
        <v>861</v>
      </c>
      <c r="B40" s="19" t="s">
        <v>862</v>
      </c>
      <c r="C40" s="20" t="s">
        <v>867</v>
      </c>
      <c r="D40" s="21" t="s">
        <v>868</v>
      </c>
      <c r="E40" s="17">
        <v>2</v>
      </c>
      <c r="F40" s="18" t="s">
        <v>45</v>
      </c>
      <c r="G40" s="21" t="s">
        <v>869</v>
      </c>
      <c r="H40" s="21" t="s">
        <v>870</v>
      </c>
    </row>
    <row r="41" spans="1:8" ht="18" customHeight="1" x14ac:dyDescent="0.25">
      <c r="A41" s="13" t="s">
        <v>871</v>
      </c>
      <c r="B41" s="13" t="s">
        <v>872</v>
      </c>
      <c r="C41" s="13"/>
      <c r="D41" s="13"/>
      <c r="E41" s="13"/>
      <c r="F41" s="13"/>
      <c r="G41" s="13"/>
      <c r="H41" s="13"/>
    </row>
    <row r="42" spans="1:8" ht="138" customHeight="1" x14ac:dyDescent="0.25">
      <c r="A42" s="14" t="s">
        <v>871</v>
      </c>
      <c r="B42" s="14" t="s">
        <v>872</v>
      </c>
      <c r="C42" s="15" t="s">
        <v>873</v>
      </c>
      <c r="D42" s="16" t="s">
        <v>874</v>
      </c>
      <c r="E42" s="17">
        <v>2</v>
      </c>
      <c r="F42" s="18" t="s">
        <v>45</v>
      </c>
      <c r="G42" s="16" t="s">
        <v>875</v>
      </c>
      <c r="H42" s="16" t="s">
        <v>876</v>
      </c>
    </row>
    <row r="43" spans="1:8" ht="105" customHeight="1" x14ac:dyDescent="0.25">
      <c r="A43" s="19" t="s">
        <v>871</v>
      </c>
      <c r="B43" s="19" t="s">
        <v>872</v>
      </c>
      <c r="C43" s="20" t="s">
        <v>877</v>
      </c>
      <c r="D43" s="21" t="s">
        <v>878</v>
      </c>
      <c r="E43" s="17">
        <v>2</v>
      </c>
      <c r="F43" s="18" t="s">
        <v>45</v>
      </c>
      <c r="G43" s="21" t="s">
        <v>879</v>
      </c>
      <c r="H43" s="21" t="s">
        <v>880</v>
      </c>
    </row>
    <row r="44" spans="1:8" ht="111" customHeight="1" x14ac:dyDescent="0.25">
      <c r="A44" s="14" t="s">
        <v>871</v>
      </c>
      <c r="B44" s="14" t="s">
        <v>872</v>
      </c>
      <c r="C44" s="15" t="s">
        <v>881</v>
      </c>
      <c r="D44" s="16" t="s">
        <v>882</v>
      </c>
      <c r="E44" s="17">
        <v>2</v>
      </c>
      <c r="F44" s="18" t="s">
        <v>45</v>
      </c>
      <c r="G44" s="16" t="s">
        <v>883</v>
      </c>
      <c r="H44" s="16" t="s">
        <v>884</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F28" sqref="F2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885</v>
      </c>
      <c r="B2" s="13" t="s">
        <v>886</v>
      </c>
      <c r="C2" s="13"/>
      <c r="D2" s="13"/>
      <c r="E2" s="13"/>
      <c r="F2" s="13"/>
      <c r="G2" s="13"/>
      <c r="H2" s="13"/>
    </row>
    <row r="3" spans="1:8" ht="210" customHeight="1" x14ac:dyDescent="0.25">
      <c r="A3" s="14" t="s">
        <v>885</v>
      </c>
      <c r="B3" s="14" t="s">
        <v>886</v>
      </c>
      <c r="C3" s="15" t="s">
        <v>887</v>
      </c>
      <c r="D3" s="16" t="s">
        <v>888</v>
      </c>
      <c r="E3" s="17">
        <v>2</v>
      </c>
      <c r="F3" s="18" t="s">
        <v>236</v>
      </c>
      <c r="G3" s="16" t="s">
        <v>889</v>
      </c>
      <c r="H3" s="16" t="s">
        <v>890</v>
      </c>
    </row>
    <row r="4" spans="1:8" ht="180" customHeight="1" x14ac:dyDescent="0.25">
      <c r="A4" s="19" t="s">
        <v>885</v>
      </c>
      <c r="B4" s="19" t="s">
        <v>886</v>
      </c>
      <c r="C4" s="20" t="s">
        <v>891</v>
      </c>
      <c r="D4" s="21" t="s">
        <v>892</v>
      </c>
      <c r="E4" s="17">
        <v>2</v>
      </c>
      <c r="F4" s="18" t="s">
        <v>45</v>
      </c>
      <c r="G4" s="16" t="s">
        <v>893</v>
      </c>
      <c r="H4" s="21" t="s">
        <v>894</v>
      </c>
    </row>
    <row r="5" spans="1:8" ht="45" customHeight="1" x14ac:dyDescent="0.25">
      <c r="A5" s="14" t="s">
        <v>885</v>
      </c>
      <c r="B5" s="14" t="s">
        <v>886</v>
      </c>
      <c r="C5" s="15" t="s">
        <v>895</v>
      </c>
      <c r="D5" s="16" t="s">
        <v>896</v>
      </c>
      <c r="E5" s="23">
        <v>3</v>
      </c>
      <c r="F5" s="18" t="s">
        <v>56</v>
      </c>
      <c r="G5" s="21"/>
      <c r="H5" s="16"/>
    </row>
    <row r="6" spans="1:8" ht="60" customHeight="1" x14ac:dyDescent="0.25">
      <c r="A6" s="19" t="s">
        <v>885</v>
      </c>
      <c r="B6" s="19" t="s">
        <v>886</v>
      </c>
      <c r="C6" s="20" t="s">
        <v>897</v>
      </c>
      <c r="D6" s="21" t="s">
        <v>898</v>
      </c>
      <c r="E6" s="23">
        <v>3</v>
      </c>
      <c r="F6" s="18" t="s">
        <v>56</v>
      </c>
      <c r="G6" s="16"/>
      <c r="H6" s="21"/>
    </row>
    <row r="7" spans="1:8" x14ac:dyDescent="0.25">
      <c r="A7" s="13" t="s">
        <v>899</v>
      </c>
      <c r="B7" s="13" t="s">
        <v>900</v>
      </c>
      <c r="C7" s="13"/>
      <c r="D7" s="13"/>
      <c r="E7" s="13"/>
      <c r="F7" s="13"/>
      <c r="G7" s="13"/>
      <c r="H7" s="13"/>
    </row>
    <row r="8" spans="1:8" ht="165" customHeight="1" x14ac:dyDescent="0.25">
      <c r="A8" s="14" t="s">
        <v>899</v>
      </c>
      <c r="B8" s="14" t="s">
        <v>900</v>
      </c>
      <c r="C8" s="15" t="s">
        <v>901</v>
      </c>
      <c r="D8" s="16" t="s">
        <v>902</v>
      </c>
      <c r="E8" s="17">
        <v>2</v>
      </c>
      <c r="F8" s="18" t="s">
        <v>45</v>
      </c>
      <c r="G8" s="16" t="s">
        <v>903</v>
      </c>
      <c r="H8" s="16" t="s">
        <v>904</v>
      </c>
    </row>
    <row r="9" spans="1:8" ht="225" customHeight="1" x14ac:dyDescent="0.25">
      <c r="A9" s="19" t="s">
        <v>899</v>
      </c>
      <c r="B9" s="19" t="s">
        <v>900</v>
      </c>
      <c r="C9" s="20" t="s">
        <v>905</v>
      </c>
      <c r="D9" s="21" t="s">
        <v>906</v>
      </c>
      <c r="E9" s="17">
        <v>2</v>
      </c>
      <c r="F9" s="18" t="s">
        <v>45</v>
      </c>
      <c r="G9" s="21" t="s">
        <v>907</v>
      </c>
      <c r="H9" s="21" t="s">
        <v>908</v>
      </c>
    </row>
    <row r="10" spans="1:8" ht="150" customHeight="1" x14ac:dyDescent="0.25">
      <c r="A10" s="14" t="s">
        <v>899</v>
      </c>
      <c r="B10" s="14" t="s">
        <v>900</v>
      </c>
      <c r="C10" s="15" t="s">
        <v>909</v>
      </c>
      <c r="D10" s="16" t="s">
        <v>910</v>
      </c>
      <c r="E10" s="17">
        <v>2</v>
      </c>
      <c r="F10" s="18" t="s">
        <v>45</v>
      </c>
      <c r="G10" s="16" t="s">
        <v>911</v>
      </c>
      <c r="H10" s="16" t="s">
        <v>912</v>
      </c>
    </row>
    <row r="11" spans="1:8" ht="240" customHeight="1" x14ac:dyDescent="0.25">
      <c r="A11" s="19" t="s">
        <v>899</v>
      </c>
      <c r="B11" s="19" t="s">
        <v>900</v>
      </c>
      <c r="C11" s="20" t="s">
        <v>913</v>
      </c>
      <c r="D11" s="21" t="s">
        <v>914</v>
      </c>
      <c r="E11" s="23">
        <v>3</v>
      </c>
      <c r="F11" s="18" t="s">
        <v>45</v>
      </c>
      <c r="G11" s="21" t="s">
        <v>915</v>
      </c>
      <c r="H11" s="21" t="s">
        <v>916</v>
      </c>
    </row>
    <row r="12" spans="1:8" ht="195" customHeight="1" x14ac:dyDescent="0.25">
      <c r="A12" s="14" t="s">
        <v>899</v>
      </c>
      <c r="B12" s="14" t="s">
        <v>900</v>
      </c>
      <c r="C12" s="15" t="s">
        <v>917</v>
      </c>
      <c r="D12" s="16" t="s">
        <v>918</v>
      </c>
      <c r="E12" s="23">
        <v>3</v>
      </c>
      <c r="F12" s="18" t="s">
        <v>56</v>
      </c>
      <c r="G12" s="16" t="s">
        <v>919</v>
      </c>
      <c r="H12" s="16"/>
    </row>
    <row r="13" spans="1:8" x14ac:dyDescent="0.25">
      <c r="A13" s="13" t="s">
        <v>920</v>
      </c>
      <c r="B13" s="13" t="s">
        <v>921</v>
      </c>
      <c r="C13" s="13"/>
      <c r="D13" s="13"/>
      <c r="E13" s="13"/>
      <c r="F13" s="13"/>
      <c r="G13" s="13"/>
      <c r="H13" s="13"/>
    </row>
    <row r="14" spans="1:8" ht="150" customHeight="1" x14ac:dyDescent="0.25">
      <c r="A14" s="14" t="s">
        <v>920</v>
      </c>
      <c r="B14" s="14" t="s">
        <v>921</v>
      </c>
      <c r="C14" s="15" t="s">
        <v>922</v>
      </c>
      <c r="D14" s="16" t="s">
        <v>923</v>
      </c>
      <c r="E14" s="22">
        <v>1</v>
      </c>
      <c r="F14" s="18" t="s">
        <v>45</v>
      </c>
      <c r="G14" s="16" t="s">
        <v>924</v>
      </c>
      <c r="H14" s="16" t="s">
        <v>925</v>
      </c>
    </row>
    <row r="15" spans="1:8" ht="150" customHeight="1" x14ac:dyDescent="0.25">
      <c r="A15" s="19" t="s">
        <v>920</v>
      </c>
      <c r="B15" s="19" t="s">
        <v>921</v>
      </c>
      <c r="C15" s="20" t="s">
        <v>926</v>
      </c>
      <c r="D15" s="21" t="s">
        <v>927</v>
      </c>
      <c r="E15" s="22">
        <v>1</v>
      </c>
      <c r="F15" s="18" t="s">
        <v>45</v>
      </c>
      <c r="G15" s="21" t="s">
        <v>928</v>
      </c>
      <c r="H15" s="21" t="s">
        <v>929</v>
      </c>
    </row>
    <row r="16" spans="1:8" ht="150" customHeight="1" x14ac:dyDescent="0.25">
      <c r="A16" s="14" t="s">
        <v>920</v>
      </c>
      <c r="B16" s="14" t="s">
        <v>921</v>
      </c>
      <c r="C16" s="15" t="s">
        <v>930</v>
      </c>
      <c r="D16" s="16" t="s">
        <v>931</v>
      </c>
      <c r="E16" s="17">
        <v>2</v>
      </c>
      <c r="F16" s="18" t="s">
        <v>45</v>
      </c>
      <c r="G16" s="16" t="s">
        <v>932</v>
      </c>
      <c r="H16" s="16" t="s">
        <v>933</v>
      </c>
    </row>
    <row r="17" spans="1:8" ht="60" customHeight="1" x14ac:dyDescent="0.25">
      <c r="A17" s="19" t="s">
        <v>920</v>
      </c>
      <c r="B17" s="19" t="s">
        <v>921</v>
      </c>
      <c r="C17" s="20" t="s">
        <v>934</v>
      </c>
      <c r="D17" s="21" t="s">
        <v>935</v>
      </c>
      <c r="E17" s="23">
        <v>3</v>
      </c>
      <c r="F17" s="18" t="s">
        <v>56</v>
      </c>
      <c r="G17" s="21"/>
      <c r="H17" s="21"/>
    </row>
    <row r="18" spans="1:8" ht="195" customHeight="1" x14ac:dyDescent="0.25">
      <c r="A18" s="14" t="s">
        <v>920</v>
      </c>
      <c r="B18" s="14" t="s">
        <v>921</v>
      </c>
      <c r="C18" s="15" t="s">
        <v>936</v>
      </c>
      <c r="D18" s="16" t="s">
        <v>937</v>
      </c>
      <c r="E18" s="23">
        <v>3</v>
      </c>
      <c r="F18" s="18" t="s">
        <v>56</v>
      </c>
      <c r="G18" s="21" t="s">
        <v>938</v>
      </c>
      <c r="H18" s="16"/>
    </row>
    <row r="19" spans="1:8" x14ac:dyDescent="0.25">
      <c r="A19" s="13" t="s">
        <v>939</v>
      </c>
      <c r="B19" s="13" t="s">
        <v>940</v>
      </c>
      <c r="C19" s="13"/>
      <c r="D19" s="13"/>
      <c r="E19" s="13"/>
      <c r="F19" s="13"/>
      <c r="G19" s="13"/>
      <c r="H19" s="13"/>
    </row>
    <row r="20" spans="1:8" ht="135" customHeight="1" x14ac:dyDescent="0.25">
      <c r="A20" s="14" t="s">
        <v>939</v>
      </c>
      <c r="B20" s="14" t="s">
        <v>940</v>
      </c>
      <c r="C20" s="15" t="s">
        <v>941</v>
      </c>
      <c r="D20" s="16" t="s">
        <v>942</v>
      </c>
      <c r="E20" s="22">
        <v>1</v>
      </c>
      <c r="F20" s="18" t="s">
        <v>45</v>
      </c>
      <c r="G20" s="27" t="s">
        <v>943</v>
      </c>
      <c r="H20" s="16" t="s">
        <v>944</v>
      </c>
    </row>
    <row r="21" spans="1:8" ht="195" customHeight="1" x14ac:dyDescent="0.25">
      <c r="A21" s="19" t="s">
        <v>939</v>
      </c>
      <c r="B21" s="19" t="s">
        <v>940</v>
      </c>
      <c r="C21" s="20" t="s">
        <v>945</v>
      </c>
      <c r="D21" s="21" t="s">
        <v>946</v>
      </c>
      <c r="E21" s="17">
        <v>2</v>
      </c>
      <c r="F21" s="18" t="s">
        <v>45</v>
      </c>
      <c r="G21" s="27" t="s">
        <v>947</v>
      </c>
      <c r="H21" s="21" t="s">
        <v>948</v>
      </c>
    </row>
    <row r="22" spans="1:8" ht="180" customHeight="1" x14ac:dyDescent="0.25">
      <c r="A22" s="14" t="s">
        <v>939</v>
      </c>
      <c r="B22" s="14" t="s">
        <v>940</v>
      </c>
      <c r="C22" s="15" t="s">
        <v>949</v>
      </c>
      <c r="D22" s="16" t="s">
        <v>950</v>
      </c>
      <c r="E22" s="17">
        <v>2</v>
      </c>
      <c r="F22" s="18" t="s">
        <v>45</v>
      </c>
      <c r="G22" s="27" t="s">
        <v>951</v>
      </c>
      <c r="H22" s="16" t="s">
        <v>952</v>
      </c>
    </row>
    <row r="23" spans="1:8" ht="180" customHeight="1" x14ac:dyDescent="0.25">
      <c r="A23" s="19" t="s">
        <v>939</v>
      </c>
      <c r="B23" s="19" t="s">
        <v>940</v>
      </c>
      <c r="C23" s="20" t="s">
        <v>953</v>
      </c>
      <c r="D23" s="21" t="s">
        <v>954</v>
      </c>
      <c r="E23" s="17">
        <v>2</v>
      </c>
      <c r="F23" s="18" t="s">
        <v>45</v>
      </c>
      <c r="G23" s="21" t="s">
        <v>955</v>
      </c>
      <c r="H23" s="21" t="s">
        <v>956</v>
      </c>
    </row>
    <row r="24" spans="1:8" x14ac:dyDescent="0.25">
      <c r="A24" s="13" t="s">
        <v>957</v>
      </c>
      <c r="B24" s="13" t="s">
        <v>958</v>
      </c>
      <c r="C24" s="13"/>
      <c r="D24" s="13"/>
      <c r="E24" s="13"/>
      <c r="F24" s="13"/>
      <c r="G24" s="13"/>
      <c r="H24" s="13"/>
    </row>
    <row r="25" spans="1:8" ht="210" customHeight="1" x14ac:dyDescent="0.25">
      <c r="A25" s="14" t="s">
        <v>957</v>
      </c>
      <c r="B25" s="14" t="s">
        <v>958</v>
      </c>
      <c r="C25" s="15" t="s">
        <v>959</v>
      </c>
      <c r="D25" s="16" t="s">
        <v>960</v>
      </c>
      <c r="E25" s="17">
        <v>2</v>
      </c>
      <c r="F25" s="18" t="s">
        <v>236</v>
      </c>
      <c r="G25" s="16" t="s">
        <v>961</v>
      </c>
      <c r="H25" s="16" t="s">
        <v>962</v>
      </c>
    </row>
    <row r="26" spans="1:8" ht="210" customHeight="1" x14ac:dyDescent="0.25">
      <c r="A26" s="19" t="s">
        <v>957</v>
      </c>
      <c r="B26" s="19" t="s">
        <v>958</v>
      </c>
      <c r="C26" s="20" t="s">
        <v>963</v>
      </c>
      <c r="D26" s="21" t="s">
        <v>964</v>
      </c>
      <c r="E26" s="23">
        <v>3</v>
      </c>
      <c r="F26" s="18" t="s">
        <v>45</v>
      </c>
      <c r="G26" s="21" t="s">
        <v>965</v>
      </c>
      <c r="H26" s="21" t="s">
        <v>966</v>
      </c>
    </row>
    <row r="27" spans="1:8" x14ac:dyDescent="0.25">
      <c r="A27" s="13" t="s">
        <v>967</v>
      </c>
      <c r="B27" s="13" t="s">
        <v>968</v>
      </c>
      <c r="C27" s="13"/>
      <c r="D27" s="13"/>
      <c r="E27" s="13"/>
      <c r="F27" s="13"/>
      <c r="G27" s="13"/>
      <c r="H27" s="13"/>
    </row>
    <row r="28" spans="1:8" ht="210" customHeight="1" x14ac:dyDescent="0.25">
      <c r="A28" s="14" t="s">
        <v>967</v>
      </c>
      <c r="B28" s="14" t="s">
        <v>968</v>
      </c>
      <c r="C28" s="15" t="s">
        <v>969</v>
      </c>
      <c r="D28" s="16" t="s">
        <v>970</v>
      </c>
      <c r="E28" s="17">
        <v>2</v>
      </c>
      <c r="F28" s="18" t="s">
        <v>45</v>
      </c>
      <c r="G28" s="16" t="s">
        <v>971</v>
      </c>
      <c r="H28" s="16" t="s">
        <v>972</v>
      </c>
    </row>
    <row r="29" spans="1:8" ht="150" customHeight="1" x14ac:dyDescent="0.25">
      <c r="A29" s="19" t="s">
        <v>967</v>
      </c>
      <c r="B29" s="19" t="s">
        <v>968</v>
      </c>
      <c r="C29" s="20" t="s">
        <v>973</v>
      </c>
      <c r="D29" s="21" t="s">
        <v>974</v>
      </c>
      <c r="E29" s="23">
        <v>3</v>
      </c>
      <c r="F29" s="18" t="s">
        <v>56</v>
      </c>
      <c r="G29" s="21" t="s">
        <v>975</v>
      </c>
      <c r="H29" s="21"/>
    </row>
    <row r="30" spans="1:8" x14ac:dyDescent="0.25">
      <c r="A30" s="13" t="s">
        <v>976</v>
      </c>
      <c r="B30" s="13" t="s">
        <v>977</v>
      </c>
      <c r="C30" s="13"/>
      <c r="D30" s="13"/>
      <c r="E30" s="13"/>
      <c r="F30" s="13"/>
      <c r="G30" s="13"/>
      <c r="H30" s="13"/>
    </row>
    <row r="31" spans="1:8" ht="210" customHeight="1" x14ac:dyDescent="0.25">
      <c r="A31" s="14" t="s">
        <v>976</v>
      </c>
      <c r="B31" s="14" t="s">
        <v>977</v>
      </c>
      <c r="C31" s="15" t="s">
        <v>978</v>
      </c>
      <c r="D31" s="16" t="s">
        <v>979</v>
      </c>
      <c r="E31" s="23">
        <v>3</v>
      </c>
      <c r="F31" s="18" t="s">
        <v>56</v>
      </c>
      <c r="G31" s="16" t="s">
        <v>980</v>
      </c>
      <c r="H31" s="16"/>
    </row>
    <row r="32" spans="1:8" ht="45" customHeight="1" x14ac:dyDescent="0.25">
      <c r="A32" s="19" t="s">
        <v>976</v>
      </c>
      <c r="B32" s="19" t="s">
        <v>977</v>
      </c>
      <c r="C32" s="20" t="s">
        <v>981</v>
      </c>
      <c r="D32" s="21" t="s">
        <v>982</v>
      </c>
      <c r="E32" s="23">
        <v>3</v>
      </c>
      <c r="F32" s="18" t="s">
        <v>56</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983</v>
      </c>
      <c r="B2" s="13" t="s">
        <v>984</v>
      </c>
      <c r="C2" s="13"/>
      <c r="D2" s="13"/>
      <c r="E2" s="13"/>
      <c r="F2" s="13"/>
      <c r="G2" s="13"/>
      <c r="H2" s="13"/>
    </row>
    <row r="3" spans="1:8" ht="90" customHeight="1" x14ac:dyDescent="0.25">
      <c r="A3" s="14" t="s">
        <v>983</v>
      </c>
      <c r="B3" s="14" t="s">
        <v>984</v>
      </c>
      <c r="C3" s="15" t="s">
        <v>985</v>
      </c>
      <c r="D3" s="16" t="s">
        <v>986</v>
      </c>
      <c r="E3" s="22">
        <v>1</v>
      </c>
      <c r="F3" s="18" t="s">
        <v>45</v>
      </c>
      <c r="G3" s="16" t="s">
        <v>987</v>
      </c>
      <c r="H3" s="16" t="s">
        <v>988</v>
      </c>
    </row>
    <row r="4" spans="1:8" ht="90" customHeight="1" x14ac:dyDescent="0.25">
      <c r="A4" s="19" t="s">
        <v>983</v>
      </c>
      <c r="B4" s="19" t="s">
        <v>984</v>
      </c>
      <c r="C4" s="20" t="s">
        <v>989</v>
      </c>
      <c r="D4" s="21" t="s">
        <v>990</v>
      </c>
      <c r="E4" s="17">
        <v>2</v>
      </c>
      <c r="F4" s="18" t="s">
        <v>45</v>
      </c>
      <c r="G4" s="21" t="s">
        <v>991</v>
      </c>
      <c r="H4" s="21" t="s">
        <v>992</v>
      </c>
    </row>
    <row r="5" spans="1:8" ht="60" customHeight="1" x14ac:dyDescent="0.25">
      <c r="A5" s="14" t="s">
        <v>983</v>
      </c>
      <c r="B5" s="14" t="s">
        <v>984</v>
      </c>
      <c r="C5" s="15" t="s">
        <v>993</v>
      </c>
      <c r="D5" s="16" t="s">
        <v>994</v>
      </c>
      <c r="E5" s="17">
        <v>2</v>
      </c>
      <c r="F5" s="18" t="s">
        <v>56</v>
      </c>
      <c r="G5" s="16" t="s">
        <v>995</v>
      </c>
      <c r="H5" s="16"/>
    </row>
    <row r="6" spans="1:8" ht="30" customHeight="1" x14ac:dyDescent="0.25">
      <c r="A6" s="19" t="s">
        <v>983</v>
      </c>
      <c r="B6" s="19" t="s">
        <v>984</v>
      </c>
      <c r="C6" s="20" t="s">
        <v>996</v>
      </c>
      <c r="D6" s="21" t="s">
        <v>997</v>
      </c>
      <c r="E6" s="23">
        <v>3</v>
      </c>
      <c r="F6" s="18" t="s">
        <v>56</v>
      </c>
      <c r="G6" s="21"/>
      <c r="H6" s="21"/>
    </row>
    <row r="7" spans="1:8" ht="30" customHeight="1" x14ac:dyDescent="0.25">
      <c r="A7" s="14" t="s">
        <v>983</v>
      </c>
      <c r="B7" s="14" t="s">
        <v>984</v>
      </c>
      <c r="C7" s="15" t="s">
        <v>998</v>
      </c>
      <c r="D7" s="16" t="s">
        <v>999</v>
      </c>
      <c r="E7" s="23">
        <v>3</v>
      </c>
      <c r="F7" s="18" t="s">
        <v>56</v>
      </c>
      <c r="G7" s="16"/>
      <c r="H7" s="16"/>
    </row>
    <row r="8" spans="1:8" ht="18" customHeight="1" x14ac:dyDescent="0.25">
      <c r="A8" s="13" t="s">
        <v>1000</v>
      </c>
      <c r="B8" s="13" t="s">
        <v>1001</v>
      </c>
      <c r="C8" s="13"/>
      <c r="D8" s="13"/>
      <c r="E8" s="13"/>
      <c r="F8" s="13"/>
      <c r="G8" s="13"/>
      <c r="H8" s="13"/>
    </row>
    <row r="9" spans="1:8" ht="90" customHeight="1" x14ac:dyDescent="0.25">
      <c r="A9" s="14" t="s">
        <v>1000</v>
      </c>
      <c r="B9" s="14" t="s">
        <v>1001</v>
      </c>
      <c r="C9" s="15" t="s">
        <v>1002</v>
      </c>
      <c r="D9" s="16" t="s">
        <v>1003</v>
      </c>
      <c r="E9" s="22">
        <v>1</v>
      </c>
      <c r="F9" s="18" t="s">
        <v>45</v>
      </c>
      <c r="G9" s="16" t="s">
        <v>1004</v>
      </c>
      <c r="H9" s="16" t="s">
        <v>1005</v>
      </c>
    </row>
    <row r="10" spans="1:8" ht="90" customHeight="1" x14ac:dyDescent="0.25">
      <c r="A10" s="19" t="s">
        <v>1000</v>
      </c>
      <c r="B10" s="19" t="s">
        <v>1001</v>
      </c>
      <c r="C10" s="20" t="s">
        <v>1006</v>
      </c>
      <c r="D10" s="21" t="s">
        <v>1007</v>
      </c>
      <c r="E10" s="22">
        <v>1</v>
      </c>
      <c r="F10" s="18" t="s">
        <v>1008</v>
      </c>
      <c r="G10" s="21" t="s">
        <v>1009</v>
      </c>
      <c r="H10" s="21" t="s">
        <v>1010</v>
      </c>
    </row>
    <row r="11" spans="1:8" ht="18" customHeight="1" x14ac:dyDescent="0.25">
      <c r="A11" s="13" t="s">
        <v>1011</v>
      </c>
      <c r="B11" s="13" t="s">
        <v>1012</v>
      </c>
      <c r="C11" s="13"/>
      <c r="D11" s="13"/>
      <c r="E11" s="13"/>
      <c r="F11" s="13"/>
      <c r="G11" s="13"/>
      <c r="H11" s="13"/>
    </row>
    <row r="12" spans="1:8" ht="30" customHeight="1" x14ac:dyDescent="0.25">
      <c r="A12" s="14" t="s">
        <v>1011</v>
      </c>
      <c r="B12" s="14" t="s">
        <v>1012</v>
      </c>
      <c r="C12" s="15" t="s">
        <v>1013</v>
      </c>
      <c r="D12" s="16" t="s">
        <v>1014</v>
      </c>
      <c r="E12" s="17">
        <v>2</v>
      </c>
      <c r="F12" s="18" t="s">
        <v>1008</v>
      </c>
      <c r="G12" s="16" t="s">
        <v>1015</v>
      </c>
      <c r="H12" s="16" t="s">
        <v>1016</v>
      </c>
    </row>
    <row r="13" spans="1:8" ht="30" customHeight="1" x14ac:dyDescent="0.25">
      <c r="A13" s="19" t="s">
        <v>1011</v>
      </c>
      <c r="B13" s="19" t="s">
        <v>1012</v>
      </c>
      <c r="C13" s="20" t="s">
        <v>1017</v>
      </c>
      <c r="D13" s="21" t="s">
        <v>1018</v>
      </c>
      <c r="E13" s="17">
        <v>2</v>
      </c>
      <c r="F13" s="18" t="s">
        <v>45</v>
      </c>
      <c r="G13" s="21" t="s">
        <v>1019</v>
      </c>
      <c r="H13" s="21" t="s">
        <v>1020</v>
      </c>
    </row>
    <row r="14" spans="1:8" ht="30" customHeight="1" x14ac:dyDescent="0.25">
      <c r="A14" s="14" t="s">
        <v>1011</v>
      </c>
      <c r="B14" s="14" t="s">
        <v>1012</v>
      </c>
      <c r="C14" s="15" t="s">
        <v>1021</v>
      </c>
      <c r="D14" s="16" t="s">
        <v>1022</v>
      </c>
      <c r="E14" s="17">
        <v>2</v>
      </c>
      <c r="F14" s="18" t="s">
        <v>1008</v>
      </c>
      <c r="G14" s="16" t="s">
        <v>1023</v>
      </c>
      <c r="H14" s="16" t="s">
        <v>1024</v>
      </c>
    </row>
    <row r="15" spans="1:8" ht="75" customHeight="1" x14ac:dyDescent="0.25">
      <c r="A15" s="19" t="s">
        <v>1011</v>
      </c>
      <c r="B15" s="19" t="s">
        <v>1012</v>
      </c>
      <c r="C15" s="20" t="s">
        <v>1025</v>
      </c>
      <c r="D15" s="21" t="s">
        <v>1026</v>
      </c>
      <c r="E15" s="17">
        <v>2</v>
      </c>
      <c r="F15" s="18" t="s">
        <v>45</v>
      </c>
      <c r="G15" s="21" t="s">
        <v>1027</v>
      </c>
      <c r="H15" s="21" t="s">
        <v>1028</v>
      </c>
    </row>
    <row r="16" spans="1:8" ht="30" customHeight="1" x14ac:dyDescent="0.25">
      <c r="A16" s="14" t="s">
        <v>1011</v>
      </c>
      <c r="B16" s="14" t="s">
        <v>1012</v>
      </c>
      <c r="C16" s="15" t="s">
        <v>1029</v>
      </c>
      <c r="D16" s="16" t="s">
        <v>1030</v>
      </c>
      <c r="E16" s="23">
        <v>3</v>
      </c>
      <c r="F16" s="18" t="s">
        <v>56</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Normal="100" workbookViewId="0">
      <pane ySplit="1" topLeftCell="A4" activePane="bottomLeft" state="frozen"/>
      <selection pane="bottomLeft" activeCell="D16" sqref="D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1031</v>
      </c>
      <c r="B2" s="13" t="s">
        <v>1032</v>
      </c>
      <c r="C2" s="13"/>
      <c r="D2" s="13"/>
      <c r="E2" s="13"/>
      <c r="F2" s="13"/>
      <c r="G2" s="13"/>
      <c r="H2" s="13"/>
    </row>
    <row r="3" spans="1:8" ht="30" customHeight="1" x14ac:dyDescent="0.25">
      <c r="A3" s="14" t="s">
        <v>1031</v>
      </c>
      <c r="B3" s="14" t="s">
        <v>1032</v>
      </c>
      <c r="C3" s="15" t="s">
        <v>1033</v>
      </c>
      <c r="D3" s="16" t="s">
        <v>1034</v>
      </c>
      <c r="E3" s="17">
        <v>2</v>
      </c>
      <c r="F3" s="18" t="s">
        <v>45</v>
      </c>
      <c r="G3" s="16" t="s">
        <v>1035</v>
      </c>
      <c r="H3" s="16" t="s">
        <v>1036</v>
      </c>
    </row>
    <row r="4" spans="1:8" ht="30" customHeight="1" x14ac:dyDescent="0.25">
      <c r="A4" s="19" t="s">
        <v>1031</v>
      </c>
      <c r="B4" s="19" t="s">
        <v>1032</v>
      </c>
      <c r="C4" s="20" t="s">
        <v>1037</v>
      </c>
      <c r="D4" s="21" t="s">
        <v>1038</v>
      </c>
      <c r="E4" s="23">
        <v>3</v>
      </c>
      <c r="F4" s="18" t="s">
        <v>56</v>
      </c>
      <c r="G4" s="21"/>
      <c r="H4" s="21"/>
    </row>
    <row r="5" spans="1:8" ht="30" customHeight="1" x14ac:dyDescent="0.25">
      <c r="A5" s="14" t="s">
        <v>1031</v>
      </c>
      <c r="B5" s="14" t="s">
        <v>1032</v>
      </c>
      <c r="C5" s="15" t="s">
        <v>1039</v>
      </c>
      <c r="D5" s="16" t="s">
        <v>1040</v>
      </c>
      <c r="E5" s="23">
        <v>3</v>
      </c>
      <c r="F5" s="18" t="s">
        <v>56</v>
      </c>
      <c r="G5" s="16"/>
      <c r="H5" s="16"/>
    </row>
    <row r="6" spans="1:8" ht="30" customHeight="1" x14ac:dyDescent="0.25">
      <c r="A6" s="19" t="s">
        <v>1031</v>
      </c>
      <c r="B6" s="19" t="s">
        <v>1032</v>
      </c>
      <c r="C6" s="20" t="s">
        <v>1041</v>
      </c>
      <c r="D6" s="21" t="s">
        <v>1042</v>
      </c>
      <c r="E6" s="23">
        <v>3</v>
      </c>
      <c r="F6" s="18" t="s">
        <v>56</v>
      </c>
      <c r="G6" s="21"/>
      <c r="H6" s="21"/>
    </row>
    <row r="7" spans="1:8" ht="18" customHeight="1" x14ac:dyDescent="0.25">
      <c r="A7" s="13" t="s">
        <v>1043</v>
      </c>
      <c r="B7" s="13" t="s">
        <v>1044</v>
      </c>
      <c r="C7" s="13"/>
      <c r="D7" s="13"/>
      <c r="E7" s="13"/>
      <c r="F7" s="13"/>
      <c r="G7" s="13"/>
      <c r="H7" s="13"/>
    </row>
    <row r="8" spans="1:8" ht="30" customHeight="1" x14ac:dyDescent="0.25">
      <c r="A8" s="14" t="s">
        <v>1043</v>
      </c>
      <c r="B8" s="14" t="s">
        <v>1044</v>
      </c>
      <c r="C8" s="15" t="s">
        <v>1045</v>
      </c>
      <c r="D8" s="16" t="s">
        <v>1046</v>
      </c>
      <c r="E8" s="17">
        <v>2</v>
      </c>
      <c r="F8" s="18" t="s">
        <v>187</v>
      </c>
      <c r="G8" s="16"/>
      <c r="H8" s="16"/>
    </row>
    <row r="9" spans="1:8" ht="30" customHeight="1" x14ac:dyDescent="0.25">
      <c r="A9" s="19" t="s">
        <v>1043</v>
      </c>
      <c r="B9" s="19" t="s">
        <v>1044</v>
      </c>
      <c r="C9" s="20" t="s">
        <v>1047</v>
      </c>
      <c r="D9" s="21" t="s">
        <v>1048</v>
      </c>
      <c r="E9" s="17">
        <v>2</v>
      </c>
      <c r="F9" s="18" t="s">
        <v>187</v>
      </c>
      <c r="G9" s="21"/>
      <c r="H9" s="21"/>
    </row>
    <row r="10" spans="1:8" ht="30" customHeight="1" x14ac:dyDescent="0.25">
      <c r="A10" s="14" t="s">
        <v>1043</v>
      </c>
      <c r="B10" s="14" t="s">
        <v>1044</v>
      </c>
      <c r="C10" s="15" t="s">
        <v>1049</v>
      </c>
      <c r="D10" s="16" t="s">
        <v>1050</v>
      </c>
      <c r="E10" s="17">
        <v>2</v>
      </c>
      <c r="F10" s="18" t="s">
        <v>56</v>
      </c>
      <c r="G10" s="16" t="s">
        <v>1051</v>
      </c>
      <c r="H10" s="16"/>
    </row>
    <row r="11" spans="1:8" ht="30" customHeight="1" x14ac:dyDescent="0.25">
      <c r="A11" s="19" t="s">
        <v>1043</v>
      </c>
      <c r="B11" s="19" t="s">
        <v>1044</v>
      </c>
      <c r="C11" s="20" t="s">
        <v>1052</v>
      </c>
      <c r="D11" s="21" t="s">
        <v>1053</v>
      </c>
      <c r="E11" s="17">
        <v>2</v>
      </c>
      <c r="F11" s="18" t="s">
        <v>236</v>
      </c>
      <c r="G11" s="21" t="s">
        <v>1054</v>
      </c>
      <c r="H11" s="21"/>
    </row>
    <row r="12" spans="1:8" ht="30" customHeight="1" x14ac:dyDescent="0.25">
      <c r="A12" s="14" t="s">
        <v>1043</v>
      </c>
      <c r="B12" s="14" t="s">
        <v>1044</v>
      </c>
      <c r="C12" s="15" t="s">
        <v>1055</v>
      </c>
      <c r="D12" s="16" t="s">
        <v>1056</v>
      </c>
      <c r="E12" s="17">
        <v>2</v>
      </c>
      <c r="F12" s="18" t="s">
        <v>56</v>
      </c>
      <c r="G12" s="16" t="s">
        <v>1057</v>
      </c>
      <c r="H12" s="16"/>
    </row>
    <row r="13" spans="1:8" ht="30" customHeight="1" x14ac:dyDescent="0.25">
      <c r="A13" s="19" t="s">
        <v>1043</v>
      </c>
      <c r="B13" s="19" t="s">
        <v>1044</v>
      </c>
      <c r="C13" s="20" t="s">
        <v>1058</v>
      </c>
      <c r="D13" s="21" t="s">
        <v>1059</v>
      </c>
      <c r="E13" s="23">
        <v>3</v>
      </c>
      <c r="F13" s="18" t="s">
        <v>56</v>
      </c>
      <c r="G13" s="21"/>
      <c r="H13" s="21"/>
    </row>
    <row r="14" spans="1:8" ht="18" customHeight="1" x14ac:dyDescent="0.25">
      <c r="A14" s="13" t="s">
        <v>1060</v>
      </c>
      <c r="B14" s="13" t="s">
        <v>1061</v>
      </c>
      <c r="C14" s="13"/>
      <c r="D14" s="13"/>
      <c r="E14" s="13"/>
      <c r="F14" s="13"/>
      <c r="G14" s="13"/>
      <c r="H14" s="13"/>
    </row>
    <row r="15" spans="1:8" ht="124.5" customHeight="1" x14ac:dyDescent="0.25">
      <c r="A15" s="14" t="s">
        <v>1060</v>
      </c>
      <c r="B15" s="14" t="s">
        <v>1061</v>
      </c>
      <c r="C15" s="15" t="s">
        <v>1062</v>
      </c>
      <c r="D15" s="16" t="s">
        <v>1063</v>
      </c>
      <c r="E15" s="17">
        <v>2</v>
      </c>
      <c r="F15" s="18" t="s">
        <v>187</v>
      </c>
      <c r="G15" s="16"/>
      <c r="H15" s="16"/>
    </row>
    <row r="16" spans="1:8" ht="30" customHeight="1" x14ac:dyDescent="0.25">
      <c r="A16" s="19" t="s">
        <v>1060</v>
      </c>
      <c r="B16" s="19" t="s">
        <v>1061</v>
      </c>
      <c r="C16" s="20" t="s">
        <v>1064</v>
      </c>
      <c r="D16" s="21" t="s">
        <v>1065</v>
      </c>
      <c r="E16" s="17">
        <v>2</v>
      </c>
      <c r="F16" s="18" t="s">
        <v>187</v>
      </c>
      <c r="G16" s="21"/>
      <c r="H16" s="21"/>
    </row>
    <row r="17" spans="1:8" ht="30" customHeight="1" x14ac:dyDescent="0.25">
      <c r="A17" s="14" t="s">
        <v>1060</v>
      </c>
      <c r="B17" s="14" t="s">
        <v>1061</v>
      </c>
      <c r="C17" s="15" t="s">
        <v>1066</v>
      </c>
      <c r="D17" s="16" t="s">
        <v>1067</v>
      </c>
      <c r="E17" s="23">
        <v>3</v>
      </c>
      <c r="F17" s="18" t="s">
        <v>56</v>
      </c>
      <c r="G17" s="16"/>
      <c r="H17" s="16"/>
    </row>
    <row r="18" spans="1:8" ht="30" customHeight="1" x14ac:dyDescent="0.25">
      <c r="A18" s="19" t="s">
        <v>1060</v>
      </c>
      <c r="B18" s="19" t="s">
        <v>1061</v>
      </c>
      <c r="C18" s="20" t="s">
        <v>1068</v>
      </c>
      <c r="D18" s="21" t="s">
        <v>1069</v>
      </c>
      <c r="E18" s="23">
        <v>3</v>
      </c>
      <c r="F18" s="18" t="s">
        <v>56</v>
      </c>
      <c r="G18" s="21"/>
      <c r="H18" s="21"/>
    </row>
    <row r="19" spans="1:8" ht="18" customHeight="1" x14ac:dyDescent="0.25">
      <c r="A19" s="13" t="s">
        <v>1070</v>
      </c>
      <c r="B19" s="13" t="s">
        <v>1071</v>
      </c>
      <c r="C19" s="13"/>
      <c r="D19" s="13"/>
      <c r="E19" s="13"/>
      <c r="F19" s="13"/>
      <c r="G19" s="13"/>
      <c r="H19" s="13"/>
    </row>
    <row r="20" spans="1:8" ht="30" customHeight="1" x14ac:dyDescent="0.25">
      <c r="A20" s="14" t="s">
        <v>1070</v>
      </c>
      <c r="B20" s="14" t="s">
        <v>1071</v>
      </c>
      <c r="C20" s="15" t="s">
        <v>1072</v>
      </c>
      <c r="D20" s="16" t="s">
        <v>1073</v>
      </c>
      <c r="E20" s="22">
        <v>1</v>
      </c>
      <c r="F20" s="18" t="s">
        <v>45</v>
      </c>
      <c r="G20" s="16" t="s">
        <v>1074</v>
      </c>
      <c r="H20" s="16" t="s">
        <v>1075</v>
      </c>
    </row>
    <row r="21" spans="1:8" ht="30" customHeight="1" x14ac:dyDescent="0.25">
      <c r="A21" s="19" t="s">
        <v>1070</v>
      </c>
      <c r="B21" s="19" t="s">
        <v>1071</v>
      </c>
      <c r="C21" s="20" t="s">
        <v>1076</v>
      </c>
      <c r="D21" s="21" t="s">
        <v>1077</v>
      </c>
      <c r="E21" s="17">
        <v>2</v>
      </c>
      <c r="F21" s="18" t="s">
        <v>45</v>
      </c>
      <c r="G21" s="21" t="s">
        <v>1078</v>
      </c>
      <c r="H21" s="21" t="s">
        <v>1079</v>
      </c>
    </row>
    <row r="22" spans="1:8" ht="30" customHeight="1" x14ac:dyDescent="0.25">
      <c r="A22" s="14" t="s">
        <v>1070</v>
      </c>
      <c r="B22" s="14" t="s">
        <v>1071</v>
      </c>
      <c r="C22" s="15" t="s">
        <v>1080</v>
      </c>
      <c r="D22" s="16" t="s">
        <v>1081</v>
      </c>
      <c r="E22" s="17">
        <v>2</v>
      </c>
      <c r="F22" s="18" t="s">
        <v>56</v>
      </c>
      <c r="G22" s="16" t="s">
        <v>1082</v>
      </c>
      <c r="H22" s="16"/>
    </row>
    <row r="23" spans="1:8" ht="45" customHeight="1" x14ac:dyDescent="0.25">
      <c r="A23" s="19" t="s">
        <v>1070</v>
      </c>
      <c r="B23" s="19" t="s">
        <v>1071</v>
      </c>
      <c r="C23" s="20" t="s">
        <v>1083</v>
      </c>
      <c r="D23" s="21" t="s">
        <v>1084</v>
      </c>
      <c r="E23" s="17">
        <v>2</v>
      </c>
      <c r="F23" s="18" t="s">
        <v>45</v>
      </c>
      <c r="G23" s="21" t="s">
        <v>1085</v>
      </c>
      <c r="H23" s="21" t="s">
        <v>1086</v>
      </c>
    </row>
    <row r="24" spans="1:8" ht="30" customHeight="1" x14ac:dyDescent="0.25">
      <c r="A24" s="14" t="s">
        <v>1070</v>
      </c>
      <c r="B24" s="14" t="s">
        <v>1071</v>
      </c>
      <c r="C24" s="15" t="s">
        <v>1087</v>
      </c>
      <c r="D24" s="16" t="s">
        <v>1088</v>
      </c>
      <c r="E24" s="17">
        <v>2</v>
      </c>
      <c r="F24" s="18" t="s">
        <v>45</v>
      </c>
      <c r="G24" s="16" t="s">
        <v>1089</v>
      </c>
      <c r="H24" s="16" t="s">
        <v>1090</v>
      </c>
    </row>
    <row r="25" spans="1:8" ht="30" customHeight="1" x14ac:dyDescent="0.25">
      <c r="A25" s="19" t="s">
        <v>1070</v>
      </c>
      <c r="B25" s="19" t="s">
        <v>1071</v>
      </c>
      <c r="C25" s="20" t="s">
        <v>1091</v>
      </c>
      <c r="D25" s="21" t="s">
        <v>1092</v>
      </c>
      <c r="E25" s="23">
        <v>3</v>
      </c>
      <c r="F25" s="18" t="s">
        <v>56</v>
      </c>
      <c r="G25" s="21"/>
      <c r="H25" s="21"/>
    </row>
    <row r="26" spans="1:8" ht="30" customHeight="1" x14ac:dyDescent="0.25">
      <c r="A26" s="14" t="s">
        <v>1070</v>
      </c>
      <c r="B26" s="14" t="s">
        <v>1071</v>
      </c>
      <c r="C26" s="15" t="s">
        <v>1093</v>
      </c>
      <c r="D26" s="16" t="s">
        <v>1094</v>
      </c>
      <c r="E26" s="23">
        <v>3</v>
      </c>
      <c r="F26" s="18" t="s">
        <v>56</v>
      </c>
      <c r="G26" s="16" t="s">
        <v>1095</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2" activePane="bottomLeft" state="frozen"/>
      <selection pane="bottomLeft" activeCell="F8" sqref="F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1096</v>
      </c>
      <c r="B2" s="13" t="s">
        <v>1097</v>
      </c>
      <c r="C2" s="13"/>
      <c r="D2" s="13"/>
      <c r="E2" s="13"/>
      <c r="F2" s="13"/>
      <c r="G2" s="13"/>
      <c r="H2" s="13"/>
    </row>
    <row r="3" spans="1:8" ht="120" customHeight="1" x14ac:dyDescent="0.25">
      <c r="A3" s="14" t="s">
        <v>1096</v>
      </c>
      <c r="B3" s="14" t="s">
        <v>1097</v>
      </c>
      <c r="C3" s="15" t="s">
        <v>1098</v>
      </c>
      <c r="D3" s="16" t="s">
        <v>1099</v>
      </c>
      <c r="E3" s="17">
        <v>2</v>
      </c>
      <c r="F3" s="18" t="s">
        <v>45</v>
      </c>
      <c r="G3" s="16" t="s">
        <v>1100</v>
      </c>
      <c r="H3" s="16" t="s">
        <v>1101</v>
      </c>
    </row>
    <row r="4" spans="1:8" ht="105.4" customHeight="1" x14ac:dyDescent="0.25">
      <c r="A4" s="19" t="s">
        <v>1096</v>
      </c>
      <c r="B4" s="19" t="s">
        <v>1097</v>
      </c>
      <c r="C4" s="20" t="s">
        <v>1102</v>
      </c>
      <c r="D4" s="21" t="s">
        <v>1103</v>
      </c>
      <c r="E4" s="17">
        <v>2</v>
      </c>
      <c r="F4" s="18" t="s">
        <v>56</v>
      </c>
      <c r="G4" s="21" t="s">
        <v>1104</v>
      </c>
      <c r="H4" s="21"/>
    </row>
    <row r="5" spans="1:8" ht="18" customHeight="1" x14ac:dyDescent="0.25">
      <c r="A5" s="13" t="s">
        <v>1105</v>
      </c>
      <c r="B5" s="13" t="s">
        <v>1106</v>
      </c>
      <c r="C5" s="13"/>
      <c r="D5" s="13"/>
      <c r="E5" s="13"/>
      <c r="F5" s="13"/>
      <c r="G5" s="13"/>
      <c r="H5" s="13"/>
    </row>
    <row r="6" spans="1:8" ht="90" customHeight="1" x14ac:dyDescent="0.25">
      <c r="A6" s="14" t="s">
        <v>1105</v>
      </c>
      <c r="B6" s="14" t="s">
        <v>1106</v>
      </c>
      <c r="C6" s="15" t="s">
        <v>1107</v>
      </c>
      <c r="D6" s="16" t="s">
        <v>1108</v>
      </c>
      <c r="E6" s="22">
        <v>1</v>
      </c>
      <c r="F6" s="18" t="s">
        <v>45</v>
      </c>
      <c r="G6" s="16" t="s">
        <v>1109</v>
      </c>
      <c r="H6" s="16" t="s">
        <v>1110</v>
      </c>
    </row>
    <row r="7" spans="1:8" ht="50.45" customHeight="1" x14ac:dyDescent="0.25">
      <c r="A7" s="19" t="s">
        <v>1105</v>
      </c>
      <c r="B7" s="19" t="s">
        <v>1106</v>
      </c>
      <c r="C7" s="20" t="s">
        <v>1111</v>
      </c>
      <c r="D7" s="21" t="s">
        <v>1112</v>
      </c>
      <c r="E7" s="17">
        <v>2</v>
      </c>
      <c r="F7" s="18" t="s">
        <v>45</v>
      </c>
      <c r="G7" s="21" t="s">
        <v>1113</v>
      </c>
      <c r="H7" s="21" t="s">
        <v>1114</v>
      </c>
    </row>
    <row r="8" spans="1:8" ht="68.650000000000006" customHeight="1" x14ac:dyDescent="0.25">
      <c r="A8" s="14" t="s">
        <v>1105</v>
      </c>
      <c r="B8" s="14" t="s">
        <v>1106</v>
      </c>
      <c r="C8" s="15" t="s">
        <v>1115</v>
      </c>
      <c r="D8" s="16" t="s">
        <v>1116</v>
      </c>
      <c r="E8" s="17">
        <v>2</v>
      </c>
      <c r="F8" s="18" t="s">
        <v>45</v>
      </c>
      <c r="G8" s="16" t="s">
        <v>1117</v>
      </c>
      <c r="H8" s="16" t="s">
        <v>1118</v>
      </c>
    </row>
    <row r="9" spans="1:8" ht="90" customHeight="1" x14ac:dyDescent="0.25">
      <c r="A9" s="19" t="s">
        <v>1105</v>
      </c>
      <c r="B9" s="19" t="s">
        <v>1106</v>
      </c>
      <c r="C9" s="20" t="s">
        <v>1119</v>
      </c>
      <c r="D9" s="21" t="s">
        <v>1120</v>
      </c>
      <c r="E9" s="17">
        <v>2</v>
      </c>
      <c r="F9" s="18" t="s">
        <v>236</v>
      </c>
      <c r="G9" s="21" t="s">
        <v>1121</v>
      </c>
      <c r="H9" s="21" t="s">
        <v>1122</v>
      </c>
    </row>
    <row r="10" spans="1:8" ht="30" customHeight="1" x14ac:dyDescent="0.25">
      <c r="A10" s="14" t="s">
        <v>1105</v>
      </c>
      <c r="B10" s="14" t="s">
        <v>1106</v>
      </c>
      <c r="C10" s="15" t="s">
        <v>1123</v>
      </c>
      <c r="D10" s="16" t="s">
        <v>1124</v>
      </c>
      <c r="E10" s="23">
        <v>3</v>
      </c>
      <c r="F10" s="18" t="s">
        <v>56</v>
      </c>
      <c r="G10" s="16"/>
      <c r="H10" s="16"/>
    </row>
    <row r="11" spans="1:8" ht="30" customHeight="1" x14ac:dyDescent="0.25">
      <c r="A11" s="19" t="s">
        <v>1105</v>
      </c>
      <c r="B11" s="19" t="s">
        <v>1106</v>
      </c>
      <c r="C11" s="20" t="s">
        <v>1125</v>
      </c>
      <c r="D11" s="21" t="s">
        <v>1126</v>
      </c>
      <c r="E11" s="23">
        <v>3</v>
      </c>
      <c r="F11" s="18" t="s">
        <v>56</v>
      </c>
      <c r="G11" s="21"/>
      <c r="H11" s="21"/>
    </row>
    <row r="12" spans="1:8" ht="30" customHeight="1" x14ac:dyDescent="0.25">
      <c r="A12" s="14" t="s">
        <v>1105</v>
      </c>
      <c r="B12" s="14" t="s">
        <v>1106</v>
      </c>
      <c r="C12" s="15" t="s">
        <v>1127</v>
      </c>
      <c r="D12" s="16" t="s">
        <v>1128</v>
      </c>
      <c r="E12" s="23">
        <v>3</v>
      </c>
      <c r="F12" s="18" t="s">
        <v>56</v>
      </c>
      <c r="G12" s="16"/>
      <c r="H12" s="16"/>
    </row>
    <row r="13" spans="1:8" ht="30" customHeight="1" x14ac:dyDescent="0.25">
      <c r="A13" s="19" t="s">
        <v>1105</v>
      </c>
      <c r="B13" s="19" t="s">
        <v>1106</v>
      </c>
      <c r="C13" s="20" t="s">
        <v>1129</v>
      </c>
      <c r="D13" s="21" t="s">
        <v>1130</v>
      </c>
      <c r="E13" s="23">
        <v>3</v>
      </c>
      <c r="F13" s="18" t="s">
        <v>56</v>
      </c>
      <c r="G13" s="21"/>
      <c r="H13" s="21"/>
    </row>
    <row r="14" spans="1:8" ht="18" customHeight="1" x14ac:dyDescent="0.25">
      <c r="A14" s="13" t="s">
        <v>1131</v>
      </c>
      <c r="B14" s="13" t="s">
        <v>1132</v>
      </c>
      <c r="C14" s="13"/>
      <c r="D14" s="13"/>
      <c r="E14" s="13"/>
      <c r="F14" s="13"/>
      <c r="G14" s="13"/>
      <c r="H14" s="13"/>
    </row>
    <row r="15" spans="1:8" ht="30" customHeight="1" x14ac:dyDescent="0.25">
      <c r="A15" s="14" t="s">
        <v>1131</v>
      </c>
      <c r="B15" s="14" t="s">
        <v>1132</v>
      </c>
      <c r="C15" s="15" t="s">
        <v>1133</v>
      </c>
      <c r="D15" s="16" t="s">
        <v>1134</v>
      </c>
      <c r="E15" s="22">
        <v>1</v>
      </c>
      <c r="F15" s="18" t="s">
        <v>56</v>
      </c>
      <c r="G15" s="16" t="s">
        <v>1135</v>
      </c>
      <c r="H15" s="16"/>
    </row>
    <row r="16" spans="1:8" ht="45" customHeight="1" x14ac:dyDescent="0.25">
      <c r="A16" s="19" t="s">
        <v>1131</v>
      </c>
      <c r="B16" s="19" t="s">
        <v>1132</v>
      </c>
      <c r="C16" s="20" t="s">
        <v>1136</v>
      </c>
      <c r="D16" s="21" t="s">
        <v>1137</v>
      </c>
      <c r="E16" s="17">
        <v>2</v>
      </c>
      <c r="F16" s="18" t="s">
        <v>45</v>
      </c>
      <c r="G16" s="21" t="s">
        <v>1138</v>
      </c>
      <c r="H16" s="21" t="s">
        <v>1114</v>
      </c>
    </row>
    <row r="17" spans="1:8" ht="45" customHeight="1" x14ac:dyDescent="0.25">
      <c r="A17" s="14" t="s">
        <v>1131</v>
      </c>
      <c r="B17" s="14" t="s">
        <v>1132</v>
      </c>
      <c r="C17" s="15" t="s">
        <v>1139</v>
      </c>
      <c r="D17" s="16" t="s">
        <v>1140</v>
      </c>
      <c r="E17" s="17">
        <v>2</v>
      </c>
      <c r="F17" s="18" t="s">
        <v>56</v>
      </c>
      <c r="G17" s="16" t="s">
        <v>1141</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0"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1142</v>
      </c>
      <c r="B2" s="13" t="s">
        <v>1143</v>
      </c>
      <c r="C2" s="13"/>
      <c r="D2" s="13"/>
      <c r="E2" s="13"/>
      <c r="F2" s="13"/>
      <c r="G2" s="13"/>
      <c r="H2" s="13"/>
    </row>
    <row r="3" spans="1:8" ht="105" customHeight="1" x14ac:dyDescent="0.25">
      <c r="A3" s="14" t="s">
        <v>1142</v>
      </c>
      <c r="B3" s="14" t="s">
        <v>1143</v>
      </c>
      <c r="C3" s="15" t="s">
        <v>1144</v>
      </c>
      <c r="D3" s="16" t="s">
        <v>1145</v>
      </c>
      <c r="E3" s="22">
        <v>1</v>
      </c>
      <c r="F3" s="18" t="s">
        <v>45</v>
      </c>
      <c r="G3" s="16" t="s">
        <v>1146</v>
      </c>
      <c r="H3" s="16" t="s">
        <v>1147</v>
      </c>
    </row>
    <row r="4" spans="1:8" ht="120" customHeight="1" x14ac:dyDescent="0.25">
      <c r="A4" s="19" t="s">
        <v>1142</v>
      </c>
      <c r="B4" s="19" t="s">
        <v>1143</v>
      </c>
      <c r="C4" s="20" t="s">
        <v>1148</v>
      </c>
      <c r="D4" s="21" t="s">
        <v>1149</v>
      </c>
      <c r="E4" s="17">
        <v>2</v>
      </c>
      <c r="F4" s="18" t="s">
        <v>45</v>
      </c>
      <c r="G4" s="21" t="s">
        <v>1150</v>
      </c>
      <c r="H4" s="21" t="s">
        <v>1151</v>
      </c>
    </row>
    <row r="5" spans="1:8" ht="150" customHeight="1" x14ac:dyDescent="0.25">
      <c r="A5" s="14" t="s">
        <v>1142</v>
      </c>
      <c r="B5" s="14" t="s">
        <v>1143</v>
      </c>
      <c r="C5" s="15" t="s">
        <v>1152</v>
      </c>
      <c r="D5" s="16" t="s">
        <v>1153</v>
      </c>
      <c r="E5" s="17">
        <v>2</v>
      </c>
      <c r="F5" s="18" t="s">
        <v>45</v>
      </c>
      <c r="G5" s="16" t="s">
        <v>1154</v>
      </c>
      <c r="H5" s="16" t="s">
        <v>1155</v>
      </c>
    </row>
    <row r="6" spans="1:8" ht="30" customHeight="1" x14ac:dyDescent="0.25">
      <c r="A6" s="19" t="s">
        <v>1142</v>
      </c>
      <c r="B6" s="19" t="s">
        <v>1143</v>
      </c>
      <c r="C6" s="20" t="s">
        <v>1156</v>
      </c>
      <c r="D6" s="21" t="s">
        <v>1157</v>
      </c>
      <c r="E6" s="23">
        <v>3</v>
      </c>
      <c r="F6" s="18" t="s">
        <v>56</v>
      </c>
      <c r="G6" s="21"/>
      <c r="H6" s="21"/>
    </row>
    <row r="7" spans="1:8" ht="255" customHeight="1" x14ac:dyDescent="0.25">
      <c r="A7" s="14" t="s">
        <v>1142</v>
      </c>
      <c r="B7" s="14" t="s">
        <v>1143</v>
      </c>
      <c r="C7" s="15" t="s">
        <v>1158</v>
      </c>
      <c r="D7" s="16" t="s">
        <v>1159</v>
      </c>
      <c r="E7" s="23">
        <v>3</v>
      </c>
      <c r="F7" s="18" t="s">
        <v>45</v>
      </c>
      <c r="G7" s="16" t="s">
        <v>1160</v>
      </c>
      <c r="H7" s="16" t="s">
        <v>1161</v>
      </c>
    </row>
    <row r="8" spans="1:8" x14ac:dyDescent="0.25">
      <c r="A8" s="13" t="s">
        <v>1162</v>
      </c>
      <c r="B8" s="13" t="s">
        <v>1163</v>
      </c>
      <c r="C8" s="13"/>
      <c r="D8" s="13"/>
      <c r="E8" s="13"/>
      <c r="F8" s="13"/>
      <c r="G8" s="13"/>
      <c r="H8" s="13"/>
    </row>
    <row r="9" spans="1:8" ht="150" customHeight="1" x14ac:dyDescent="0.25">
      <c r="A9" s="14" t="s">
        <v>1162</v>
      </c>
      <c r="B9" s="14" t="s">
        <v>1163</v>
      </c>
      <c r="C9" s="15" t="s">
        <v>1164</v>
      </c>
      <c r="D9" s="16" t="s">
        <v>1165</v>
      </c>
      <c r="E9" s="22">
        <v>1</v>
      </c>
      <c r="F9" s="18" t="s">
        <v>45</v>
      </c>
      <c r="G9" s="16" t="s">
        <v>1166</v>
      </c>
      <c r="H9" s="16" t="s">
        <v>1167</v>
      </c>
    </row>
    <row r="10" spans="1:8" ht="165" customHeight="1" x14ac:dyDescent="0.25">
      <c r="A10" s="19" t="s">
        <v>1162</v>
      </c>
      <c r="B10" s="19" t="s">
        <v>1163</v>
      </c>
      <c r="C10" s="20" t="s">
        <v>1168</v>
      </c>
      <c r="D10" s="21" t="s">
        <v>1169</v>
      </c>
      <c r="E10" s="17">
        <v>2</v>
      </c>
      <c r="F10" s="18" t="s">
        <v>45</v>
      </c>
      <c r="G10" s="21" t="s">
        <v>1170</v>
      </c>
      <c r="H10" s="21" t="s">
        <v>1171</v>
      </c>
    </row>
    <row r="11" spans="1:8" ht="150" customHeight="1" x14ac:dyDescent="0.25">
      <c r="A11" s="14" t="s">
        <v>1162</v>
      </c>
      <c r="B11" s="14" t="s">
        <v>1163</v>
      </c>
      <c r="C11" s="15" t="s">
        <v>1172</v>
      </c>
      <c r="D11" s="16" t="s">
        <v>1173</v>
      </c>
      <c r="E11" s="17">
        <v>2</v>
      </c>
      <c r="F11" s="18" t="s">
        <v>45</v>
      </c>
      <c r="G11" s="16" t="s">
        <v>1174</v>
      </c>
      <c r="H11" s="16" t="s">
        <v>1175</v>
      </c>
    </row>
    <row r="12" spans="1:8" ht="60" customHeight="1" x14ac:dyDescent="0.25">
      <c r="A12" s="19" t="s">
        <v>1162</v>
      </c>
      <c r="B12" s="19" t="s">
        <v>1163</v>
      </c>
      <c r="C12" s="20" t="s">
        <v>1176</v>
      </c>
      <c r="D12" s="21" t="s">
        <v>1177</v>
      </c>
      <c r="E12" s="23">
        <v>3</v>
      </c>
      <c r="F12" s="18" t="s">
        <v>56</v>
      </c>
      <c r="G12" s="21"/>
      <c r="H12" s="21"/>
    </row>
    <row r="13" spans="1:8" ht="285" customHeight="1" x14ac:dyDescent="0.25">
      <c r="A13" s="14" t="s">
        <v>1162</v>
      </c>
      <c r="B13" s="14" t="s">
        <v>1163</v>
      </c>
      <c r="C13" s="15" t="s">
        <v>1178</v>
      </c>
      <c r="D13" s="16" t="s">
        <v>1179</v>
      </c>
      <c r="E13" s="23">
        <v>3</v>
      </c>
      <c r="F13" s="18" t="s">
        <v>45</v>
      </c>
      <c r="G13" s="16" t="s">
        <v>1180</v>
      </c>
      <c r="H13" s="16" t="s">
        <v>1181</v>
      </c>
    </row>
    <row r="14" spans="1:8" x14ac:dyDescent="0.25">
      <c r="A14" s="13" t="s">
        <v>1182</v>
      </c>
      <c r="B14" s="13" t="s">
        <v>1183</v>
      </c>
      <c r="C14" s="13"/>
      <c r="D14" s="13"/>
      <c r="E14" s="13"/>
      <c r="F14" s="13"/>
      <c r="G14" s="13"/>
      <c r="H14" s="13"/>
    </row>
    <row r="15" spans="1:8" ht="165" customHeight="1" x14ac:dyDescent="0.25">
      <c r="A15" s="14" t="s">
        <v>1182</v>
      </c>
      <c r="B15" s="14" t="s">
        <v>1183</v>
      </c>
      <c r="C15" s="15" t="s">
        <v>1184</v>
      </c>
      <c r="D15" s="16" t="s">
        <v>1185</v>
      </c>
      <c r="E15" s="22">
        <v>1</v>
      </c>
      <c r="F15" s="18" t="s">
        <v>45</v>
      </c>
      <c r="G15" s="16" t="s">
        <v>1186</v>
      </c>
      <c r="H15" s="16" t="s">
        <v>1187</v>
      </c>
    </row>
    <row r="16" spans="1:8" ht="135" customHeight="1" x14ac:dyDescent="0.25">
      <c r="A16" s="19" t="s">
        <v>1182</v>
      </c>
      <c r="B16" s="19" t="s">
        <v>1183</v>
      </c>
      <c r="C16" s="20" t="s">
        <v>1188</v>
      </c>
      <c r="D16" s="21" t="s">
        <v>1189</v>
      </c>
      <c r="E16" s="17">
        <v>2</v>
      </c>
      <c r="F16" s="18" t="s">
        <v>45</v>
      </c>
      <c r="G16" s="21" t="s">
        <v>1190</v>
      </c>
      <c r="H16" s="21" t="s">
        <v>1191</v>
      </c>
    </row>
    <row r="17" spans="1:8" ht="165" customHeight="1" x14ac:dyDescent="0.25">
      <c r="A17" s="14" t="s">
        <v>1182</v>
      </c>
      <c r="B17" s="14" t="s">
        <v>1183</v>
      </c>
      <c r="C17" s="15" t="s">
        <v>1192</v>
      </c>
      <c r="D17" s="16" t="s">
        <v>1193</v>
      </c>
      <c r="E17" s="17">
        <v>2</v>
      </c>
      <c r="F17" s="18" t="s">
        <v>45</v>
      </c>
      <c r="G17" s="16" t="s">
        <v>1194</v>
      </c>
      <c r="H17" s="16" t="s">
        <v>1195</v>
      </c>
    </row>
    <row r="18" spans="1:8" ht="165" customHeight="1" x14ac:dyDescent="0.25">
      <c r="A18" s="19" t="s">
        <v>1182</v>
      </c>
      <c r="B18" s="19" t="s">
        <v>1183</v>
      </c>
      <c r="C18" s="20" t="s">
        <v>1196</v>
      </c>
      <c r="D18" s="21" t="s">
        <v>1197</v>
      </c>
      <c r="E18" s="17">
        <v>2</v>
      </c>
      <c r="F18" s="18" t="s">
        <v>45</v>
      </c>
      <c r="G18" s="21" t="s">
        <v>1198</v>
      </c>
      <c r="H18" s="21" t="s">
        <v>1199</v>
      </c>
    </row>
    <row r="19" spans="1:8" ht="135" customHeight="1" x14ac:dyDescent="0.25">
      <c r="A19" s="14" t="s">
        <v>1182</v>
      </c>
      <c r="B19" s="14" t="s">
        <v>1183</v>
      </c>
      <c r="C19" s="15" t="s">
        <v>1200</v>
      </c>
      <c r="D19" s="16" t="s">
        <v>1201</v>
      </c>
      <c r="E19" s="17">
        <v>2</v>
      </c>
      <c r="F19" s="18" t="s">
        <v>45</v>
      </c>
      <c r="G19" s="16" t="s">
        <v>1202</v>
      </c>
      <c r="H19" s="16" t="s">
        <v>1203</v>
      </c>
    </row>
    <row r="20" spans="1:8" ht="105" customHeight="1" x14ac:dyDescent="0.25">
      <c r="A20" s="19" t="s">
        <v>1182</v>
      </c>
      <c r="B20" s="19" t="s">
        <v>1183</v>
      </c>
      <c r="C20" s="20" t="s">
        <v>1204</v>
      </c>
      <c r="D20" s="21" t="s">
        <v>1205</v>
      </c>
      <c r="E20" s="17">
        <v>2</v>
      </c>
      <c r="F20" s="18" t="s">
        <v>56</v>
      </c>
      <c r="G20" s="21" t="s">
        <v>1206</v>
      </c>
      <c r="H20" s="21"/>
    </row>
    <row r="21" spans="1:8" ht="165" customHeight="1" x14ac:dyDescent="0.25">
      <c r="A21" s="14" t="s">
        <v>1182</v>
      </c>
      <c r="B21" s="14" t="s">
        <v>1183</v>
      </c>
      <c r="C21" s="15" t="s">
        <v>1207</v>
      </c>
      <c r="D21" s="16" t="s">
        <v>1208</v>
      </c>
      <c r="E21" s="17">
        <v>2</v>
      </c>
      <c r="F21" s="18" t="s">
        <v>45</v>
      </c>
      <c r="G21" s="16" t="s">
        <v>1209</v>
      </c>
      <c r="H21" s="16" t="s">
        <v>1210</v>
      </c>
    </row>
    <row r="22" spans="1:8" x14ac:dyDescent="0.25">
      <c r="A22" s="13" t="s">
        <v>1211</v>
      </c>
      <c r="B22" s="13" t="s">
        <v>1212</v>
      </c>
      <c r="C22" s="13"/>
      <c r="D22" s="13"/>
      <c r="E22" s="13"/>
      <c r="F22" s="13"/>
      <c r="G22" s="13"/>
      <c r="H22" s="13"/>
    </row>
    <row r="23" spans="1:8" ht="75" customHeight="1" x14ac:dyDescent="0.25">
      <c r="A23" s="14" t="s">
        <v>1211</v>
      </c>
      <c r="B23" s="14" t="s">
        <v>1212</v>
      </c>
      <c r="C23" s="15" t="s">
        <v>1213</v>
      </c>
      <c r="D23" s="16" t="s">
        <v>1214</v>
      </c>
      <c r="E23" s="23">
        <v>3</v>
      </c>
      <c r="F23" s="18" t="s">
        <v>56</v>
      </c>
      <c r="G23" s="16"/>
      <c r="H23" s="16"/>
    </row>
    <row r="24" spans="1:8" ht="90" customHeight="1" x14ac:dyDescent="0.25">
      <c r="A24" s="19" t="s">
        <v>1211</v>
      </c>
      <c r="B24" s="19" t="s">
        <v>1212</v>
      </c>
      <c r="C24" s="20" t="s">
        <v>1215</v>
      </c>
      <c r="D24" s="21" t="s">
        <v>1216</v>
      </c>
      <c r="E24" s="23">
        <v>3</v>
      </c>
      <c r="F24" s="18" t="s">
        <v>56</v>
      </c>
      <c r="G24" s="21"/>
      <c r="H24" s="21"/>
    </row>
    <row r="25" spans="1:8" ht="75" customHeight="1" x14ac:dyDescent="0.25">
      <c r="A25" s="14" t="s">
        <v>1211</v>
      </c>
      <c r="B25" s="14" t="s">
        <v>1212</v>
      </c>
      <c r="C25" s="15" t="s">
        <v>1217</v>
      </c>
      <c r="D25" s="16" t="s">
        <v>1218</v>
      </c>
      <c r="E25" s="23">
        <v>3</v>
      </c>
      <c r="F25" s="18" t="s">
        <v>56</v>
      </c>
      <c r="G25" s="16"/>
      <c r="H25" s="16"/>
    </row>
    <row r="26" spans="1:8" ht="60" customHeight="1" x14ac:dyDescent="0.25">
      <c r="A26" s="19" t="s">
        <v>1211</v>
      </c>
      <c r="B26" s="19" t="s">
        <v>1212</v>
      </c>
      <c r="C26" s="20" t="s">
        <v>1219</v>
      </c>
      <c r="D26" s="21" t="s">
        <v>1220</v>
      </c>
      <c r="E26" s="23">
        <v>3</v>
      </c>
      <c r="F26" s="18" t="s">
        <v>56</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0"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33</v>
      </c>
      <c r="B1" s="12" t="s">
        <v>34</v>
      </c>
      <c r="C1" s="12" t="s">
        <v>35</v>
      </c>
      <c r="D1" s="12" t="s">
        <v>36</v>
      </c>
      <c r="E1" s="12" t="s">
        <v>37</v>
      </c>
      <c r="F1" s="12" t="s">
        <v>38</v>
      </c>
      <c r="G1" s="12" t="s">
        <v>39</v>
      </c>
      <c r="H1" s="12" t="s">
        <v>40</v>
      </c>
    </row>
    <row r="2" spans="1:8" x14ac:dyDescent="0.25">
      <c r="A2" s="13" t="s">
        <v>1221</v>
      </c>
      <c r="B2" s="13" t="s">
        <v>1222</v>
      </c>
      <c r="C2" s="13"/>
      <c r="D2" s="13"/>
      <c r="E2" s="13"/>
      <c r="F2" s="13"/>
      <c r="G2" s="13"/>
      <c r="H2" s="13"/>
    </row>
    <row r="3" spans="1:8" ht="195" customHeight="1" x14ac:dyDescent="0.25">
      <c r="A3" s="14" t="s">
        <v>1221</v>
      </c>
      <c r="B3" s="14" t="s">
        <v>1222</v>
      </c>
      <c r="C3" s="15" t="s">
        <v>1223</v>
      </c>
      <c r="D3" s="16" t="s">
        <v>1224</v>
      </c>
      <c r="E3" s="17">
        <v>2</v>
      </c>
      <c r="F3" s="18" t="s">
        <v>45</v>
      </c>
      <c r="G3" s="16" t="s">
        <v>1225</v>
      </c>
      <c r="H3" s="16" t="s">
        <v>1226</v>
      </c>
    </row>
    <row r="4" spans="1:8" x14ac:dyDescent="0.25">
      <c r="A4" s="13" t="s">
        <v>1227</v>
      </c>
      <c r="B4" s="13" t="s">
        <v>1228</v>
      </c>
      <c r="C4" s="13"/>
      <c r="D4" s="13"/>
      <c r="E4" s="13"/>
      <c r="F4" s="13"/>
      <c r="G4" s="13"/>
      <c r="H4" s="13"/>
    </row>
    <row r="5" spans="1:8" ht="150" customHeight="1" x14ac:dyDescent="0.25">
      <c r="A5" s="14" t="s">
        <v>1227</v>
      </c>
      <c r="B5" s="14" t="s">
        <v>1228</v>
      </c>
      <c r="C5" s="15" t="s">
        <v>1229</v>
      </c>
      <c r="D5" s="16" t="s">
        <v>1230</v>
      </c>
      <c r="E5" s="17">
        <v>2</v>
      </c>
      <c r="F5" s="18" t="s">
        <v>45</v>
      </c>
      <c r="G5" s="16" t="s">
        <v>1231</v>
      </c>
      <c r="H5" s="16" t="s">
        <v>1232</v>
      </c>
    </row>
    <row r="6" spans="1:8" ht="180" customHeight="1" x14ac:dyDescent="0.25">
      <c r="A6" s="19" t="s">
        <v>1227</v>
      </c>
      <c r="B6" s="19" t="s">
        <v>1228</v>
      </c>
      <c r="C6" s="20" t="s">
        <v>1233</v>
      </c>
      <c r="D6" s="21" t="s">
        <v>1234</v>
      </c>
      <c r="E6" s="17">
        <v>2</v>
      </c>
      <c r="F6" s="18" t="s">
        <v>45</v>
      </c>
      <c r="G6" s="21" t="s">
        <v>1235</v>
      </c>
      <c r="H6" s="21" t="s">
        <v>1236</v>
      </c>
    </row>
    <row r="7" spans="1:8" ht="135" customHeight="1" x14ac:dyDescent="0.25">
      <c r="A7" s="14" t="s">
        <v>1227</v>
      </c>
      <c r="B7" s="14" t="s">
        <v>1228</v>
      </c>
      <c r="C7" s="15" t="s">
        <v>1237</v>
      </c>
      <c r="D7" s="16" t="s">
        <v>1238</v>
      </c>
      <c r="E7" s="17">
        <v>2</v>
      </c>
      <c r="F7" s="18" t="s">
        <v>45</v>
      </c>
      <c r="G7" s="16" t="s">
        <v>1239</v>
      </c>
      <c r="H7" s="16" t="s">
        <v>1240</v>
      </c>
    </row>
    <row r="8" spans="1:8" ht="165" customHeight="1" x14ac:dyDescent="0.25">
      <c r="A8" s="19" t="s">
        <v>1227</v>
      </c>
      <c r="B8" s="19" t="s">
        <v>1228</v>
      </c>
      <c r="C8" s="20" t="s">
        <v>1241</v>
      </c>
      <c r="D8" s="21" t="s">
        <v>1242</v>
      </c>
      <c r="E8" s="17">
        <v>2</v>
      </c>
      <c r="F8" s="18" t="s">
        <v>45</v>
      </c>
      <c r="G8" s="21" t="s">
        <v>1243</v>
      </c>
      <c r="H8" s="21" t="s">
        <v>1244</v>
      </c>
    </row>
    <row r="9" spans="1:8" ht="210" customHeight="1" x14ac:dyDescent="0.25">
      <c r="A9" s="14" t="s">
        <v>1227</v>
      </c>
      <c r="B9" s="14" t="s">
        <v>1228</v>
      </c>
      <c r="C9" s="15" t="s">
        <v>1245</v>
      </c>
      <c r="D9" s="16" t="s">
        <v>1246</v>
      </c>
      <c r="E9" s="17">
        <v>2</v>
      </c>
      <c r="F9" s="18" t="s">
        <v>45</v>
      </c>
      <c r="G9" s="16" t="s">
        <v>1247</v>
      </c>
      <c r="H9" s="16" t="s">
        <v>1248</v>
      </c>
    </row>
    <row r="10" spans="1:8" x14ac:dyDescent="0.25">
      <c r="A10" s="13" t="s">
        <v>1249</v>
      </c>
      <c r="B10" s="13" t="s">
        <v>1250</v>
      </c>
      <c r="C10" s="13"/>
      <c r="D10" s="13"/>
      <c r="E10" s="13"/>
      <c r="F10" s="13"/>
      <c r="G10" s="13"/>
      <c r="H10" s="13"/>
    </row>
    <row r="11" spans="1:8" ht="210" customHeight="1" x14ac:dyDescent="0.25">
      <c r="A11" s="14" t="s">
        <v>1249</v>
      </c>
      <c r="B11" s="14" t="s">
        <v>1250</v>
      </c>
      <c r="C11" s="15" t="s">
        <v>1251</v>
      </c>
      <c r="D11" s="16" t="s">
        <v>1252</v>
      </c>
      <c r="E11" s="17">
        <v>2</v>
      </c>
      <c r="F11" s="18" t="s">
        <v>45</v>
      </c>
      <c r="G11" s="16" t="s">
        <v>1253</v>
      </c>
      <c r="H11" s="16" t="s">
        <v>1254</v>
      </c>
    </row>
    <row r="12" spans="1:8" ht="180" customHeight="1" x14ac:dyDescent="0.25">
      <c r="A12" s="19" t="s">
        <v>1249</v>
      </c>
      <c r="B12" s="19" t="s">
        <v>1250</v>
      </c>
      <c r="C12" s="20" t="s">
        <v>1255</v>
      </c>
      <c r="D12" s="21" t="s">
        <v>1256</v>
      </c>
      <c r="E12" s="17">
        <v>2</v>
      </c>
      <c r="F12" s="18" t="s">
        <v>45</v>
      </c>
      <c r="G12" s="21" t="s">
        <v>1257</v>
      </c>
      <c r="H12" s="21" t="s">
        <v>1258</v>
      </c>
    </row>
    <row r="13" spans="1:8" ht="165" customHeight="1" x14ac:dyDescent="0.25">
      <c r="A13" s="14" t="s">
        <v>1249</v>
      </c>
      <c r="B13" s="14" t="s">
        <v>1250</v>
      </c>
      <c r="C13" s="15" t="s">
        <v>1259</v>
      </c>
      <c r="D13" s="16" t="s">
        <v>1260</v>
      </c>
      <c r="E13" s="17">
        <v>2</v>
      </c>
      <c r="F13" s="18" t="s">
        <v>45</v>
      </c>
      <c r="G13" s="16" t="s">
        <v>1261</v>
      </c>
      <c r="H13" s="16" t="s">
        <v>1262</v>
      </c>
    </row>
    <row r="14" spans="1:8" ht="180" customHeight="1" x14ac:dyDescent="0.25">
      <c r="A14" s="19" t="s">
        <v>1249</v>
      </c>
      <c r="B14" s="19" t="s">
        <v>1250</v>
      </c>
      <c r="C14" s="20" t="s">
        <v>1263</v>
      </c>
      <c r="D14" s="21" t="s">
        <v>1264</v>
      </c>
      <c r="E14" s="17">
        <v>2</v>
      </c>
      <c r="F14" s="18" t="s">
        <v>56</v>
      </c>
      <c r="G14" s="21" t="s">
        <v>1265</v>
      </c>
      <c r="H14" s="21"/>
    </row>
    <row r="15" spans="1:8" x14ac:dyDescent="0.25">
      <c r="A15" s="13" t="s">
        <v>1266</v>
      </c>
      <c r="B15" s="13" t="s">
        <v>1267</v>
      </c>
      <c r="C15" s="13"/>
      <c r="D15" s="13"/>
      <c r="E15" s="13"/>
      <c r="F15" s="13"/>
      <c r="G15" s="13"/>
      <c r="H15" s="13"/>
    </row>
    <row r="16" spans="1:8" ht="195" customHeight="1" x14ac:dyDescent="0.25">
      <c r="A16" s="14" t="s">
        <v>1266</v>
      </c>
      <c r="B16" s="14" t="s">
        <v>1267</v>
      </c>
      <c r="C16" s="15" t="s">
        <v>1268</v>
      </c>
      <c r="D16" s="16" t="s">
        <v>1269</v>
      </c>
      <c r="E16" s="17">
        <v>2</v>
      </c>
      <c r="F16" s="18" t="s">
        <v>45</v>
      </c>
      <c r="G16" s="16" t="s">
        <v>1270</v>
      </c>
      <c r="H16" s="16" t="s">
        <v>1271</v>
      </c>
    </row>
    <row r="17" spans="1:8" ht="165" customHeight="1" x14ac:dyDescent="0.25">
      <c r="A17" s="19" t="s">
        <v>1266</v>
      </c>
      <c r="B17" s="19" t="s">
        <v>1267</v>
      </c>
      <c r="C17" s="20" t="s">
        <v>1272</v>
      </c>
      <c r="D17" s="21" t="s">
        <v>1273</v>
      </c>
      <c r="E17" s="17">
        <v>2</v>
      </c>
      <c r="F17" s="18" t="s">
        <v>45</v>
      </c>
      <c r="G17" s="21" t="s">
        <v>1274</v>
      </c>
      <c r="H17" s="21" t="s">
        <v>1275</v>
      </c>
    </row>
    <row r="18" spans="1:8" ht="150" customHeight="1" x14ac:dyDescent="0.25">
      <c r="A18" s="14" t="s">
        <v>1266</v>
      </c>
      <c r="B18" s="14" t="s">
        <v>1267</v>
      </c>
      <c r="C18" s="15" t="s">
        <v>1276</v>
      </c>
      <c r="D18" s="16" t="s">
        <v>1277</v>
      </c>
      <c r="E18" s="17">
        <v>2</v>
      </c>
      <c r="F18" s="18" t="s">
        <v>56</v>
      </c>
      <c r="G18" s="16" t="s">
        <v>1278</v>
      </c>
      <c r="H18" s="16"/>
    </row>
    <row r="19" spans="1:8" x14ac:dyDescent="0.25">
      <c r="A19" s="13" t="s">
        <v>1279</v>
      </c>
      <c r="B19" s="13" t="s">
        <v>1280</v>
      </c>
      <c r="C19" s="13"/>
      <c r="D19" s="13"/>
      <c r="E19" s="13"/>
      <c r="F19" s="13"/>
      <c r="G19" s="13"/>
      <c r="H19" s="13"/>
    </row>
    <row r="20" spans="1:8" ht="180" customHeight="1" x14ac:dyDescent="0.25">
      <c r="A20" s="14" t="s">
        <v>1279</v>
      </c>
      <c r="B20" s="14" t="s">
        <v>1280</v>
      </c>
      <c r="C20" s="15" t="s">
        <v>1281</v>
      </c>
      <c r="D20" s="16" t="s">
        <v>1282</v>
      </c>
      <c r="E20" s="17">
        <v>2</v>
      </c>
      <c r="F20" s="18" t="s">
        <v>45</v>
      </c>
      <c r="G20" s="16" t="s">
        <v>1283</v>
      </c>
      <c r="H20" s="16" t="s">
        <v>1284</v>
      </c>
    </row>
    <row r="21" spans="1:8" ht="195" customHeight="1" x14ac:dyDescent="0.25">
      <c r="A21" s="19" t="s">
        <v>1279</v>
      </c>
      <c r="B21" s="19" t="s">
        <v>1280</v>
      </c>
      <c r="C21" s="20" t="s">
        <v>1285</v>
      </c>
      <c r="D21" s="21" t="s">
        <v>1286</v>
      </c>
      <c r="E21" s="17">
        <v>2</v>
      </c>
      <c r="F21" s="18" t="s">
        <v>45</v>
      </c>
      <c r="G21" s="21" t="s">
        <v>1287</v>
      </c>
      <c r="H21" s="21" t="s">
        <v>1288</v>
      </c>
    </row>
    <row r="22" spans="1:8" ht="195" customHeight="1" x14ac:dyDescent="0.25">
      <c r="A22" s="14" t="s">
        <v>1279</v>
      </c>
      <c r="B22" s="14" t="s">
        <v>1280</v>
      </c>
      <c r="C22" s="15" t="s">
        <v>1289</v>
      </c>
      <c r="D22" s="16" t="s">
        <v>1290</v>
      </c>
      <c r="E22" s="17">
        <v>2</v>
      </c>
      <c r="F22" s="18" t="s">
        <v>45</v>
      </c>
      <c r="G22" s="16" t="s">
        <v>1291</v>
      </c>
      <c r="H22" s="16" t="s">
        <v>1292</v>
      </c>
    </row>
    <row r="23" spans="1:8" ht="225" customHeight="1" x14ac:dyDescent="0.25">
      <c r="A23" s="19" t="s">
        <v>1279</v>
      </c>
      <c r="B23" s="19" t="s">
        <v>1280</v>
      </c>
      <c r="C23" s="20" t="s">
        <v>1293</v>
      </c>
      <c r="D23" s="21" t="s">
        <v>1294</v>
      </c>
      <c r="E23" s="23">
        <v>3</v>
      </c>
      <c r="F23" s="18" t="s">
        <v>45</v>
      </c>
      <c r="G23" s="21" t="s">
        <v>1295</v>
      </c>
      <c r="H23" s="21" t="s">
        <v>1296</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33</v>
      </c>
      <c r="B1" s="12" t="s">
        <v>34</v>
      </c>
      <c r="C1" s="12" t="s">
        <v>35</v>
      </c>
      <c r="D1" s="12" t="s">
        <v>36</v>
      </c>
      <c r="E1" s="12" t="s">
        <v>37</v>
      </c>
      <c r="F1" s="12" t="s">
        <v>38</v>
      </c>
      <c r="G1" s="12" t="s">
        <v>39</v>
      </c>
      <c r="H1" s="12" t="s">
        <v>40</v>
      </c>
    </row>
    <row r="2" spans="1:8" x14ac:dyDescent="0.25">
      <c r="A2" s="13" t="s">
        <v>1297</v>
      </c>
      <c r="B2" s="13" t="s">
        <v>1298</v>
      </c>
      <c r="C2" s="13"/>
      <c r="D2" s="13"/>
      <c r="E2" s="13"/>
      <c r="F2" s="13"/>
      <c r="G2" s="13"/>
      <c r="H2" s="13"/>
    </row>
    <row r="3" spans="1:8" ht="60" customHeight="1" x14ac:dyDescent="0.25">
      <c r="A3" s="14" t="s">
        <v>1297</v>
      </c>
      <c r="B3" s="14" t="s">
        <v>1298</v>
      </c>
      <c r="C3" s="15" t="s">
        <v>1299</v>
      </c>
      <c r="D3" s="16" t="s">
        <v>1300</v>
      </c>
      <c r="E3" s="17">
        <v>2</v>
      </c>
      <c r="F3" s="18" t="s">
        <v>56</v>
      </c>
      <c r="G3" s="16" t="s">
        <v>1301</v>
      </c>
      <c r="H3" s="16"/>
    </row>
    <row r="4" spans="1:8" ht="45" customHeight="1" x14ac:dyDescent="0.25">
      <c r="A4" s="19" t="s">
        <v>1297</v>
      </c>
      <c r="B4" s="19" t="s">
        <v>1298</v>
      </c>
      <c r="C4" s="20" t="s">
        <v>1302</v>
      </c>
      <c r="D4" s="21" t="s">
        <v>1303</v>
      </c>
      <c r="E4" s="23">
        <v>3</v>
      </c>
      <c r="F4" s="18" t="s">
        <v>56</v>
      </c>
      <c r="G4" s="21" t="s">
        <v>1304</v>
      </c>
      <c r="H4" s="21"/>
    </row>
    <row r="5" spans="1:8" x14ac:dyDescent="0.25">
      <c r="A5" s="13" t="s">
        <v>1305</v>
      </c>
      <c r="B5" s="13" t="s">
        <v>1306</v>
      </c>
      <c r="C5" s="13"/>
      <c r="D5" s="13"/>
      <c r="E5" s="13"/>
      <c r="F5" s="13"/>
      <c r="G5" s="13"/>
      <c r="H5" s="13"/>
    </row>
    <row r="6" spans="1:8" ht="60" customHeight="1" x14ac:dyDescent="0.25">
      <c r="A6" s="14" t="s">
        <v>1305</v>
      </c>
      <c r="B6" s="14" t="s">
        <v>1306</v>
      </c>
      <c r="C6" s="15" t="s">
        <v>1307</v>
      </c>
      <c r="D6" s="16" t="s">
        <v>1308</v>
      </c>
      <c r="E6" s="17">
        <v>2</v>
      </c>
      <c r="F6" s="18" t="s">
        <v>56</v>
      </c>
      <c r="G6" s="16" t="s">
        <v>1309</v>
      </c>
      <c r="H6" s="16"/>
    </row>
    <row r="7" spans="1:8" ht="75" customHeight="1" x14ac:dyDescent="0.25">
      <c r="A7" s="19" t="s">
        <v>1305</v>
      </c>
      <c r="B7" s="19" t="s">
        <v>1306</v>
      </c>
      <c r="C7" s="20" t="s">
        <v>1310</v>
      </c>
      <c r="D7" s="21" t="s">
        <v>1311</v>
      </c>
      <c r="E7" s="17">
        <v>2</v>
      </c>
      <c r="F7" s="18" t="s">
        <v>56</v>
      </c>
      <c r="G7" s="21" t="s">
        <v>1312</v>
      </c>
      <c r="H7" s="21"/>
    </row>
    <row r="8" spans="1:8" ht="75" customHeight="1" x14ac:dyDescent="0.25">
      <c r="A8" s="14" t="s">
        <v>1305</v>
      </c>
      <c r="B8" s="14" t="s">
        <v>1306</v>
      </c>
      <c r="C8" s="15" t="s">
        <v>1313</v>
      </c>
      <c r="D8" s="16" t="s">
        <v>1314</v>
      </c>
      <c r="E8" s="17">
        <v>2</v>
      </c>
      <c r="F8" s="18" t="s">
        <v>56</v>
      </c>
      <c r="G8" s="16" t="s">
        <v>1315</v>
      </c>
      <c r="H8" s="16"/>
    </row>
    <row r="9" spans="1:8" ht="45" customHeight="1" x14ac:dyDescent="0.25">
      <c r="A9" s="19" t="s">
        <v>1305</v>
      </c>
      <c r="B9" s="19" t="s">
        <v>1306</v>
      </c>
      <c r="C9" s="20" t="s">
        <v>1316</v>
      </c>
      <c r="D9" s="21" t="s">
        <v>1317</v>
      </c>
      <c r="E9" s="17">
        <v>2</v>
      </c>
      <c r="F9" s="18" t="s">
        <v>56</v>
      </c>
      <c r="G9" s="21" t="s">
        <v>1318</v>
      </c>
      <c r="H9" s="21"/>
    </row>
    <row r="10" spans="1:8" ht="45" customHeight="1" x14ac:dyDescent="0.25">
      <c r="A10" s="14" t="s">
        <v>1305</v>
      </c>
      <c r="B10" s="14" t="s">
        <v>1306</v>
      </c>
      <c r="C10" s="15" t="s">
        <v>1319</v>
      </c>
      <c r="D10" s="16" t="s">
        <v>1320</v>
      </c>
      <c r="E10" s="23">
        <v>3</v>
      </c>
      <c r="F10" s="18" t="s">
        <v>56</v>
      </c>
      <c r="G10" s="16" t="s">
        <v>1321</v>
      </c>
      <c r="H10" s="16"/>
    </row>
    <row r="11" spans="1:8" ht="60" customHeight="1" x14ac:dyDescent="0.25">
      <c r="A11" s="19" t="s">
        <v>1305</v>
      </c>
      <c r="B11" s="19" t="s">
        <v>1306</v>
      </c>
      <c r="C11" s="20" t="s">
        <v>1322</v>
      </c>
      <c r="D11" s="21" t="s">
        <v>1323</v>
      </c>
      <c r="E11" s="23">
        <v>3</v>
      </c>
      <c r="F11" s="18" t="s">
        <v>56</v>
      </c>
      <c r="G11" s="21" t="s">
        <v>1324</v>
      </c>
      <c r="H11" s="21"/>
    </row>
    <row r="12" spans="1:8" ht="60" customHeight="1" x14ac:dyDescent="0.25">
      <c r="A12" s="14" t="s">
        <v>1305</v>
      </c>
      <c r="B12" s="14" t="s">
        <v>1306</v>
      </c>
      <c r="C12" s="15" t="s">
        <v>1325</v>
      </c>
      <c r="D12" s="16" t="s">
        <v>1326</v>
      </c>
      <c r="E12" s="23">
        <v>3</v>
      </c>
      <c r="F12" s="18" t="s">
        <v>56</v>
      </c>
      <c r="G12" s="16" t="s">
        <v>1327</v>
      </c>
      <c r="H12" s="16"/>
    </row>
    <row r="13" spans="1:8" ht="60" customHeight="1" x14ac:dyDescent="0.25">
      <c r="A13" s="19" t="s">
        <v>1305</v>
      </c>
      <c r="B13" s="19" t="s">
        <v>1306</v>
      </c>
      <c r="C13" s="20" t="s">
        <v>1328</v>
      </c>
      <c r="D13" s="21" t="s">
        <v>1329</v>
      </c>
      <c r="E13" s="23">
        <v>3</v>
      </c>
      <c r="F13" s="18" t="s">
        <v>56</v>
      </c>
      <c r="G13" s="21" t="s">
        <v>1330</v>
      </c>
      <c r="H13" s="21"/>
    </row>
    <row r="14" spans="1:8" x14ac:dyDescent="0.25">
      <c r="A14" s="13" t="s">
        <v>1331</v>
      </c>
      <c r="B14" s="13" t="s">
        <v>1332</v>
      </c>
      <c r="C14" s="13"/>
      <c r="D14" s="13"/>
      <c r="E14" s="13"/>
      <c r="F14" s="13"/>
      <c r="G14" s="13"/>
      <c r="H14" s="13"/>
    </row>
    <row r="15" spans="1:8" ht="60" customHeight="1" x14ac:dyDescent="0.25">
      <c r="A15" s="14" t="s">
        <v>1331</v>
      </c>
      <c r="B15" s="14" t="s">
        <v>1332</v>
      </c>
      <c r="C15" s="15" t="s">
        <v>1333</v>
      </c>
      <c r="D15" s="16" t="s">
        <v>1334</v>
      </c>
      <c r="E15" s="17">
        <v>2</v>
      </c>
      <c r="F15" s="18" t="s">
        <v>56</v>
      </c>
      <c r="G15" s="16" t="s">
        <v>1335</v>
      </c>
      <c r="H15" s="16"/>
    </row>
    <row r="16" spans="1:8" ht="90" customHeight="1" x14ac:dyDescent="0.25">
      <c r="A16" s="19" t="s">
        <v>1331</v>
      </c>
      <c r="B16" s="19" t="s">
        <v>1332</v>
      </c>
      <c r="C16" s="20" t="s">
        <v>1336</v>
      </c>
      <c r="D16" s="21" t="s">
        <v>1337</v>
      </c>
      <c r="E16" s="17">
        <v>2</v>
      </c>
      <c r="F16" s="18" t="s">
        <v>56</v>
      </c>
      <c r="G16" s="21" t="s">
        <v>1338</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Diogo Manuel Oliveira Pereira</cp:lastModifiedBy>
  <cp:revision>3</cp:revision>
  <cp:lastPrinted>2026-04-15T19:56:57Z</cp:lastPrinted>
  <dcterms:created xsi:type="dcterms:W3CDTF">2026-03-04T10:14:28Z</dcterms:created>
  <dcterms:modified xsi:type="dcterms:W3CDTF">2026-06-16T11:11:33Z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