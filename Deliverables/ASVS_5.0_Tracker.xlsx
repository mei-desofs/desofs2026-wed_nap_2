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0" activeTab="0" autoFilterDateGrouping="1"/>
  </bookViews>
  <sheets>
    <sheet name="Summary" sheetId="1" state="visible" r:id="rId1"/>
    <sheet name="V1 - Encoding and Sanitization" sheetId="2" state="visible" r:id="rId2"/>
    <sheet name="V2 - Validation and Business Lo" sheetId="3" state="visible" r:id="rId3"/>
    <sheet name="V3 - Web Frontend Security" sheetId="4" state="visible" r:id="rId4"/>
    <sheet name="V4 - API and Web Service" sheetId="5" state="visible" r:id="rId5"/>
    <sheet name="V5 - File Handling" sheetId="6" state="visible" r:id="rId6"/>
    <sheet name="V6 - Authentication" sheetId="7" state="visible" r:id="rId7"/>
    <sheet name="V7 - Session Management" sheetId="8" state="visible" r:id="rId8"/>
    <sheet name="V8 - Authorization" sheetId="9" state="visible" r:id="rId9"/>
    <sheet name="V9 - Self-contained Tokens" sheetId="10" state="visible" r:id="rId10"/>
    <sheet name="V10 - OAuth and OIDC" sheetId="11" state="visible" r:id="rId11"/>
    <sheet name="V11 - Cryptography" sheetId="12" state="visible" r:id="rId12"/>
    <sheet name="V12 - Secure Communication" sheetId="13" state="visible" r:id="rId13"/>
    <sheet name="V13 - Configuration" sheetId="14" state="visible" r:id="rId14"/>
    <sheet name="V14 - Data Protection" sheetId="15" state="visible" r:id="rId15"/>
    <sheet name="V15 - Secure Coding and Archite" sheetId="16" state="visible" r:id="rId16"/>
    <sheet name="V16 - Security Logging and Erro" sheetId="17" state="visible" r:id="rId17"/>
    <sheet name="V17 - WebRTC" sheetId="18" state="visible" r:id="rId18"/>
  </sheets>
  <definedNames/>
  <calcPr calcId="181029" fullCalcOnLoad="1" iterateDelta="0.0001"/>
</workbook>
</file>

<file path=xl/styles.xml><?xml version="1.0" encoding="utf-8"?>
<styleSheet xmlns="http://schemas.openxmlformats.org/spreadsheetml/2006/main">
  <numFmts count="0"/>
  <fonts count="12">
    <font>
      <name val="Calibri"/>
      <charset val="1"/>
      <family val="2"/>
      <color rgb="FF000000"/>
      <sz val="11"/>
    </font>
    <font>
      <name val="Cambria"/>
      <family val="1"/>
      <b val="1"/>
      <color rgb="FFFFFFFF"/>
      <sz val="16"/>
    </font>
    <font>
      <name val="Cambria"/>
      <family val="1"/>
      <i val="1"/>
      <color rgb="FF595959"/>
      <sz val="10"/>
    </font>
    <font>
      <name val="Cambria"/>
      <family val="1"/>
      <b val="1"/>
      <sz val="10"/>
    </font>
    <font>
      <name val="Cambria"/>
      <family val="1"/>
      <b val="1"/>
      <sz val="9"/>
    </font>
    <font>
      <name val="Cambria"/>
      <family val="1"/>
      <b val="1"/>
      <color rgb="FFFFFFFF"/>
      <sz val="9"/>
    </font>
    <font>
      <name val="Cambria"/>
      <family val="1"/>
      <sz val="10"/>
    </font>
    <font>
      <name val="Cambria"/>
      <family val="1"/>
      <b val="1"/>
      <color rgb="FFFFFFFF"/>
      <sz val="11"/>
    </font>
    <font>
      <name val="Cambria"/>
      <family val="1"/>
      <b val="1"/>
      <color rgb="FFFFFFFF"/>
      <sz val="10"/>
    </font>
    <font>
      <name val="Cambria"/>
      <family val="1"/>
      <b val="1"/>
      <color rgb="FF1F3864"/>
      <sz val="10"/>
    </font>
    <font>
      <name val="Calibri"/>
      <family val="2"/>
      <color rgb="FF000000"/>
      <sz val="11"/>
    </font>
    <font>
      <name val="Cambria"/>
      <family val="2"/>
      <b val="1"/>
      <color rgb="FF1F3864"/>
      <sz val="10"/>
    </font>
  </fonts>
  <fills count="14">
    <fill>
      <patternFill/>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
      <patternFill patternType="solid">
        <fgColor rgb="FFF2F2F2"/>
      </patternFill>
    </fill>
    <fill>
      <patternFill patternType="solid">
        <fgColor rgb="FFFFFFFF"/>
      </patternFill>
    </fill>
    <fill>
      <patternFill patternType="solid">
        <fgColor rgb="FFF7FBFF"/>
      </patternFill>
    </fill>
    <fill>
      <patternFill patternType="solid">
        <fgColor rgb="FFD6E4F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36">
    <xf numFmtId="0" fontId="0" fillId="0" borderId="0" pivotButton="0" quotePrefix="0" xfId="0"/>
    <xf numFmtId="0" fontId="4" fillId="0" borderId="0" applyAlignment="1" pivotButton="0" quotePrefix="0" xfId="0">
      <alignment horizontal="center" vertical="center"/>
    </xf>
    <xf numFmtId="0" fontId="5" fillId="2" borderId="1" applyAlignment="1" pivotButton="0" quotePrefix="0" xfId="0">
      <alignment horizontal="center" vertical="center" wrapText="1"/>
    </xf>
    <xf numFmtId="0" fontId="6" fillId="3" borderId="1" applyAlignment="1" pivotButton="0" quotePrefix="0" xfId="0">
      <alignment horizontal="left" vertical="center"/>
    </xf>
    <xf numFmtId="0" fontId="6" fillId="3" borderId="1" applyAlignment="1" pivotButton="0" quotePrefix="0" xfId="0">
      <alignment horizontal="center" vertical="center"/>
    </xf>
    <xf numFmtId="9" fontId="6" fillId="3" borderId="1" applyAlignment="1" pivotButton="0" quotePrefix="0" xfId="0">
      <alignment horizontal="center" vertical="center"/>
    </xf>
    <xf numFmtId="0" fontId="6" fillId="4" borderId="1" applyAlignment="1" pivotButton="0" quotePrefix="0" xfId="0">
      <alignment horizontal="left" vertical="center"/>
    </xf>
    <xf numFmtId="0" fontId="6" fillId="4" borderId="1" applyAlignment="1" pivotButton="0" quotePrefix="0" xfId="0">
      <alignment horizontal="center" vertical="center"/>
    </xf>
    <xf numFmtId="9" fontId="6" fillId="4" borderId="1" applyAlignment="1" pivotButton="0" quotePrefix="0" xfId="0">
      <alignment horizontal="center" vertical="center"/>
    </xf>
    <xf numFmtId="0" fontId="7" fillId="2" borderId="1" pivotButton="0" quotePrefix="0" xfId="0"/>
    <xf numFmtId="0" fontId="8" fillId="2" borderId="1" applyAlignment="1" pivotButton="0" quotePrefix="0" xfId="0">
      <alignment horizontal="center" vertical="center"/>
    </xf>
    <xf numFmtId="9" fontId="8" fillId="2" borderId="1" applyAlignment="1" pivotButton="0" quotePrefix="0" xfId="0">
      <alignment horizontal="center" vertical="center"/>
    </xf>
    <xf numFmtId="0" fontId="8" fillId="2" borderId="1" applyAlignment="1" pivotButton="0" quotePrefix="0" xfId="0">
      <alignment horizontal="center" vertical="center" wrapText="1"/>
    </xf>
    <xf numFmtId="0" fontId="9" fillId="5" borderId="1" applyAlignment="1" pivotButton="0" quotePrefix="0" xfId="0">
      <alignment horizontal="left" vertical="center"/>
    </xf>
    <xf numFmtId="0" fontId="0" fillId="3" borderId="1" pivotButton="0" quotePrefix="0" xfId="0"/>
    <xf numFmtId="0" fontId="0" fillId="3" borderId="1" applyAlignment="1" pivotButton="0" quotePrefix="0" xfId="0">
      <alignment horizontal="center" vertical="top"/>
    </xf>
    <xf numFmtId="0" fontId="0" fillId="3" borderId="1" applyAlignment="1" pivotButton="0" quotePrefix="0" xfId="0">
      <alignment horizontal="left" vertical="top" wrapText="1"/>
    </xf>
    <xf numFmtId="0" fontId="3" fillId="6" borderId="1" applyAlignment="1" pivotButton="0" quotePrefix="0" xfId="0">
      <alignment horizontal="center" vertical="top"/>
    </xf>
    <xf numFmtId="0" fontId="0" fillId="7" borderId="1" applyAlignment="1" pivotButton="0" quotePrefix="0" xfId="0">
      <alignment horizontal="center" vertical="top"/>
    </xf>
    <xf numFmtId="0" fontId="0" fillId="4" borderId="1" pivotButton="0" quotePrefix="0" xfId="0"/>
    <xf numFmtId="0" fontId="0" fillId="4" borderId="1" applyAlignment="1" pivotButton="0" quotePrefix="0" xfId="0">
      <alignment horizontal="center" vertical="top"/>
    </xf>
    <xf numFmtId="0" fontId="0" fillId="4" borderId="1" applyAlignment="1" pivotButton="0" quotePrefix="0" xfId="0">
      <alignment horizontal="left" vertical="top" wrapText="1"/>
    </xf>
    <xf numFmtId="0" fontId="3" fillId="8" borderId="1" applyAlignment="1" pivotButton="0" quotePrefix="0" xfId="0">
      <alignment horizontal="center" vertical="top"/>
    </xf>
    <xf numFmtId="0" fontId="3" fillId="9" borderId="1" applyAlignment="1" pivotButton="0" quotePrefix="0" xfId="0">
      <alignment horizontal="center" vertical="top"/>
    </xf>
    <xf numFmtId="0" fontId="0" fillId="0" borderId="0" applyAlignment="1" pivotButton="0" quotePrefix="0" xfId="0">
      <alignment vertical="center"/>
    </xf>
    <xf numFmtId="0" fontId="0" fillId="3" borderId="1" applyAlignment="1" pivotButton="0" quotePrefix="0" xfId="0">
      <alignment horizontal="left" vertical="center" wrapText="1"/>
    </xf>
    <xf numFmtId="0" fontId="0" fillId="4" borderId="1" applyAlignment="1" pivotButton="0" quotePrefix="0" xfId="0">
      <alignment horizontal="left" vertical="center" wrapText="1"/>
    </xf>
    <xf numFmtId="0" fontId="0" fillId="4" borderId="2" applyAlignment="1" pivotButton="0" quotePrefix="0" xfId="0">
      <alignment horizontal="left" vertical="top" wrapText="1"/>
    </xf>
    <xf numFmtId="0" fontId="10" fillId="10" borderId="1" applyAlignment="1" pivotButton="0" quotePrefix="0" xfId="0">
      <alignment horizontal="center"/>
    </xf>
    <xf numFmtId="0" fontId="10" fillId="11" borderId="1" applyAlignment="1" pivotButton="0" quotePrefix="0" xfId="0">
      <alignment horizontal="left" wrapText="1"/>
    </xf>
    <xf numFmtId="0" fontId="10" fillId="12" borderId="1" applyAlignment="1" pivotButton="0" quotePrefix="0" xfId="0">
      <alignment horizontal="left" wrapText="1"/>
    </xf>
    <xf numFmtId="0" fontId="11" fillId="13" borderId="1" applyAlignment="1" pivotButton="0" quotePrefix="0" xfId="0">
      <alignment horizontal="left"/>
    </xf>
    <xf numFmtId="0" fontId="1" fillId="2" borderId="0" applyAlignment="1" pivotButton="0" quotePrefix="0" xfId="0">
      <alignment horizontal="center" vertical="center"/>
    </xf>
    <xf numFmtId="0" fontId="0" fillId="0" borderId="0" pivotButton="0" quotePrefix="0" xfId="0"/>
    <xf numFmtId="0" fontId="3" fillId="0" borderId="0" pivotButton="0" quotePrefix="0" xfId="0"/>
    <xf numFmtId="0" fontId="2" fillId="0" borderId="0"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plotArea>
      <layout/>
      <barChart>
        <barDir val="bar"/>
        <grouping val="clustered"/>
        <varyColors val="0"/>
        <ser>
          <idx val="0"/>
          <order val="0"/>
          <tx>
            <strRef>
              <f>Summary!$E$5</f>
              <strCache>
                <ptCount val="1"/>
                <pt idx="0">
                  <v>L1
%</v>
                </pt>
              </strCache>
            </strRef>
          </tx>
          <spPr>
            <a:solidFill>
              <a:srgbClr val="C6EFCE"/>
            </a:solidFill>
            <a:ln>
              <a:noFill/>
              <a:prstDash val="solid"/>
            </a:ln>
          </spPr>
          <invertIfNegative val="0"/>
          <dLbls>
            <spPr>
              <a:noFill/>
              <a:ln>
                <a:noFill/>
                <a:prstDash val="solid"/>
              </a:ln>
            </spPr>
            <txPr>
              <a:bodyPr/>
              <a:lstStyle/>
              <a:p>
                <a:pPr>
                  <a:defRPr sz="1000" b="0" strike="noStrike" spc="-1">
                    <a:latin typeface="Arial"/>
                  </a:defRPr>
                </a:pPr>
                <a:r>
                  <a:t>None</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Summary!$E$6:$E$22</f>
              <numCache>
                <formatCode>0%</formatCode>
                <ptCount val="17"/>
                <pt idx="0">
                  <v>0.375</v>
                </pt>
                <pt idx="1">
                  <v>1</v>
                </pt>
                <pt idx="2">
                  <v>0.375</v>
                </pt>
                <pt idx="3">
                  <v>0.5</v>
                </pt>
                <pt idx="4">
                  <v>1</v>
                </pt>
                <pt idx="5">
                  <v>0.8461538461538461</v>
                </pt>
                <pt idx="6">
                  <v>0.6666666666666666</v>
                </pt>
                <pt idx="7">
                  <v>0.75</v>
                </pt>
                <pt idx="8">
                  <v>1</v>
                </pt>
                <pt idx="9">
                  <v>0.8</v>
                </pt>
                <pt idx="10">
                  <v>1</v>
                </pt>
                <pt idx="11">
                  <v>0.6666666666666666</v>
                </pt>
                <pt idx="12">
                  <v>1</v>
                </pt>
                <pt idx="13">
                  <v>0.5</v>
                </pt>
                <pt idx="14">
                  <v>1</v>
                </pt>
                <pt idx="15">
                  <formatCode>General</formatCode>
                  <v>0</v>
                </pt>
                <pt idx="16">
                  <formatCode>General</formatCode>
                  <v>0</v>
                </pt>
              </numCache>
            </numRef>
          </val>
        </ser>
        <ser>
          <idx val="1"/>
          <order val="1"/>
          <tx>
            <strRef>
              <f>Summary!$H$5</f>
              <strCache>
                <ptCount val="1"/>
                <pt idx="0">
                  <v>L2
%</v>
                </pt>
              </strCache>
            </strRef>
          </tx>
          <spPr>
            <a:solidFill>
              <a:srgbClr val="FFEB9C"/>
            </a:solidFill>
            <a:ln>
              <a:noFill/>
              <a:prstDash val="solid"/>
            </a:ln>
          </spPr>
          <invertIfNegative val="0"/>
          <dLbls>
            <spPr>
              <a:noFill/>
              <a:ln>
                <a:noFill/>
                <a:prstDash val="solid"/>
              </a:ln>
            </spPr>
            <txPr>
              <a:bodyPr/>
              <a:lstStyle/>
              <a:p>
                <a:pPr>
                  <a:defRPr sz="1000" b="0" strike="noStrike" spc="-1">
                    <a:latin typeface="Arial"/>
                  </a:defRPr>
                </a:pPr>
                <a:r>
                  <a:t>None</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Summary!$H$6:$H$22</f>
              <numCache>
                <formatCode>0%</formatCode>
                <ptCount val="17"/>
                <pt idx="0">
                  <v>0.2631578947368421</v>
                </pt>
                <pt idx="1">
                  <v>0.8571428571428571</v>
                </pt>
                <pt idx="2">
                  <v>0</v>
                </pt>
                <pt idx="3">
                  <v>0.375</v>
                </pt>
                <pt idx="4">
                  <v>0.8</v>
                </pt>
                <pt idx="5">
                  <v>0.8636363636363636</v>
                </pt>
                <pt idx="6">
                  <v>0.75</v>
                </pt>
                <pt idx="7">
                  <v>0.3333333333333333</v>
                </pt>
                <pt idx="8">
                  <v>1</v>
                </pt>
                <pt idx="9">
                  <v>0.75</v>
                </pt>
                <pt idx="10">
                  <v>0.8181818181818182</v>
                </pt>
                <pt idx="11">
                  <v>0.5</v>
                </pt>
                <pt idx="12">
                  <v>0.3333333333333333</v>
                </pt>
                <pt idx="13">
                  <v>0.5714285714285714</v>
                </pt>
                <pt idx="14">
                  <v>0.9</v>
                </pt>
                <pt idx="15">
                  <v>0.875</v>
                </pt>
                <pt idx="16">
                  <v>0</v>
                </pt>
              </numCache>
            </numRef>
          </val>
        </ser>
        <ser>
          <idx val="2"/>
          <order val="2"/>
          <tx>
            <strRef>
              <f>Summary!$K$5</f>
              <strCache>
                <ptCount val="1"/>
                <pt idx="0">
                  <v>L3
%</v>
                </pt>
              </strCache>
            </strRef>
          </tx>
          <spPr>
            <a:solidFill>
              <a:srgbClr val="FABF8F"/>
            </a:solidFill>
            <a:ln>
              <a:noFill/>
              <a:prstDash val="solid"/>
            </a:ln>
          </spPr>
          <invertIfNegative val="0"/>
          <dLbls>
            <spPr>
              <a:noFill/>
              <a:ln>
                <a:noFill/>
                <a:prstDash val="solid"/>
              </a:ln>
            </spPr>
            <txPr>
              <a:bodyPr/>
              <a:lstStyle/>
              <a:p>
                <a:pPr>
                  <a:defRPr sz="1000" b="0" strike="noStrike" spc="-1">
                    <a:latin typeface="Arial"/>
                  </a:defRPr>
                </a:pPr>
                <a:r>
                  <a:t>None</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Summary!$K$6:$K$21</f>
              <numCache>
                <formatCode>0%</formatCode>
                <ptCount val="16"/>
                <pt idx="0">
                  <v>0</v>
                </pt>
                <pt idx="1">
                  <v>0</v>
                </pt>
                <pt idx="2">
                  <v>0</v>
                </pt>
                <pt idx="3">
                  <v>0</v>
                </pt>
                <pt idx="4">
                  <v>0</v>
                </pt>
                <pt idx="5">
                  <v>0</v>
                </pt>
                <pt idx="6">
                  <v>0</v>
                </pt>
                <pt idx="7">
                  <v>0</v>
                </pt>
                <pt idx="8">
                  <formatCode>General</formatCode>
                  <v>0</v>
                </pt>
                <pt idx="9">
                  <v>0</v>
                </pt>
                <pt idx="10">
                  <v>0.2</v>
                </pt>
                <pt idx="11">
                  <v>0</v>
                </pt>
                <pt idx="12">
                  <v>0</v>
                </pt>
                <pt idx="13">
                  <v>0</v>
                </pt>
                <pt idx="14">
                  <v>0.25</v>
                </pt>
                <pt idx="15">
                  <v>1</v>
                </pt>
              </numCache>
            </numRef>
          </val>
        </ser>
        <ser>
          <idx val="3"/>
          <order val="3"/>
          <tx>
            <strRef>
              <f>Summary!$M$5</f>
              <strCache>
                <ptCount val="1"/>
                <pt idx="0">
                  <v>Overall
%</v>
                </pt>
              </strCache>
            </strRef>
          </tx>
          <spPr>
            <a:solidFill>
              <a:srgbClr val="579D1C"/>
            </a:solidFill>
            <a:ln>
              <a:noFill/>
              <a:prstDash val="solid"/>
            </a:ln>
          </spPr>
          <invertIfNegative val="0"/>
          <dLbls>
            <spPr>
              <a:noFill/>
              <a:ln>
                <a:noFill/>
                <a:prstDash val="solid"/>
              </a:ln>
            </spPr>
            <txPr>
              <a:bodyPr/>
              <a:lstStyle/>
              <a:p>
                <a:pPr>
                  <a:defRPr sz="1000" b="0" strike="noStrike" spc="-1">
                    <a:latin typeface="Arial"/>
                  </a:defRPr>
                </a:pPr>
                <a:r>
                  <a:t>None</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Summary!$M$6:$M$22</f>
              <numCache>
                <formatCode>0%</formatCode>
                <ptCount val="17"/>
                <pt idx="0">
                  <v>0.2666666666666667</v>
                </pt>
                <pt idx="1">
                  <v>0.7692307692307693</v>
                </pt>
                <pt idx="2">
                  <v>0.09677419354838709</v>
                </pt>
                <pt idx="3">
                  <v>0.25</v>
                </pt>
                <pt idx="4">
                  <v>0.6153846153846154</v>
                </pt>
                <pt idx="5">
                  <v>0.6382978723404256</v>
                </pt>
                <pt idx="6">
                  <v>0.6842105263157895</v>
                </pt>
                <pt idx="7">
                  <v>0.3076923076923077</v>
                </pt>
                <pt idx="8">
                  <v>1</v>
                </pt>
                <pt idx="9">
                  <v>0.6111111111111112</v>
                </pt>
                <pt idx="10">
                  <v>0.5833333333333334</v>
                </pt>
                <pt idx="11">
                  <v>0.4166666666666667</v>
                </pt>
                <pt idx="12">
                  <v>0.2380952380952381</v>
                </pt>
                <pt idx="13">
                  <v>0.3846153846153846</v>
                </pt>
                <pt idx="14">
                  <v>0.6666666666666666</v>
                </pt>
                <pt idx="15">
                  <v>0.8823529411764706</v>
                </pt>
                <pt idx="16">
                  <v>0</v>
                </pt>
              </numCache>
            </numRef>
          </val>
        </ser>
        <dLbls>
          <showLegendKey val="0"/>
          <showVal val="0"/>
          <showCatName val="0"/>
          <showSerName val="0"/>
          <showPercent val="0"/>
          <showBubbleSize val="0"/>
        </dLbls>
        <gapWidth val="100"/>
        <axId val="28005530"/>
        <axId val="73737639"/>
      </barChart>
      <catAx>
        <axId val="28005530"/>
        <scaling>
          <orientation val="minMax"/>
        </scaling>
        <delete val="0"/>
        <axPos val="l"/>
        <numFmt formatCode="General" sourceLinked="1"/>
        <majorTickMark val="out"/>
        <minorTickMark val="none"/>
        <tickLblPos val="nextTo"/>
        <spPr>
          <a:ln>
            <a:solidFill>
              <a:srgbClr val="B3B3B3"/>
            </a:solidFill>
            <a:prstDash val="solid"/>
          </a:ln>
        </spPr>
        <txPr>
          <a:bodyPr/>
          <a:lstStyle/>
          <a:p>
            <a:pPr>
              <a:defRPr sz="1000" b="0" strike="noStrike" spc="-1">
                <a:latin typeface="Arial"/>
              </a:defRPr>
            </a:pPr>
            <a:r>
              <a:t>None</a:t>
            </a:r>
            <a:endParaRPr lang="en-US"/>
          </a:p>
        </txPr>
        <crossAx val="73737639"/>
        <crosses val="autoZero"/>
        <auto val="1"/>
        <lblAlgn val="ctr"/>
        <lblOffset val="100"/>
        <noMultiLvlLbl val="0"/>
      </catAx>
      <valAx>
        <axId val="73737639"/>
        <scaling>
          <orientation val="minMax"/>
        </scaling>
        <delete val="0"/>
        <axPos val="b"/>
        <majorGridlines>
          <spPr>
            <a:ln>
              <a:solidFill>
                <a:srgbClr val="B3B3B3"/>
              </a:solidFill>
              <a:prstDash val="solid"/>
            </a:ln>
          </spPr>
        </majorGridlines>
        <numFmt formatCode="0%" sourceLinked="0"/>
        <majorTickMark val="out"/>
        <minorTickMark val="none"/>
        <tickLblPos val="nextTo"/>
        <spPr>
          <a:ln>
            <a:solidFill>
              <a:srgbClr val="B3B3B3"/>
            </a:solidFill>
            <a:prstDash val="solid"/>
          </a:ln>
        </spPr>
        <txPr>
          <a:bodyPr/>
          <a:lstStyle/>
          <a:p>
            <a:pPr>
              <a:defRPr sz="1000" b="0" strike="noStrike" spc="-1">
                <a:latin typeface="Arial"/>
              </a:defRPr>
            </a:pPr>
            <a:r>
              <a:t>None</a:t>
            </a:r>
            <a:endParaRPr lang="en-US"/>
          </a:p>
        </txPr>
        <crossAx val="28005530"/>
        <crosses val="autoZero"/>
        <crossBetween val="between"/>
      </valAx>
    </plotArea>
    <legend>
      <legendPos val="r"/>
      <overlay val="0"/>
      <spPr>
        <a:noFill/>
        <a:ln>
          <a:noFill/>
          <a:prstDash val="solid"/>
        </a:ln>
      </spPr>
      <txPr>
        <a:bodyPr/>
        <a:lstStyle/>
        <a:p>
          <a:pPr>
            <a:defRPr sz="1000" b="0" strike="noStrike" spc="-1">
              <a:latin typeface="Arial"/>
            </a:defRPr>
          </a:pPr>
          <a:r>
            <a:t>None</a:t>
          </a:r>
          <a:endParaRPr lang="en-US"/>
        </a:p>
      </txPr>
    </legend>
    <plotVisOnly val="1"/>
    <dispBlanksAs val="gap"/>
  </chart>
  <spPr>
    <a:solidFill>
      <a:srgbClr val="FFFFFF"/>
    </a:solidFill>
    <a:ln w="9360">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38880</colOff>
      <row>24</row>
      <rowOff>10440</rowOff>
    </from>
    <to>
      <col>12</col>
      <colOff>857520</colOff>
      <row>47</row>
      <rowOff>56880</rowOff>
    </to>
    <graphicFrame>
      <nvGraphicFramePr>
        <cNvPr id="1" name="Chart 1"/>
        <cNvGraphicFramePr/>
      </nvGraphicFramePr>
      <xfrm/>
      <a:graphic>
        <a:graphicData uri="http://schemas.openxmlformats.org/drawingml/2006/chart">
          <c:chart r:id="rId1"/>
        </a:graphicData>
      </a:graphic>
    </graphicFrame>
    <clientData/>
  </twoCellAnchor>
</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23"/>
  <sheetViews>
    <sheetView showGridLines="0" tabSelected="1" zoomScale="80" zoomScaleNormal="80" workbookViewId="0">
      <selection activeCell="K11" sqref="K11"/>
    </sheetView>
  </sheetViews>
  <sheetFormatPr baseColWidth="8" defaultColWidth="8.5703125" defaultRowHeight="15"/>
  <cols>
    <col width="34" customWidth="1" style="33" min="1" max="1"/>
    <col width="11" customWidth="1" style="33" min="2" max="13"/>
  </cols>
  <sheetData>
    <row r="1" ht="36" customHeight="1" s="33">
      <c r="A1" s="32" t="inlineStr">
        <is>
          <t>OWASP ASVS 5.0 – Compliance Tracker</t>
        </is>
      </c>
    </row>
    <row r="2" ht="19.9" customHeight="1" s="33">
      <c r="A2" s="35" t="n"/>
    </row>
    <row r="3" ht="18" customHeight="1" s="33">
      <c r="A3" s="34" t="n"/>
      <c r="C3" s="1" t="n"/>
      <c r="E3" s="1" t="n"/>
      <c r="G3" s="1" t="n"/>
      <c r="I3" s="1" t="n"/>
      <c r="K3" s="1" t="n"/>
      <c r="M3" s="1" t="n"/>
      <c r="O3" s="1" t="n"/>
    </row>
    <row r="5" ht="31.9" customHeight="1" s="33">
      <c r="A5" s="2" t="inlineStr">
        <is>
          <t>Chapter</t>
        </is>
      </c>
      <c r="B5" s="2" t="inlineStr">
        <is>
          <t>Total
Reqs</t>
        </is>
      </c>
      <c r="C5" s="2" t="inlineStr">
        <is>
          <t>L1
Total</t>
        </is>
      </c>
      <c r="D5" s="2" t="inlineStr">
        <is>
          <t>L1
Compliant</t>
        </is>
      </c>
      <c r="E5" s="2" t="inlineStr">
        <is>
          <t>L1
%</t>
        </is>
      </c>
      <c r="F5" s="2" t="inlineStr">
        <is>
          <t>L2
Total</t>
        </is>
      </c>
      <c r="G5" s="2" t="inlineStr">
        <is>
          <t>L2
Compliant</t>
        </is>
      </c>
      <c r="H5" s="2" t="inlineStr">
        <is>
          <t>L2
%</t>
        </is>
      </c>
      <c r="I5" s="2" t="inlineStr">
        <is>
          <t>L3
Total</t>
        </is>
      </c>
      <c r="J5" s="2" t="inlineStr">
        <is>
          <t>L3
Compliant</t>
        </is>
      </c>
      <c r="K5" s="2" t="inlineStr">
        <is>
          <t>L3
%</t>
        </is>
      </c>
      <c r="L5" s="2" t="inlineStr">
        <is>
          <t>Overall
Compliant</t>
        </is>
      </c>
      <c r="M5" s="2" t="inlineStr">
        <is>
          <t>Overall
%</t>
        </is>
      </c>
    </row>
    <row r="6" ht="18" customHeight="1" s="33">
      <c r="A6" s="3" t="inlineStr">
        <is>
          <t>V1 – Encoding and Sanitization</t>
        </is>
      </c>
      <c r="B6" s="4" t="n">
        <v>30</v>
      </c>
      <c r="C6" s="4" t="n">
        <v>8</v>
      </c>
      <c r="D6" s="4">
        <f>COUNTIFS('V1 - Encoding and Sanitization'!$F$2:$F$36,"Compliant",'V1 - Encoding and Sanitization'!$E$2:$E$36,1)</f>
        <v/>
      </c>
      <c r="E6" s="5">
        <f>IF(C6=0,"",D6/C6)</f>
        <v/>
      </c>
      <c r="F6" s="4" t="n">
        <v>19</v>
      </c>
      <c r="G6" s="4">
        <f>COUNTIFS('V1 - Encoding and Sanitization'!$F$2:$F$36,"Compliant",'V1 - Encoding and Sanitization'!$E$2:$E$36,2)</f>
        <v/>
      </c>
      <c r="H6" s="5">
        <f>IF(F6=0,"",G6/F6)</f>
        <v/>
      </c>
      <c r="I6" s="4" t="n">
        <v>3</v>
      </c>
      <c r="J6" s="4">
        <f>COUNTIFS('V1 - Encoding and Sanitization'!$F$2:$F$36,"Compliant",'V1 - Encoding and Sanitization'!$E$2:$E$36,3)</f>
        <v/>
      </c>
      <c r="K6" s="5">
        <f>IF(I6=0,"",J6/I6)</f>
        <v/>
      </c>
      <c r="L6" s="4">
        <f>COUNTIF('V1 - Encoding and Sanitization'!$F$2:$F$36,"Compliant")</f>
        <v/>
      </c>
      <c r="M6" s="5">
        <f>IF(B6=0,"",L6/B6)</f>
        <v/>
      </c>
    </row>
    <row r="7" ht="18" customHeight="1" s="33">
      <c r="A7" s="6" t="inlineStr">
        <is>
          <t>V2 – Validation and Business Logic</t>
        </is>
      </c>
      <c r="B7" s="7" t="n">
        <v>13</v>
      </c>
      <c r="C7" s="7" t="n">
        <v>4</v>
      </c>
      <c r="D7" s="7">
        <f>COUNTIFS('V2 - Validation and Business Lo'!$F$2:$F$18,"Compliant",'V2 - Validation and Business Lo'!$E$2:$E$18,1)</f>
        <v/>
      </c>
      <c r="E7" s="8">
        <f>IF(C7=0,"",D7/C7)</f>
        <v/>
      </c>
      <c r="F7" s="7" t="n">
        <v>7</v>
      </c>
      <c r="G7" s="7">
        <f>COUNTIFS('V2 - Validation and Business Lo'!$F$2:$F$18,"Compliant",'V2 - Validation and Business Lo'!$E$2:$E$18,2)</f>
        <v/>
      </c>
      <c r="H7" s="8">
        <f>IF(F7=0,"",G7/F7)</f>
        <v/>
      </c>
      <c r="I7" s="7" t="n">
        <v>2</v>
      </c>
      <c r="J7" s="7">
        <f>COUNTIFS('V2 - Validation and Business Lo'!$F$2:$F$18,"Compliant",'V2 - Validation and Business Lo'!$E$2:$E$18,3)</f>
        <v/>
      </c>
      <c r="K7" s="8">
        <f>IF(I7=0,"",J7/I7)</f>
        <v/>
      </c>
      <c r="L7" s="7">
        <f>COUNTIF('V2 - Validation and Business Lo'!$F$2:$F$18,"Compliant")</f>
        <v/>
      </c>
      <c r="M7" s="8">
        <f>IF(B7=0,"",L7/B7)</f>
        <v/>
      </c>
    </row>
    <row r="8" ht="18" customHeight="1" s="33">
      <c r="A8" s="3" t="inlineStr">
        <is>
          <t>V3 – Web Frontend Security</t>
        </is>
      </c>
      <c r="B8" s="4" t="n">
        <v>31</v>
      </c>
      <c r="C8" s="4" t="n">
        <v>8</v>
      </c>
      <c r="D8" s="4">
        <f>COUNTIFS('V3 - Web Frontend Security'!$F$2:$F$39,"Compliant",'V3 - Web Frontend Security'!$E$2:$E$39,1)</f>
        <v/>
      </c>
      <c r="E8" s="5">
        <f>IF(C8=0,"",D8/C8)</f>
        <v/>
      </c>
      <c r="F8" s="4" t="n">
        <v>11</v>
      </c>
      <c r="G8" s="4">
        <f>COUNTIFS('V3 - Web Frontend Security'!$F$2:$F$39,"Compliant",'V3 - Web Frontend Security'!$E$2:$E$39,2)</f>
        <v/>
      </c>
      <c r="H8" s="5">
        <f>IF(F8=0,"",G8/F8)</f>
        <v/>
      </c>
      <c r="I8" s="4" t="n">
        <v>12</v>
      </c>
      <c r="J8" s="4">
        <f>COUNTIFS('V3 - Web Frontend Security'!$F$2:$F$39,"Compliant",'V3 - Web Frontend Security'!$E$2:$E$39,3)</f>
        <v/>
      </c>
      <c r="K8" s="5">
        <f>IF(I8=0,"",J8/I8)</f>
        <v/>
      </c>
      <c r="L8" s="4">
        <f>COUNTIF('V3 - Web Frontend Security'!$F$2:$F$39,"Compliant")</f>
        <v/>
      </c>
      <c r="M8" s="5">
        <f>IF(B8=0,"",L8/B8)</f>
        <v/>
      </c>
    </row>
    <row r="9" ht="18" customHeight="1" s="33">
      <c r="A9" s="6" t="inlineStr">
        <is>
          <t>V4 – API and Web Service</t>
        </is>
      </c>
      <c r="B9" s="7" t="n">
        <v>16</v>
      </c>
      <c r="C9" s="7" t="n">
        <v>2</v>
      </c>
      <c r="D9" s="7">
        <f>COUNTIFS('V4 - API and Web Service'!$F$2:$F$21,"Compliant",'V4 - API and Web Service'!$E$2:$E$21,1)</f>
        <v/>
      </c>
      <c r="E9" s="8">
        <f>IF(C9=0,"",D9/C9)</f>
        <v/>
      </c>
      <c r="F9" s="7" t="n">
        <v>8</v>
      </c>
      <c r="G9" s="7">
        <f>COUNTIFS('V4 - API and Web Service'!$F$2:$F$21,"Compliant",'V4 - API and Web Service'!$E$2:$E$21,2)</f>
        <v/>
      </c>
      <c r="H9" s="8">
        <f>IF(F9=0,"",G9/F9)</f>
        <v/>
      </c>
      <c r="I9" s="7" t="n">
        <v>6</v>
      </c>
      <c r="J9" s="7">
        <f>COUNTIFS('V4 - API and Web Service'!$F$2:$F$21,"Compliant",'V4 - API and Web Service'!$E$2:$E$21,3)</f>
        <v/>
      </c>
      <c r="K9" s="8">
        <f>IF(I9=0,"",J9/I9)</f>
        <v/>
      </c>
      <c r="L9" s="7">
        <f>COUNTIF('V4 - API and Web Service'!$F$2:$F$21,"Compliant")</f>
        <v/>
      </c>
      <c r="M9" s="8">
        <f>IF(B9=0,"",L9/B9)</f>
        <v/>
      </c>
    </row>
    <row r="10" ht="18" customHeight="1" s="33">
      <c r="A10" s="3" t="inlineStr">
        <is>
          <t>V5 – File Handling</t>
        </is>
      </c>
      <c r="B10" s="4" t="n">
        <v>13</v>
      </c>
      <c r="C10" s="4" t="n">
        <v>4</v>
      </c>
      <c r="D10" s="4">
        <f>COUNTIFS('V5 - File Handling'!$F$2:$F$18,"Compliant",'V5 - File Handling'!$E$2:$E$18,1)</f>
        <v/>
      </c>
      <c r="E10" s="5">
        <f>IF(C10=0,"",D10/C10)</f>
        <v/>
      </c>
      <c r="F10" s="4" t="n">
        <v>5</v>
      </c>
      <c r="G10" s="4">
        <f>COUNTIFS('V5 - File Handling'!$F$2:$F$18,"Compliant",'V5 - File Handling'!$E$2:$E$18,2)</f>
        <v/>
      </c>
      <c r="H10" s="5">
        <f>IF(F10=0,"",G10/F10)</f>
        <v/>
      </c>
      <c r="I10" s="4" t="n">
        <v>4</v>
      </c>
      <c r="J10" s="4">
        <f>COUNTIFS('V5 - File Handling'!$F$2:$F$18,"Compliant",'V5 - File Handling'!$E$2:$E$18,3)</f>
        <v/>
      </c>
      <c r="K10" s="5">
        <f>IF(I10=0,"",J10/I10)</f>
        <v/>
      </c>
      <c r="L10" s="4">
        <f>COUNTIF('V5 - File Handling'!$F$2:$F$18,"Compliant")</f>
        <v/>
      </c>
      <c r="M10" s="5">
        <f>IF(B10=0,"",L10/B10)</f>
        <v/>
      </c>
    </row>
    <row r="11" ht="18" customHeight="1" s="33">
      <c r="A11" s="6" t="inlineStr">
        <is>
          <t>V6 – Authentication</t>
        </is>
      </c>
      <c r="B11" s="7" t="n">
        <v>47</v>
      </c>
      <c r="C11" s="7" t="n">
        <v>13</v>
      </c>
      <c r="D11" s="7">
        <f>COUNTIFS('V6 - Authentication'!$F$2:$F$56,"Compliant",'V6 - Authentication'!$E$2:$E$56,1)</f>
        <v/>
      </c>
      <c r="E11" s="8">
        <f>IF(C11=0,"",D11/C11)</f>
        <v/>
      </c>
      <c r="F11" s="7" t="n">
        <v>22</v>
      </c>
      <c r="G11" s="7">
        <f>COUNTIFS('V6 - Authentication'!$F$2:$F$56,"Compliant",'V6 - Authentication'!$E$2:$E$56,2)</f>
        <v/>
      </c>
      <c r="H11" s="8">
        <f>IF(F11=0,"",G11/F11)</f>
        <v/>
      </c>
      <c r="I11" s="7" t="n">
        <v>12</v>
      </c>
      <c r="J11" s="7">
        <f>COUNTIFS('V6 - Authentication'!$F$2:$F$56,"Compliant",'V6 - Authentication'!$E$2:$E$56,3)</f>
        <v/>
      </c>
      <c r="K11" s="8">
        <f>IF(I11=0,"",J11/I11)</f>
        <v/>
      </c>
      <c r="L11" s="7">
        <f>COUNTIF('V6 - Authentication'!$F$2:$F$56,"Compliant")</f>
        <v/>
      </c>
      <c r="M11" s="8">
        <f>IF(B11=0,"",L11/B11)</f>
        <v/>
      </c>
    </row>
    <row r="12" ht="18" customHeight="1" s="33">
      <c r="A12" s="3" t="inlineStr">
        <is>
          <t>V7 – Session Management</t>
        </is>
      </c>
      <c r="B12" s="4" t="n">
        <v>19</v>
      </c>
      <c r="C12" s="4" t="n">
        <v>6</v>
      </c>
      <c r="D12" s="4">
        <f>COUNTIFS('V7 - Session Management'!$F$2:$F$26,"Compliant",'V7 - Session Management'!$E$2:$E$26,1)</f>
        <v/>
      </c>
      <c r="E12" s="5">
        <f>IF(C12=0,"",D12/C12)</f>
        <v/>
      </c>
      <c r="F12" s="4" t="n">
        <v>12</v>
      </c>
      <c r="G12" s="4">
        <f>COUNTIFS('V7 - Session Management'!$F$2:$F$26,"Compliant",'V7 - Session Management'!$E$2:$E$26,2)</f>
        <v/>
      </c>
      <c r="H12" s="5">
        <f>IF(F12=0,"",G12/F12)</f>
        <v/>
      </c>
      <c r="I12" s="4" t="n">
        <v>1</v>
      </c>
      <c r="J12" s="4">
        <f>COUNTIFS('V7 - Session Management'!$F$2:$F$26,"Compliant",'V7 - Session Management'!$E$2:$E$26,3)</f>
        <v/>
      </c>
      <c r="K12" s="5">
        <f>IF(I12=0,"",J12/I12)</f>
        <v/>
      </c>
      <c r="L12" s="4">
        <f>COUNTIF('V7 - Session Management'!$F$2:$F$26,"Compliant")</f>
        <v/>
      </c>
      <c r="M12" s="5">
        <f>IF(B12=0,"",L12/B12)</f>
        <v/>
      </c>
    </row>
    <row r="13" ht="18" customHeight="1" s="33">
      <c r="A13" s="6" t="inlineStr">
        <is>
          <t>V8 – Authorization</t>
        </is>
      </c>
      <c r="B13" s="7" t="n">
        <v>13</v>
      </c>
      <c r="C13" s="7" t="n">
        <v>4</v>
      </c>
      <c r="D13" s="7">
        <f>COUNTIFS('V8 - Authorization'!$F$2:$F$18,"Compliant",'V8 - Authorization'!$E$2:$E$18,1)</f>
        <v/>
      </c>
      <c r="E13" s="8">
        <f>IF(C13=0,"",D13/C13)</f>
        <v/>
      </c>
      <c r="F13" s="7" t="n">
        <v>3</v>
      </c>
      <c r="G13" s="7">
        <f>COUNTIFS('V8 - Authorization'!$F$2:$F$18,"Compliant",'V8 - Authorization'!$E$2:$E$18,2)</f>
        <v/>
      </c>
      <c r="H13" s="8">
        <f>IF(F13=0,"",G13/F13)</f>
        <v/>
      </c>
      <c r="I13" s="7" t="n">
        <v>6</v>
      </c>
      <c r="J13" s="7">
        <f>COUNTIFS('V8 - Authorization'!$F$2:$F$18,"Compliant",'V8 - Authorization'!$E$2:$E$18,3)</f>
        <v/>
      </c>
      <c r="K13" s="8">
        <f>IF(I13=0,"",J13/I13)</f>
        <v/>
      </c>
      <c r="L13" s="7">
        <f>COUNTIF('V8 - Authorization'!$F$2:$F$18,"Compliant")</f>
        <v/>
      </c>
      <c r="M13" s="8">
        <f>IF(B13=0,"",L13/B13)</f>
        <v/>
      </c>
    </row>
    <row r="14" ht="18" customHeight="1" s="33">
      <c r="A14" s="3" t="inlineStr">
        <is>
          <t>V9 – Self-contained Tokens</t>
        </is>
      </c>
      <c r="B14" s="4" t="n">
        <v>7</v>
      </c>
      <c r="C14" s="4" t="n">
        <v>4</v>
      </c>
      <c r="D14" s="4">
        <f>COUNTIFS('V9 - Self-contained Tokens'!$F$2:$F$10,"Compliant",'V9 - Self-contained Tokens'!$E$2:$E$10,1)</f>
        <v/>
      </c>
      <c r="E14" s="5">
        <f>IF(C14=0,"",D14/C14)</f>
        <v/>
      </c>
      <c r="F14" s="4" t="n">
        <v>3</v>
      </c>
      <c r="G14" s="4">
        <f>COUNTIFS('V9 - Self-contained Tokens'!$F$2:$F$10,"Compliant",'V9 - Self-contained Tokens'!$E$2:$E$10,2)</f>
        <v/>
      </c>
      <c r="H14" s="5">
        <f>IF(F14=0,"",G14/F14)</f>
        <v/>
      </c>
      <c r="I14" s="4" t="n">
        <v>0</v>
      </c>
      <c r="J14" s="4" t="inlineStr">
        <is>
          <t>N/A</t>
        </is>
      </c>
      <c r="K14" s="4" t="inlineStr">
        <is>
          <t>N/A</t>
        </is>
      </c>
      <c r="L14" s="4">
        <f>COUNTIF('V9 - Self-contained Tokens'!$F$2:$F$10,"Compliant")</f>
        <v/>
      </c>
      <c r="M14" s="5">
        <f>IF(B14=0,"",L14/B14)</f>
        <v/>
      </c>
    </row>
    <row r="15" ht="18" customHeight="1" s="33">
      <c r="A15" s="6" t="inlineStr">
        <is>
          <t>V10 – OAuth and OIDC</t>
        </is>
      </c>
      <c r="B15" s="7" t="n">
        <v>36</v>
      </c>
      <c r="C15" s="7" t="n">
        <v>5</v>
      </c>
      <c r="D15" s="7">
        <f>COUNTIFS('V10 - OAuth and OIDC'!$F$2:$F$44,"Compliant",'V10 - OAuth and OIDC'!$E$2:$E$44,1)</f>
        <v/>
      </c>
      <c r="E15" s="8">
        <f>IF(C15=0,"",D15/C15)</f>
        <v/>
      </c>
      <c r="F15" s="7" t="n">
        <v>24</v>
      </c>
      <c r="G15" s="7">
        <f>COUNTIFS('V10 - OAuth and OIDC'!$F$2:$F$44,"Compliant",'V10 - OAuth and OIDC'!$E$2:$E$44,2)</f>
        <v/>
      </c>
      <c r="H15" s="8">
        <f>IF(F15=0,"",G15/F15)</f>
        <v/>
      </c>
      <c r="I15" s="7" t="n">
        <v>7</v>
      </c>
      <c r="J15" s="7">
        <f>COUNTIFS('V10 - OAuth and OIDC'!$F$2:$F$44,"Compliant",'V10 - OAuth and OIDC'!$E$2:$E$44,3)</f>
        <v/>
      </c>
      <c r="K15" s="8">
        <f>IF(I15=0,"",J15/I15)</f>
        <v/>
      </c>
      <c r="L15" s="7">
        <f>COUNTIF('V10 - OAuth and OIDC'!$F$2:$F$44,"Compliant")</f>
        <v/>
      </c>
      <c r="M15" s="8">
        <f>IF(B15=0,"",L15/B15)</f>
        <v/>
      </c>
    </row>
    <row r="16" ht="18" customHeight="1" s="33">
      <c r="A16" s="3" t="inlineStr">
        <is>
          <t>V11 – Cryptography</t>
        </is>
      </c>
      <c r="B16" s="4" t="n">
        <v>24</v>
      </c>
      <c r="C16" s="4" t="n">
        <v>3</v>
      </c>
      <c r="D16" s="4">
        <f>COUNTIFS('V11 - Cryptography'!$F$2:$F$32,"Compliant",'V11 - Cryptography'!$E$2:$E$32,1)</f>
        <v/>
      </c>
      <c r="E16" s="5">
        <f>IF(C16=0,"",D16/C16)</f>
        <v/>
      </c>
      <c r="F16" s="4" t="n">
        <v>11</v>
      </c>
      <c r="G16" s="4">
        <f>COUNTIFS('V11 - Cryptography'!$F$2:$F$32,"Compliant",'V11 - Cryptography'!$E$2:$E$32,2)</f>
        <v/>
      </c>
      <c r="H16" s="5">
        <f>IF(F16=0,"",G16/F16)</f>
        <v/>
      </c>
      <c r="I16" s="4" t="n">
        <v>10</v>
      </c>
      <c r="J16" s="4">
        <f>COUNTIFS('V11 - Cryptography'!$F$2:$F$32,"Compliant",'V11 - Cryptography'!$E$2:$E$32,3)</f>
        <v/>
      </c>
      <c r="K16" s="5">
        <f>IF(I16=0,"",J16/I16)</f>
        <v/>
      </c>
      <c r="L16" s="4">
        <f>COUNTIF('V11 - Cryptography'!$F$2:$F$32,"Compliant")</f>
        <v/>
      </c>
      <c r="M16" s="5">
        <f>IF(B16=0,"",L16/B16)</f>
        <v/>
      </c>
    </row>
    <row r="17" ht="18" customHeight="1" s="33">
      <c r="A17" s="6" t="inlineStr">
        <is>
          <t>V12 – Secure Communication</t>
        </is>
      </c>
      <c r="B17" s="7" t="n">
        <v>12</v>
      </c>
      <c r="C17" s="7" t="n">
        <v>3</v>
      </c>
      <c r="D17" s="7">
        <f>COUNTIFS('V12 - Secure Communication'!$F$2:$F$16,"Compliant",'V12 - Secure Communication'!$E$2:$E$16,1)</f>
        <v/>
      </c>
      <c r="E17" s="8">
        <f>IF(C17=0,"",D17/C17)</f>
        <v/>
      </c>
      <c r="F17" s="7" t="n">
        <v>6</v>
      </c>
      <c r="G17" s="7">
        <f>COUNTIFS('V12 - Secure Communication'!$F$2:$F$16,"Compliant",'V12 - Secure Communication'!$E$2:$E$16,2)</f>
        <v/>
      </c>
      <c r="H17" s="8">
        <f>IF(F17=0,"",G17/F17)</f>
        <v/>
      </c>
      <c r="I17" s="7" t="n">
        <v>3</v>
      </c>
      <c r="J17" s="7">
        <f>COUNTIFS('V12 - Secure Communication'!$F$2:$F$16,"Compliant",'V12 - Secure Communication'!$E$2:$E$16,3)</f>
        <v/>
      </c>
      <c r="K17" s="8">
        <f>IF(I17=0,"",J17/I17)</f>
        <v/>
      </c>
      <c r="L17" s="7">
        <f>COUNTIF('V12 - Secure Communication'!$F$2:$F$16,"Compliant")</f>
        <v/>
      </c>
      <c r="M17" s="8">
        <f>IF(B17=0,"",L17/B17)</f>
        <v/>
      </c>
    </row>
    <row r="18" ht="18" customHeight="1" s="33">
      <c r="A18" s="3" t="inlineStr">
        <is>
          <t>V13 – Configuration</t>
        </is>
      </c>
      <c r="B18" s="4" t="n">
        <v>21</v>
      </c>
      <c r="C18" s="4" t="n">
        <v>1</v>
      </c>
      <c r="D18" s="4">
        <f>COUNTIFS('V13 - Configuration'!$F$2:$F$26,"Compliant",'V13 - Configuration'!$E$2:$E$26,1)</f>
        <v/>
      </c>
      <c r="E18" s="5">
        <f>IF(C18=0,"",D18/C18)</f>
        <v/>
      </c>
      <c r="F18" s="4" t="n">
        <v>12</v>
      </c>
      <c r="G18" s="4">
        <f>COUNTIFS('V13 - Configuration'!$F$2:$F$26,"Compliant",'V13 - Configuration'!$E$2:$E$26,2)</f>
        <v/>
      </c>
      <c r="H18" s="5">
        <f>IF(F18=0,"",G18/F18)</f>
        <v/>
      </c>
      <c r="I18" s="4" t="n">
        <v>8</v>
      </c>
      <c r="J18" s="4">
        <f>COUNTIFS('V13 - Configuration'!$F$2:$F$26,"Compliant",'V13 - Configuration'!$E$2:$E$26,3)</f>
        <v/>
      </c>
      <c r="K18" s="5">
        <f>IF(I18=0,"",J18/I18)</f>
        <v/>
      </c>
      <c r="L18" s="4">
        <f>COUNTIF('V13 - Configuration'!$F$2:$F$26,"Compliant")</f>
        <v/>
      </c>
      <c r="M18" s="5">
        <f>IF(B18=0,"",L18/B18)</f>
        <v/>
      </c>
    </row>
    <row r="19" ht="18" customHeight="1" s="33">
      <c r="A19" s="6" t="inlineStr">
        <is>
          <t>V14 – Data Protection</t>
        </is>
      </c>
      <c r="B19" s="7" t="n">
        <v>13</v>
      </c>
      <c r="C19" s="7" t="n">
        <v>2</v>
      </c>
      <c r="D19" s="7">
        <f>COUNTIFS('V14 - Data Protection'!$F$2:$F$17,"Compliant",'V14 - Data Protection'!$E$2:$E$17,1)</f>
        <v/>
      </c>
      <c r="E19" s="8">
        <f>IF(C19=0,"",D19/C19)</f>
        <v/>
      </c>
      <c r="F19" s="7" t="n">
        <v>7</v>
      </c>
      <c r="G19" s="7">
        <f>COUNTIFS('V14 - Data Protection'!$F$2:$F$17,"Compliant",'V14 - Data Protection'!$E$2:$E$17,2)</f>
        <v/>
      </c>
      <c r="H19" s="8">
        <f>IF(F19=0,"",G19/F19)</f>
        <v/>
      </c>
      <c r="I19" s="7" t="n">
        <v>4</v>
      </c>
      <c r="J19" s="7">
        <f>COUNTIFS('V14 - Data Protection'!$F$2:$F$17,"Compliant",'V14 - Data Protection'!$E$2:$E$17,3)</f>
        <v/>
      </c>
      <c r="K19" s="8">
        <f>IF(I19=0,"",J19/I19)</f>
        <v/>
      </c>
      <c r="L19" s="7">
        <f>COUNTIF('V14 - Data Protection'!$F$2:$F$17,"Compliant")</f>
        <v/>
      </c>
      <c r="M19" s="8">
        <f>IF(B19=0,"",L19/B19)</f>
        <v/>
      </c>
    </row>
    <row r="20" ht="18" customHeight="1" s="33">
      <c r="A20" s="3" t="inlineStr">
        <is>
          <t>V15 – Secure Coding and Architecture</t>
        </is>
      </c>
      <c r="B20" s="4" t="n">
        <v>21</v>
      </c>
      <c r="C20" s="4" t="n">
        <v>3</v>
      </c>
      <c r="D20" s="4">
        <f>COUNTIFS('V15 - Secure Coding and Archite'!$F$2:$F$26,"Compliant",'V15 - Secure Coding and Archite'!$E$2:$E$26,1)</f>
        <v/>
      </c>
      <c r="E20" s="5">
        <f>IF(C20=0,"",D20/C20)</f>
        <v/>
      </c>
      <c r="F20" s="4" t="n">
        <v>10</v>
      </c>
      <c r="G20" s="4">
        <f>COUNTIFS('V15 - Secure Coding and Archite'!$F$2:$F$26,"Compliant",'V15 - Secure Coding and Archite'!$E$2:$E$26,2)</f>
        <v/>
      </c>
      <c r="H20" s="5">
        <f>IF(F20=0,"",G20/F20)</f>
        <v/>
      </c>
      <c r="I20" s="4" t="n">
        <v>8</v>
      </c>
      <c r="J20" s="4">
        <f>COUNTIFS('V15 - Secure Coding and Archite'!$F$2:$F$26,"Compliant",'V15 - Secure Coding and Archite'!$E$2:$E$26,3)</f>
        <v/>
      </c>
      <c r="K20" s="5">
        <f>IF(I20=0,"",J20/I20)</f>
        <v/>
      </c>
      <c r="L20" s="4">
        <f>COUNTIF('V15 - Secure Coding and Archite'!$F$2:$F$26,"Compliant")</f>
        <v/>
      </c>
      <c r="M20" s="5">
        <f>IF(B20=0,"",L20/B20)</f>
        <v/>
      </c>
    </row>
    <row r="21" ht="18" customHeight="1" s="33">
      <c r="A21" s="6" t="inlineStr">
        <is>
          <t>V16 – Security Logging and Error Handling</t>
        </is>
      </c>
      <c r="B21" s="7" t="n">
        <v>17</v>
      </c>
      <c r="C21" s="7" t="n">
        <v>0</v>
      </c>
      <c r="D21" s="7" t="inlineStr">
        <is>
          <t>N/A</t>
        </is>
      </c>
      <c r="E21" s="7" t="inlineStr">
        <is>
          <t>N/A</t>
        </is>
      </c>
      <c r="F21" s="7" t="n">
        <v>16</v>
      </c>
      <c r="G21" s="7">
        <f>COUNTIFS('V16 - Security Logging and Erro'!$F$2:$F$23,"Compliant",'V16 - Security Logging and Erro'!$E$2:$E$23,2)</f>
        <v/>
      </c>
      <c r="H21" s="8">
        <f>IF(F21=0,"",G21/F21)</f>
        <v/>
      </c>
      <c r="I21" s="7" t="n">
        <v>1</v>
      </c>
      <c r="J21" s="7">
        <f>COUNTIFS('V16 - Security Logging and Erro'!$F$2:$F$23,"Compliant",'V16 - Security Logging and Erro'!$E$2:$E$23,3)</f>
        <v/>
      </c>
      <c r="K21" s="8">
        <f>IF(I21=0,"",J21/I21)</f>
        <v/>
      </c>
      <c r="L21" s="7">
        <f>COUNTIF('V16 - Security Logging and Erro'!$F$2:$F$23,"Compliant")</f>
        <v/>
      </c>
      <c r="M21" s="8">
        <f>IF(B21=0,"",L21/B21)</f>
        <v/>
      </c>
    </row>
    <row r="22" ht="18" customHeight="1" s="33">
      <c r="A22" s="3" t="inlineStr">
        <is>
          <t>V17 – WebRTC</t>
        </is>
      </c>
      <c r="B22" s="4" t="n">
        <v>12</v>
      </c>
      <c r="C22" s="4" t="n">
        <v>0</v>
      </c>
      <c r="D22" s="4" t="inlineStr">
        <is>
          <t>N/A</t>
        </is>
      </c>
      <c r="E22" s="4" t="inlineStr">
        <is>
          <t>N/A</t>
        </is>
      </c>
      <c r="F22" s="4" t="n">
        <v>7</v>
      </c>
      <c r="G22" s="4">
        <f>COUNTIFS('V17 - WebRTC'!$F$2:$F$16,"Compliant",'V17 - WebRTC'!$E$2:$E$16,2)</f>
        <v/>
      </c>
      <c r="H22" s="5">
        <f>IF(F22=0,"",G22/F22)</f>
        <v/>
      </c>
      <c r="I22" s="4" t="n">
        <v>5</v>
      </c>
      <c r="J22" s="4">
        <f>COUNTIFS('V17 - WebRTC'!$F$2:$F$16,"Compliant",'V17 - WebRTC'!$E$2:$E$16,3)</f>
        <v/>
      </c>
      <c r="K22" s="5">
        <f>IF(I22=0,"",J22/I22)</f>
        <v/>
      </c>
      <c r="L22" s="4">
        <f>COUNTIF('V17 - WebRTC'!$F$2:$F$16,"Compliant")</f>
        <v/>
      </c>
      <c r="M22" s="5">
        <f>IF(B22=0,"",L22/B22)</f>
        <v/>
      </c>
    </row>
    <row r="23" ht="22.15" customHeight="1" s="33">
      <c r="A23" s="9" t="inlineStr">
        <is>
          <t>TOTAL</t>
        </is>
      </c>
      <c r="B23" s="10">
        <f>SUM(B6:B22)</f>
        <v/>
      </c>
      <c r="C23" s="10">
        <f>SUM(C6:C22)</f>
        <v/>
      </c>
      <c r="D23" s="10">
        <f>SUM(D6:D22)</f>
        <v/>
      </c>
      <c r="E23" s="11">
        <f>IFERROR(AVERAGE(E6:E22),"")</f>
        <v/>
      </c>
      <c r="F23" s="10">
        <f>SUM(F6:F22)</f>
        <v/>
      </c>
      <c r="G23" s="10">
        <f>SUM(G6:G22)</f>
        <v/>
      </c>
      <c r="H23" s="11">
        <f>IFERROR(AVERAGE(H6:H22),"")</f>
        <v/>
      </c>
      <c r="I23" s="10">
        <f>SUM(I6:I22)</f>
        <v/>
      </c>
      <c r="J23" s="10">
        <f>SUM(J6:J22)</f>
        <v/>
      </c>
      <c r="K23" s="11">
        <f>IFERROR(AVERAGE(K6:K22),"")</f>
        <v/>
      </c>
      <c r="L23" s="10">
        <f>SUM(L6:L22)</f>
        <v/>
      </c>
      <c r="M23" s="11">
        <f>IFERROR(AVERAGE(M6:M22),"")</f>
        <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5" footer="0.511805555555555"/>
  <pageSetup orientation="portrait" firstPageNumber="0"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6"/>
  <sheetViews>
    <sheetView zoomScale="81" zoomScaleNormal="75" workbookViewId="0">
      <pane ySplit="1" topLeftCell="A23" activePane="bottomLeft" state="frozen"/>
      <selection pane="bottomLeft" activeCell="G38" sqref="G38"/>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94.28515625" bestFit="1"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V1.1</t>
        </is>
      </c>
      <c r="B2" s="13" t="inlineStr">
        <is>
          <t>Encoding and Sanitization Architecture</t>
        </is>
      </c>
      <c r="C2" s="13" t="n"/>
      <c r="D2" s="13" t="n"/>
      <c r="E2" s="13" t="n"/>
      <c r="F2" s="13" t="n"/>
      <c r="G2" s="13" t="n"/>
      <c r="H2" s="13" t="n"/>
    </row>
    <row r="3" ht="75" customHeight="1" s="33">
      <c r="A3" s="14" t="inlineStr">
        <is>
          <t>V1.1</t>
        </is>
      </c>
      <c r="B3" s="14" t="inlineStr">
        <is>
          <t>Encoding and Sanitization Architecture</t>
        </is>
      </c>
      <c r="C3" s="15" t="inlineStr">
        <is>
          <t>V1.1.1</t>
        </is>
      </c>
      <c r="D3" s="16" t="inlineStr">
        <is>
          <t>Verify that input is decoded or unescaped into a canonical form only once, it is only decoded when encoded data in that form is expected, and that this is done before processing the input further, for example it is not performed after input validation or sanitization.</t>
        </is>
      </c>
      <c r="E3" s="17" t="n">
        <v>2</v>
      </c>
      <c r="F3" s="28" t="inlineStr">
        <is>
          <t>Compliant</t>
        </is>
      </c>
      <c r="G3" s="29" t="inlineStr">
        <is>
          <t>ArcadeHeaven uses Spring Boot which automatically deserializes JSON inputs into Java objects ensuring a canonical form at entry. Validation will be enforced using Bean Validation</t>
        </is>
      </c>
      <c r="H3" s="16" t="inlineStr">
        <is>
          <t>Api/src/main/java/.../Dto/Request/RegisterRequest.java; Api/src/main/java/.../Validation/NoHtmlValidator.java</t>
        </is>
      </c>
    </row>
    <row r="4" ht="30" customHeight="1" s="33">
      <c r="A4" s="19" t="inlineStr">
        <is>
          <t>V1.1</t>
        </is>
      </c>
      <c r="B4" s="19" t="inlineStr">
        <is>
          <t>Encoding and Sanitization Architecture</t>
        </is>
      </c>
      <c r="C4" s="20" t="inlineStr">
        <is>
          <t>V1.1.2</t>
        </is>
      </c>
      <c r="D4" s="21" t="inlineStr">
        <is>
          <t>Verify that the application performs output encoding and escaping either as a final step before being used by the interpreter for which it is intended or by the interpreter itself.</t>
        </is>
      </c>
      <c r="E4" s="17" t="n">
        <v>2</v>
      </c>
      <c r="F4" s="28" t="inlineStr">
        <is>
          <t>Compliant</t>
        </is>
      </c>
      <c r="G4" s="30" t="inlineStr">
        <is>
          <t>Jackson serialises all JSON responses. InvoiceService/OrderService strip CRLF from text files. RawgApiClient.sanitizeText() strips HTML tags and normalises whitespace from all RAWG-sourced strings before persisting. sanitizeCoverImageUrl() validates RAWG cover image URL is on https://media.rawg.io/.</t>
        </is>
      </c>
      <c r="H4" s="21" t="inlineStr">
        <is>
          <t>Api/src/main/java/.../Exception/GlobalExceptionHandler.java (JSON error responses, no raw stack traces); Security/SecurityEventHandler.java (writeJson via ObjectMapper); Api/src/main/java/…/Service/InvoiceService.java;</t>
        </is>
      </c>
    </row>
    <row r="5" ht="18" customHeight="1" s="33">
      <c r="A5" s="13" t="inlineStr">
        <is>
          <t>V1.2</t>
        </is>
      </c>
      <c r="B5" s="13" t="inlineStr">
        <is>
          <t>Injection Prevention</t>
        </is>
      </c>
      <c r="C5" s="13" t="n"/>
      <c r="D5" s="13" t="n"/>
      <c r="E5" s="13" t="n"/>
      <c r="F5" s="31" t="n"/>
      <c r="G5" s="31" t="n"/>
      <c r="H5" s="13" t="n"/>
    </row>
    <row r="6" ht="30" customHeight="1" s="33">
      <c r="A6" s="14" t="inlineStr">
        <is>
          <t>V1.2</t>
        </is>
      </c>
      <c r="B6" s="14" t="inlineStr">
        <is>
          <t>Injection Prevention</t>
        </is>
      </c>
      <c r="C6" s="15" t="inlineStr">
        <is>
          <t>V1.2.1</t>
        </is>
      </c>
      <c r="D6" s="16" t="inlineStr">
        <is>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is>
      </c>
      <c r="E6" s="22" t="n">
        <v>1</v>
      </c>
      <c r="F6" s="28" t="inlineStr">
        <is>
          <t>Not Applicable</t>
        </is>
      </c>
      <c r="G6" s="29" t="inlineStr">
        <is>
          <t>ArcadeHaven does not generate HTML or XML content</t>
        </is>
      </c>
      <c r="H6" s="16" t="n"/>
    </row>
    <row r="7" ht="30" customHeight="1" s="33">
      <c r="A7" s="19" t="inlineStr">
        <is>
          <t>V1.2</t>
        </is>
      </c>
      <c r="B7" s="19" t="inlineStr">
        <is>
          <t>Injection Prevention</t>
        </is>
      </c>
      <c r="C7" s="20" t="inlineStr">
        <is>
          <t>V1.2.2</t>
        </is>
      </c>
      <c r="D7" s="21" t="inlineStr">
        <is>
          <t>Verify that when dynamically building URLs, untrusted data is encoded according to its context (e.g., URL encoding or base64url encoding for query or path parameters). Ensure that only safe URL protocols are permitted (e.g., disallow javascript: or data:).</t>
        </is>
      </c>
      <c r="E7" s="22" t="n">
        <v>1</v>
      </c>
      <c r="F7" s="28" t="inlineStr">
        <is>
          <t>Compliant</t>
        </is>
      </c>
      <c r="G7" s="30" t="inlineStr">
        <is>
          <t>ArcadeHaven validates external URLs configuration scheme and host. Additionally, URLs are constructed using UriComponentsBuilder, ensuring dynamic paths segments are properly encoded and preventing malformed URL and and malicious URL injections.</t>
        </is>
      </c>
      <c r="H7" s="21" t="inlineStr">
        <is>
          <t>Api/src/main/java/…/Service/AuthService.java; Api/src/main/java/…/Service/ProfileService.java; Api/src/main/java/…/Config/KeycloakAdminConfig.java;</t>
        </is>
      </c>
    </row>
    <row r="8" ht="30" customHeight="1" s="33">
      <c r="A8" s="14" t="inlineStr">
        <is>
          <t>V1.2</t>
        </is>
      </c>
      <c r="B8" s="14" t="inlineStr">
        <is>
          <t>Injection Prevention</t>
        </is>
      </c>
      <c r="C8" s="15" t="inlineStr">
        <is>
          <t>V1.2.3</t>
        </is>
      </c>
      <c r="D8" s="16" t="inlineStr">
        <is>
          <t>Verify that output encoding or escaping is used when dynamically building JavaScript content (including JSON), to avoid changing the message or document structure (to avoid JavaScript and JSON injection).</t>
        </is>
      </c>
      <c r="E8" s="22" t="n">
        <v>1</v>
      </c>
      <c r="F8" s="28" t="inlineStr">
        <is>
          <t>Not Applicable</t>
        </is>
      </c>
      <c r="G8" s="29" t="n"/>
      <c r="H8" s="16" t="n"/>
    </row>
    <row r="9" ht="30" customHeight="1" s="33">
      <c r="A9" s="19" t="inlineStr">
        <is>
          <t>V1.2</t>
        </is>
      </c>
      <c r="B9" s="19" t="inlineStr">
        <is>
          <t>Injection Prevention</t>
        </is>
      </c>
      <c r="C9" s="20" t="inlineStr">
        <is>
          <t>V1.2.4</t>
        </is>
      </c>
      <c r="D9" s="21" t="inlineStr">
        <is>
          <t>Verify that data selection or database queries (e.g., SQL, HQL, NoSQL, Cypher) use parameterized queries, ORMs, entity frameworks, or are otherwise protected from SQL Injection and other database injection attacks. This is also relevant when writing stored procedures.</t>
        </is>
      </c>
      <c r="E9" s="22" t="n">
        <v>1</v>
      </c>
      <c r="F9" s="28" t="inlineStr">
        <is>
          <t>Compliant</t>
        </is>
      </c>
      <c r="G9" s="30" t="inlineStr">
        <is>
          <t>The entire data access layer uses Spring Data JPA with typed repositories</t>
        </is>
      </c>
      <c r="H9" s="21" t="n"/>
    </row>
    <row r="10" ht="30" customHeight="1" s="33">
      <c r="A10" s="14" t="inlineStr">
        <is>
          <t>V1.2</t>
        </is>
      </c>
      <c r="B10" s="14" t="inlineStr">
        <is>
          <t>Injection Prevention</t>
        </is>
      </c>
      <c r="C10" s="15" t="inlineStr">
        <is>
          <t>V1.2.5</t>
        </is>
      </c>
      <c r="D10" s="16" t="inlineStr">
        <is>
          <t>Verify that the application protects against OS command injection and that operating system calls use parameterized OS queries or use contextual command line output encoding.</t>
        </is>
      </c>
      <c r="E10" s="22" t="n">
        <v>1</v>
      </c>
      <c r="F10" s="28" t="inlineStr">
        <is>
          <t>Not Applicable</t>
        </is>
      </c>
      <c r="G10" s="29" t="inlineStr">
        <is>
          <t>ArcadeHaven does not use operating system commands</t>
        </is>
      </c>
      <c r="H10" s="16" t="n"/>
    </row>
    <row r="11" ht="30" customHeight="1" s="33">
      <c r="A11" s="19" t="inlineStr">
        <is>
          <t>V1.2</t>
        </is>
      </c>
      <c r="B11" s="19" t="inlineStr">
        <is>
          <t>Injection Prevention</t>
        </is>
      </c>
      <c r="C11" s="20" t="inlineStr">
        <is>
          <t>V1.2.6</t>
        </is>
      </c>
      <c r="D11" s="21" t="inlineStr">
        <is>
          <t>Verify that the application protects against LDAP injection vulnerabilities, or that specific security controls to prevent LDAP injection have been implemented.</t>
        </is>
      </c>
      <c r="E11" s="17" t="n">
        <v>2</v>
      </c>
      <c r="F11" s="28" t="inlineStr">
        <is>
          <t>Not Applicable</t>
        </is>
      </c>
      <c r="G11" s="30" t="inlineStr">
        <is>
          <t>No LDAP integration is used in ArcadeHaven</t>
        </is>
      </c>
      <c r="H11" s="21" t="n"/>
    </row>
    <row r="12" ht="30" customHeight="1" s="33">
      <c r="A12" s="14" t="inlineStr">
        <is>
          <t>V1.2</t>
        </is>
      </c>
      <c r="B12" s="14" t="inlineStr">
        <is>
          <t>Injection Prevention</t>
        </is>
      </c>
      <c r="C12" s="15" t="inlineStr">
        <is>
          <t>V1.2.7</t>
        </is>
      </c>
      <c r="D12" s="16" t="inlineStr">
        <is>
          <t>Verify that the application is protected against XPath injection attacks by using query parameterization or precompiled queries.</t>
        </is>
      </c>
      <c r="E12" s="17" t="n">
        <v>2</v>
      </c>
      <c r="F12" s="28" t="inlineStr">
        <is>
          <t>Not Applicable</t>
        </is>
      </c>
      <c r="G12" s="29" t="inlineStr">
        <is>
          <t>No XPath or XML quering is used in ArcadeHeaven</t>
        </is>
      </c>
      <c r="H12" s="16" t="n"/>
    </row>
    <row r="13" ht="30" customHeight="1" s="33">
      <c r="A13" s="19" t="inlineStr">
        <is>
          <t>V1.2</t>
        </is>
      </c>
      <c r="B13" s="19" t="inlineStr">
        <is>
          <t>Injection Prevention</t>
        </is>
      </c>
      <c r="C13" s="20" t="inlineStr">
        <is>
          <t>V1.2.8</t>
        </is>
      </c>
      <c r="D13" s="21" t="inlineStr">
        <is>
          <t>Verify that LaTeX processors are configured securely (such as not using the "--shell-escape" flag) and an allowlist of commands is used to prevent LaTeX injection attacks.</t>
        </is>
      </c>
      <c r="E13" s="17" t="n">
        <v>2</v>
      </c>
      <c r="F13" s="28" t="inlineStr">
        <is>
          <t>Not Applicable</t>
        </is>
      </c>
      <c r="G13" s="30" t="inlineStr">
        <is>
          <t>No LaTeX processing is used in ArcadeHaven</t>
        </is>
      </c>
      <c r="H13" s="21" t="n"/>
    </row>
    <row r="14" ht="30" customHeight="1" s="33">
      <c r="A14" s="14" t="inlineStr">
        <is>
          <t>V1.2</t>
        </is>
      </c>
      <c r="B14" s="14" t="inlineStr">
        <is>
          <t>Injection Prevention</t>
        </is>
      </c>
      <c r="C14" s="15" t="inlineStr">
        <is>
          <t>V1.2.9</t>
        </is>
      </c>
      <c r="D14" s="16" t="inlineStr">
        <is>
          <t>Verify that the application escapes special characters in regular expressions (typically using a backslash) to prevent them from being misinterpreted as metacharacters.</t>
        </is>
      </c>
      <c r="E14" s="17" t="n">
        <v>2</v>
      </c>
      <c r="F14" s="28" t="inlineStr">
        <is>
          <t>Compliant</t>
        </is>
      </c>
      <c r="G14" s="29" t="inlineStr">
        <is>
          <t>ArcadeHaven escapes special characters in inputs through the NoHtml validator and FileValidator.</t>
        </is>
      </c>
      <c r="H14" s="16" t="inlineStr">
        <is>
          <t>Api/src/main/java/…/Validation/NoHtmlValidator.java; Api/src/main/java/…/Validation/FileeValidator.java</t>
        </is>
      </c>
    </row>
    <row r="15" ht="30" customHeight="1" s="33">
      <c r="A15" s="19" t="inlineStr">
        <is>
          <t>V1.2</t>
        </is>
      </c>
      <c r="B15" s="19" t="inlineStr">
        <is>
          <t>Injection Prevention</t>
        </is>
      </c>
      <c r="C15" s="20" t="inlineStr">
        <is>
          <t>V1.2.10</t>
        </is>
      </c>
      <c r="D15" s="21" t="inlineStr">
        <is>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is>
      </c>
      <c r="E15" s="23" t="n">
        <v>3</v>
      </c>
      <c r="F15" s="28" t="inlineStr">
        <is>
          <t>Not Applicable</t>
        </is>
      </c>
      <c r="G15" s="30" t="inlineStr">
        <is>
          <t>No CSV or Spreedsheet export is implemented in ArcadeHaven</t>
        </is>
      </c>
      <c r="H15" s="21" t="n"/>
    </row>
    <row r="16" ht="18" customHeight="1" s="33">
      <c r="A16" s="13" t="inlineStr">
        <is>
          <t>V1.3</t>
        </is>
      </c>
      <c r="B16" s="13" t="inlineStr">
        <is>
          <t>Sanitization</t>
        </is>
      </c>
      <c r="C16" s="13" t="n"/>
      <c r="D16" s="13" t="n"/>
      <c r="E16" s="13" t="n"/>
      <c r="F16" s="31" t="n"/>
      <c r="G16" s="31" t="n"/>
      <c r="H16" s="13" t="n"/>
    </row>
    <row r="17" ht="30" customHeight="1" s="33">
      <c r="A17" s="14" t="inlineStr">
        <is>
          <t>V1.3</t>
        </is>
      </c>
      <c r="B17" s="14" t="inlineStr">
        <is>
          <t>Sanitization</t>
        </is>
      </c>
      <c r="C17" s="15" t="inlineStr">
        <is>
          <t>V1.3.1</t>
        </is>
      </c>
      <c r="D17" s="16" t="inlineStr">
        <is>
          <t>Verify that all untrusted HTML input from WYSIWYG editors or similar is sanitized using a well-known and secure HTML sanitization library or framework feature.</t>
        </is>
      </c>
      <c r="E17" s="22" t="n">
        <v>1</v>
      </c>
      <c r="F17" s="28" t="inlineStr">
        <is>
          <t>Not Applicable</t>
        </is>
      </c>
      <c r="G17" s="29" t="inlineStr">
        <is>
          <t>No WYSIWYG or HTML input is accepted</t>
        </is>
      </c>
      <c r="H17" s="16" t="n"/>
    </row>
    <row r="18" ht="30" customHeight="1" s="33">
      <c r="A18" s="19" t="inlineStr">
        <is>
          <t>V1.3</t>
        </is>
      </c>
      <c r="B18" s="19" t="inlineStr">
        <is>
          <t>Sanitization</t>
        </is>
      </c>
      <c r="C18" s="20" t="inlineStr">
        <is>
          <t>V1.3.2</t>
        </is>
      </c>
      <c r="D18" s="21" t="inlineStr">
        <is>
          <t>Verify that the application avoids the use of eval() or other dynamic code execution features such as Spring Expression Language (SpEL). Where there is no alternative, any user input being included must be sanitized before being executed.</t>
        </is>
      </c>
      <c r="E18" s="22" t="n">
        <v>1</v>
      </c>
      <c r="F18" s="28" t="inlineStr">
        <is>
          <t>Compliant</t>
        </is>
      </c>
      <c r="G18" s="30" t="inlineStr">
        <is>
          <t>ArcadeHaven does not use SpEL with user input. The @PreAuthorize annotations use SpEL with static expressions (“hasRole(‘ADMIN’)”)</t>
        </is>
      </c>
      <c r="H18" s="21" t="n"/>
    </row>
    <row r="19" ht="30" customHeight="1" s="33">
      <c r="A19" s="14" t="inlineStr">
        <is>
          <t>V1.3</t>
        </is>
      </c>
      <c r="B19" s="14" t="inlineStr">
        <is>
          <t>Sanitization</t>
        </is>
      </c>
      <c r="C19" s="15" t="inlineStr">
        <is>
          <t>V1.3.3</t>
        </is>
      </c>
      <c r="D19" s="16" t="inlineStr">
        <is>
          <t>Verify that data being passed to a potentially dangerous context is sanitized beforehand to enforce safety measures, such as only allowing characters which are safe for this context and trimming input which is too long.</t>
        </is>
      </c>
      <c r="E19" s="17" t="n">
        <v>2</v>
      </c>
      <c r="F19" s="28" t="inlineStr">
        <is>
          <t>Compliant</t>
        </is>
      </c>
      <c r="G19" s="29" t="inlineStr">
        <is>
          <t>SftpStorageService.validateSubDir() rejects subdir paths containing ".." or starting with "/"; validateRemotePath() asserts download/delete paths start with baseRemoteDir and contain no "..".; sanitizeFilename() strips unsafe chars from all SFTP filenames (applied in both uploadFile() and uploadBytes()). LocalStorageService.resolveAndValidate() uses Path.normalize() + startsWith(baseDir) for the local backend. FileStorageService.sanitizeText() strips CR/LF/TAB from activation-key file content; InvoiceService.sanitizeLine() does the same for invoice lines. All RAWG-sourced strings are HTML-stripped and whitespace-normalised before persisting (see V1.1.2).</t>
        </is>
      </c>
      <c r="H19" s="16" t="inlineStr">
        <is>
          <t>Api/src/main/java/.../Service/SftpStorageService.java (validateSubDir, validateRemotePath, sanitizeFilename); Service/LocalStorageService.java (resolveAndValidate); Service/FileStorageService.java (sanitizeText); Service/InvoiceService.java (sanitizeLine)</t>
        </is>
      </c>
    </row>
    <row r="20" ht="30" customHeight="1" s="33">
      <c r="A20" s="19" t="inlineStr">
        <is>
          <t>V1.3</t>
        </is>
      </c>
      <c r="B20" s="19" t="inlineStr">
        <is>
          <t>Sanitization</t>
        </is>
      </c>
      <c r="C20" s="20" t="inlineStr">
        <is>
          <t>V1.3.4</t>
        </is>
      </c>
      <c r="D20" s="21" t="inlineStr">
        <is>
          <t>Verify that user-supplied Scalable Vector Graphics (SVG) scriptable content is validated or sanitized to contain only tags and attributes (such as draw graphics) that are safe for the application, e.g., do not contain scripts and foreignObject.</t>
        </is>
      </c>
      <c r="E20" s="17" t="n">
        <v>2</v>
      </c>
      <c r="F20" s="28" t="inlineStr">
        <is>
          <t>Not Applicable</t>
        </is>
      </c>
      <c r="G20" s="30" t="inlineStr">
        <is>
          <t>SVG files are explicitly rejected during file upload validation</t>
        </is>
      </c>
      <c r="H20" s="21" t="n"/>
    </row>
    <row r="21" ht="30" customHeight="1" s="33">
      <c r="A21" s="14" t="inlineStr">
        <is>
          <t>V1.3</t>
        </is>
      </c>
      <c r="B21" s="14" t="inlineStr">
        <is>
          <t>Sanitization</t>
        </is>
      </c>
      <c r="C21" s="15" t="inlineStr">
        <is>
          <t>V1.3.5</t>
        </is>
      </c>
      <c r="D21" s="16" t="inlineStr">
        <is>
          <t>Verify that the application sanitizes or disables user-supplied scriptable or expression template language content, such as Markdown, CSS or XSL stylesheets, BBCode, or similar.</t>
        </is>
      </c>
      <c r="E21" s="17" t="n">
        <v>2</v>
      </c>
      <c r="F21" s="28" t="inlineStr">
        <is>
          <t>Not Applicable</t>
        </is>
      </c>
      <c r="G21" s="29" t="inlineStr">
        <is>
          <t>No scriptable content (Markdown, CSS, BBCode) is processed</t>
        </is>
      </c>
      <c r="H21" s="16" t="n"/>
    </row>
    <row r="22" ht="30" customHeight="1" s="33">
      <c r="A22" s="19" t="inlineStr">
        <is>
          <t>V1.3</t>
        </is>
      </c>
      <c r="B22" s="19" t="inlineStr">
        <is>
          <t>Sanitization</t>
        </is>
      </c>
      <c r="C22" s="20" t="inlineStr">
        <is>
          <t>V1.3.6</t>
        </is>
      </c>
      <c r="D22" s="21" t="inlineStr">
        <is>
          <t>Verify that the application protects against Server-side Request Forgery (SSRF) attacks, by validating untrusted data against an allowlist of protocols, domains, paths and ports and sanitizing potentially dangerous characters before using the data to call another service.</t>
        </is>
      </c>
      <c r="E22" s="17" t="n">
        <v>2</v>
      </c>
      <c r="F22" s="28" t="inlineStr">
        <is>
          <t>Compliant</t>
        </is>
      </c>
      <c r="G22" s="30" t="inlineStr">
        <is>
          <t>Two enforcement layers: (1) Application layer — EgressAllowlistInterceptor (ClientHttpRequestInterceptor) is wired into the shared RestTemplate bean; blocks any outbound call to a host not in the allowlist (Keycloak host from ${keycloak.server-url} + api.rawg.io). Throws IOException before the connection is made. HIBP calls use Java HttpClient with the URL hardcoded as a constant in PasswordPolicyService. (2) Docker network layer — keycloak-internal network (internal: true) isolates keycloak-db from internet and from the app container; app-services bridge provides controlled connectivity between nginx, app and keycloak for JWT verification and admin API.</t>
        </is>
      </c>
      <c r="H22" s="21" t="inlineStr">
        <is>
          <t>Api/src/main/java/.../Security/EgressAllowlistInterceptor.java; Config/KeycloakAdminConfig.java (restTemplate bean — wires interceptor with allowed hosts); Api/docker-compose.yml (networks: keycloak-internal internal: true, app-services)</t>
        </is>
      </c>
    </row>
    <row r="23" ht="30" customHeight="1" s="33">
      <c r="A23" s="14" t="inlineStr">
        <is>
          <t>V1.3</t>
        </is>
      </c>
      <c r="B23" s="14" t="inlineStr">
        <is>
          <t>Sanitization</t>
        </is>
      </c>
      <c r="C23" s="15" t="inlineStr">
        <is>
          <t>V1.3.7</t>
        </is>
      </c>
      <c r="D23" s="16" t="inlineStr">
        <is>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is>
      </c>
      <c r="E23" s="17" t="n">
        <v>2</v>
      </c>
      <c r="F23" s="28" t="inlineStr">
        <is>
          <t>Not Applicable</t>
        </is>
      </c>
      <c r="G23" s="29" t="n"/>
      <c r="H23" s="16" t="n"/>
    </row>
    <row r="24" ht="30" customHeight="1" s="33">
      <c r="A24" s="19" t="inlineStr">
        <is>
          <t>V1.3</t>
        </is>
      </c>
      <c r="B24" s="19" t="inlineStr">
        <is>
          <t>Sanitization</t>
        </is>
      </c>
      <c r="C24" s="20" t="inlineStr">
        <is>
          <t>V1.3.8</t>
        </is>
      </c>
      <c r="D24" s="21" t="inlineStr">
        <is>
          <t>Verify that the application appropriately sanitizes untrusted input before use in Java Naming and Directory Interface (JNDI) queries and that JNDI is configured securely to prevent JNDI injection attacks.</t>
        </is>
      </c>
      <c r="E24" s="17" t="n">
        <v>2</v>
      </c>
      <c r="F24" s="28" t="inlineStr">
        <is>
          <t>Not Applicable</t>
        </is>
      </c>
      <c r="G24" s="30" t="inlineStr">
        <is>
          <t>No JNDI usage is present</t>
        </is>
      </c>
      <c r="H24" s="21" t="n"/>
    </row>
    <row r="25" ht="30" customHeight="1" s="33">
      <c r="A25" s="14" t="inlineStr">
        <is>
          <t>V1.3</t>
        </is>
      </c>
      <c r="B25" s="14" t="inlineStr">
        <is>
          <t>Sanitization</t>
        </is>
      </c>
      <c r="C25" s="15" t="inlineStr">
        <is>
          <t>V1.3.9</t>
        </is>
      </c>
      <c r="D25" s="16" t="inlineStr">
        <is>
          <t>Verify that the application sanitizes content before it is sent to memcache to prevent injection attacks.</t>
        </is>
      </c>
      <c r="E25" s="17" t="n">
        <v>2</v>
      </c>
      <c r="F25" s="28" t="inlineStr">
        <is>
          <t>Not Applicable</t>
        </is>
      </c>
      <c r="G25" s="29" t="inlineStr">
        <is>
          <t>No memcache usage is present</t>
        </is>
      </c>
      <c r="H25" s="16" t="n"/>
    </row>
    <row r="26" ht="30" customHeight="1" s="33">
      <c r="A26" s="19" t="inlineStr">
        <is>
          <t>V1.3</t>
        </is>
      </c>
      <c r="B26" s="19" t="inlineStr">
        <is>
          <t>Sanitization</t>
        </is>
      </c>
      <c r="C26" s="20" t="inlineStr">
        <is>
          <t>V1.3.10</t>
        </is>
      </c>
      <c r="D26" s="21" t="inlineStr">
        <is>
          <t>Verify that format strings which might resolve in an unexpected or malicious way when used are sanitized before being processed.</t>
        </is>
      </c>
      <c r="E26" s="17" t="n">
        <v>2</v>
      </c>
      <c r="F26" s="28" t="inlineStr">
        <is>
          <t>Compliant</t>
        </is>
      </c>
      <c r="G26" s="30" t="inlineStr">
        <is>
          <t>ArcadeHaven ensures that user-controlled input is never used as a format string in logging, templating, or string formatting operations. All formatting operations use fixed templates with parameterized values, preventing format-string injection risks.</t>
        </is>
      </c>
      <c r="H26" s="21" t="inlineStr">
        <is>
          <t>Api/src/main/java/…/Controller; Api/src/main/java/…/Dto</t>
        </is>
      </c>
    </row>
    <row r="27" ht="30" customHeight="1" s="33">
      <c r="A27" s="14" t="inlineStr">
        <is>
          <t>V1.3</t>
        </is>
      </c>
      <c r="B27" s="14" t="inlineStr">
        <is>
          <t>Sanitization</t>
        </is>
      </c>
      <c r="C27" s="15" t="inlineStr">
        <is>
          <t>V1.3.11</t>
        </is>
      </c>
      <c r="D27" s="16" t="inlineStr">
        <is>
          <t>Verify that the application sanitizes user input before passing to mail systems to protect against SMTP or IMAP injection.</t>
        </is>
      </c>
      <c r="E27" s="17" t="n">
        <v>2</v>
      </c>
      <c r="F27" s="28" t="inlineStr">
        <is>
          <t>Not Applicable</t>
        </is>
      </c>
      <c r="G27" s="29" t="inlineStr">
        <is>
          <t>No email functionality is implemented</t>
        </is>
      </c>
      <c r="H27" s="16" t="n"/>
    </row>
    <row r="28" ht="30" customHeight="1" s="33">
      <c r="A28" s="19" t="inlineStr">
        <is>
          <t>V1.3</t>
        </is>
      </c>
      <c r="B28" s="19" t="inlineStr">
        <is>
          <t>Sanitization</t>
        </is>
      </c>
      <c r="C28" s="20" t="inlineStr">
        <is>
          <t>V1.3.12</t>
        </is>
      </c>
      <c r="D28" s="21" t="inlineStr">
        <is>
          <t>Verify that regular expressions are free from elements causing exponential backtracking, and ensure untrusted input is sanitized to mitigate ReDoS or Runaway Regex attacks.</t>
        </is>
      </c>
      <c r="E28" s="23" t="n">
        <v>3</v>
      </c>
      <c r="F28" s="28" t="inlineStr">
        <is>
          <t>Not Applicable</t>
        </is>
      </c>
      <c r="G28" s="30" t="n"/>
      <c r="H28" s="21" t="n"/>
    </row>
    <row r="29" ht="18" customHeight="1" s="33">
      <c r="A29" s="13" t="inlineStr">
        <is>
          <t>V1.4</t>
        </is>
      </c>
      <c r="B29" s="13" t="inlineStr">
        <is>
          <t>Memory, String, and Unmanaged Code</t>
        </is>
      </c>
      <c r="C29" s="13" t="n"/>
      <c r="D29" s="13" t="n"/>
      <c r="E29" s="13" t="n"/>
      <c r="F29" s="31" t="n"/>
      <c r="G29" s="31" t="n"/>
      <c r="H29" s="13" t="n"/>
    </row>
    <row r="30" ht="30" customHeight="1" s="33">
      <c r="A30" s="14" t="inlineStr">
        <is>
          <t>V1.4</t>
        </is>
      </c>
      <c r="B30" s="14" t="inlineStr">
        <is>
          <t>Memory, String, and Unmanaged Code</t>
        </is>
      </c>
      <c r="C30" s="15" t="inlineStr">
        <is>
          <t>V1.4.1</t>
        </is>
      </c>
      <c r="D30" s="16" t="inlineStr">
        <is>
          <t>Verify that the application uses memory-safe string, safer memory copy and pointer arithmetic to detect or prevent stack, buffer, or heap overflows.</t>
        </is>
      </c>
      <c r="E30" s="17" t="n">
        <v>2</v>
      </c>
      <c r="F30" s="28" t="inlineStr">
        <is>
          <t>Not Applicable</t>
        </is>
      </c>
      <c r="G30" s="29" t="inlineStr">
        <is>
          <t>Java provides built-in memory safety so no manual memory management is used</t>
        </is>
      </c>
      <c r="H30" s="16" t="n"/>
    </row>
    <row r="31" ht="30" customHeight="1" s="33">
      <c r="A31" s="19" t="inlineStr">
        <is>
          <t>V1.4</t>
        </is>
      </c>
      <c r="B31" s="19" t="inlineStr">
        <is>
          <t>Memory, String, and Unmanaged Code</t>
        </is>
      </c>
      <c r="C31" s="20" t="inlineStr">
        <is>
          <t>V1.4.2</t>
        </is>
      </c>
      <c r="D31" s="21" t="inlineStr">
        <is>
          <t>Verify that sign, range, and input validation techniques are used to prevent integer overflows.</t>
        </is>
      </c>
      <c r="E31" s="17" t="n">
        <v>2</v>
      </c>
      <c r="F31" s="28" t="inlineStr">
        <is>
          <t>Compliant</t>
        </is>
      </c>
      <c r="G31" s="30" t="inlineStr">
        <is>
          <t>ArcadeHaven Dto classes enforce value bounds and domain classes apply range validation techniques to prevent overflow</t>
        </is>
      </c>
      <c r="H31" s="21" t="inlineStr">
        <is>
          <t>Api/src/main/java/…/Dto/Request; Api/src/main/java/.../Service/Domain/Game Api/src/main/java/.../Service/Domain/OrderItem</t>
        </is>
      </c>
    </row>
    <row r="32" ht="30" customHeight="1" s="33">
      <c r="A32" s="14" t="inlineStr">
        <is>
          <t>V1.4</t>
        </is>
      </c>
      <c r="B32" s="14" t="inlineStr">
        <is>
          <t>Memory, String, and Unmanaged Code</t>
        </is>
      </c>
      <c r="C32" s="15" t="inlineStr">
        <is>
          <t>V1.4.3</t>
        </is>
      </c>
      <c r="D32" s="16" t="inlineStr">
        <is>
          <t>Verify that dynamically allocated memory and resources are released, and that references or pointers to freed memory are removed or set to null to prevent dangling pointers and use-after-free vulnerabilities.</t>
        </is>
      </c>
      <c r="E32" s="17" t="n">
        <v>2</v>
      </c>
      <c r="F32" s="28" t="inlineStr">
        <is>
          <t>Not Applicable</t>
        </is>
      </c>
      <c r="G32" s="29" t="n"/>
      <c r="H32" s="16" t="n"/>
    </row>
    <row r="33" ht="18" customHeight="1" s="33">
      <c r="A33" s="13" t="inlineStr">
        <is>
          <t>V1.5</t>
        </is>
      </c>
      <c r="B33" s="13" t="inlineStr">
        <is>
          <t>Safe Deserialization</t>
        </is>
      </c>
      <c r="C33" s="13" t="n"/>
      <c r="D33" s="13" t="n"/>
      <c r="E33" s="13" t="n"/>
      <c r="F33" s="31" t="n"/>
      <c r="G33" s="31" t="n"/>
      <c r="H33" s="13" t="n"/>
    </row>
    <row r="34" ht="30" customHeight="1" s="33">
      <c r="A34" s="14" t="inlineStr">
        <is>
          <t>V1.5</t>
        </is>
      </c>
      <c r="B34" s="14" t="inlineStr">
        <is>
          <t>Safe Deserialization</t>
        </is>
      </c>
      <c r="C34" s="15" t="inlineStr">
        <is>
          <t>V1.5.1</t>
        </is>
      </c>
      <c r="D34" s="16" t="inlineStr">
        <is>
          <t>Verify that the application configures XML parsers to use a restrictive configuration and that unsafe features such as resolving external entities are disabled to prevent XML eXternal Entity (XXE) attacks.</t>
        </is>
      </c>
      <c r="E34" s="22" t="n">
        <v>1</v>
      </c>
      <c r="F34" s="28" t="inlineStr">
        <is>
          <t>Not Applicable</t>
        </is>
      </c>
      <c r="G34" s="29" t="n"/>
      <c r="H34" s="16" t="n"/>
    </row>
    <row r="35" ht="30" customHeight="1" s="33">
      <c r="A35" s="19" t="inlineStr">
        <is>
          <t>V1.5</t>
        </is>
      </c>
      <c r="B35" s="19" t="inlineStr">
        <is>
          <t>Safe Deserialization</t>
        </is>
      </c>
      <c r="C35" s="20" t="inlineStr">
        <is>
          <t>V1.5.2</t>
        </is>
      </c>
      <c r="D35" s="21" t="inlineStr">
        <is>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is>
      </c>
      <c r="E35" s="17" t="n">
        <v>2</v>
      </c>
      <c r="F35" s="28" t="inlineStr">
        <is>
          <t>Compliant</t>
        </is>
      </c>
      <c r="G35" s="30" t="inlineStr">
        <is>
          <t>spring.jackson.deserialization.fail-on-unknown-properties=true added to application.properties. KeycloakAdminConfig and all @Configuration beans confirmed to have no enableDefaultTyping() call. No DTO uses @JsonTypeInfo with As.PROPERTY without an allowlist.</t>
        </is>
      </c>
      <c r="H35" s="21" t="inlineStr">
        <is>
          <t>Api/src/main/resources/application.properties; Api/src/main/java/isep/desosfs/arcadehaven/Config/KeycloakAdminConfig.java</t>
        </is>
      </c>
    </row>
    <row r="36" ht="30" customHeight="1" s="33">
      <c r="A36" s="14" t="inlineStr">
        <is>
          <t>V1.5</t>
        </is>
      </c>
      <c r="B36" s="14" t="inlineStr">
        <is>
          <t>Safe Deserialization</t>
        </is>
      </c>
      <c r="C36" s="15" t="inlineStr">
        <is>
          <t>V1.5.3</t>
        </is>
      </c>
      <c r="D36" s="16" t="inlineStr">
        <is>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is>
      </c>
      <c r="E36" s="23" t="n">
        <v>3</v>
      </c>
      <c r="F36" s="28" t="inlineStr">
        <is>
          <t>Not Applicable</t>
        </is>
      </c>
      <c r="G36" s="29" t="n"/>
      <c r="H36" s="16" t="n"/>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3.xml><?xml version="1.0" encoding="utf-8"?>
<worksheet xmlns="http://schemas.openxmlformats.org/spreadsheetml/2006/main">
  <sheetPr>
    <outlinePr summaryBelow="1" summaryRight="1"/>
    <pageSetUpPr/>
  </sheetPr>
  <dimension ref="A1:H18"/>
  <sheetViews>
    <sheetView zoomScale="75" zoomScaleNormal="75" workbookViewId="0">
      <pane ySplit="1" topLeftCell="A8" activePane="bottomLeft" state="frozen"/>
      <selection pane="bottomLeft" activeCell="G17" sqref="G17:H17"/>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75.7109375" bestFit="1"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V2.1</t>
        </is>
      </c>
      <c r="B2" s="13" t="inlineStr">
        <is>
          <t>Validation and Business Logic Documentation</t>
        </is>
      </c>
      <c r="C2" s="13" t="n"/>
      <c r="D2" s="13" t="n"/>
      <c r="E2" s="13" t="n"/>
      <c r="F2" s="13" t="n"/>
      <c r="G2" s="13" t="n"/>
      <c r="H2" s="13" t="n"/>
    </row>
    <row r="3" ht="75" customHeight="1" s="33">
      <c r="A3" s="14" t="inlineStr">
        <is>
          <t>V2.1</t>
        </is>
      </c>
      <c r="B3" s="14" t="inlineStr">
        <is>
          <t>Validation and Business Logic Documentation</t>
        </is>
      </c>
      <c r="C3" s="15" t="inlineStr">
        <is>
          <t>V2.1.1</t>
        </is>
      </c>
      <c r="D3" s="16" t="inlineStr">
        <is>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is>
      </c>
      <c r="E3" s="22" t="n">
        <v>1</v>
      </c>
      <c r="F3" s="28" t="inlineStr">
        <is>
          <t>Compliant</t>
        </is>
      </c>
      <c r="G3" s="29" t="inlineStr">
        <is>
          <t>Input validation rules is formally documented for in requirements folder.</t>
        </is>
      </c>
      <c r="H3" s="16" t="inlineStr">
        <is>
          <t>Documentation/Requirements/bussinessLogicValidations.md</t>
        </is>
      </c>
    </row>
    <row r="4" ht="45" customHeight="1" s="33">
      <c r="A4" s="19" t="inlineStr">
        <is>
          <t>V2.1</t>
        </is>
      </c>
      <c r="B4" s="19" t="inlineStr">
        <is>
          <t>Validation and Business Logic Documentation</t>
        </is>
      </c>
      <c r="C4" s="20" t="inlineStr">
        <is>
          <t>V2.1.2</t>
        </is>
      </c>
      <c r="D4" s="21" t="inlineStr">
        <is>
          <t>Verify that the application's documentation defines how to validate the logical and contextual consistency of combined data items, such as checking that suburb and ZIP code match.</t>
        </is>
      </c>
      <c r="E4" s="17" t="n">
        <v>2</v>
      </c>
      <c r="F4" s="28" t="inlineStr">
        <is>
          <t>Compliant</t>
        </is>
      </c>
      <c r="G4" s="30" t="inlineStr">
        <is>
          <t>Logical and consistency of combined data items are formally documented in requirements folder.</t>
        </is>
      </c>
      <c r="H4" s="21" t="inlineStr">
        <is>
          <t>Api/src/main/.../Domain/Order.java; Domain/Library.java; Service/OrderService.java (domain-level business rule enforcement)</t>
        </is>
      </c>
    </row>
    <row r="5" ht="45" customHeight="1" s="33">
      <c r="A5" s="14" t="inlineStr">
        <is>
          <t>V2.1</t>
        </is>
      </c>
      <c r="B5" s="14" t="inlineStr">
        <is>
          <t>Validation and Business Logic Documentation</t>
        </is>
      </c>
      <c r="C5" s="15" t="inlineStr">
        <is>
          <t>V2.1.3</t>
        </is>
      </c>
      <c r="D5" s="16" t="inlineStr">
        <is>
          <t>Verify that expectations for business logic limits and validations are documented, including both per-user and globally across the application.</t>
        </is>
      </c>
      <c r="E5" s="17" t="n">
        <v>2</v>
      </c>
      <c r="F5" s="28" t="inlineStr">
        <is>
          <t>Compliant</t>
        </is>
      </c>
      <c r="G5" s="29" t="inlineStr">
        <is>
          <t>Business logic limits and validations are formally documented in requirements folder.</t>
        </is>
      </c>
      <c r="H5" s="16" t="inlineStr">
        <is>
          <t>Documentation/Requirements/bussinessLogicValidations.md</t>
        </is>
      </c>
    </row>
    <row r="6" ht="18" customHeight="1" s="33">
      <c r="A6" s="13" t="inlineStr">
        <is>
          <t>V2.2</t>
        </is>
      </c>
      <c r="B6" s="13" t="inlineStr">
        <is>
          <t>Input Validation</t>
        </is>
      </c>
      <c r="C6" s="13" t="n"/>
      <c r="D6" s="13" t="n"/>
      <c r="E6" s="13" t="n"/>
      <c r="F6" s="31" t="n"/>
      <c r="G6" s="31" t="n"/>
      <c r="H6" s="13" t="n"/>
    </row>
    <row r="7" ht="30" customHeight="1" s="33">
      <c r="A7" s="14" t="inlineStr">
        <is>
          <t>V2.2</t>
        </is>
      </c>
      <c r="B7" s="14" t="inlineStr">
        <is>
          <t>Input Validation</t>
        </is>
      </c>
      <c r="C7" s="15" t="inlineStr">
        <is>
          <t>V2.2.1</t>
        </is>
      </c>
      <c r="D7" s="16" t="inlineStr">
        <is>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is>
      </c>
      <c r="E7" s="22" t="n">
        <v>1</v>
      </c>
      <c r="F7" s="28" t="inlineStr">
        <is>
          <t>Compliant</t>
        </is>
      </c>
      <c r="G7" s="29" t="inlineStr">
        <is>
          <t>Business rules are enforced at Domain and Dto layers.</t>
        </is>
      </c>
      <c r="H7" s="16" t="inlineStr">
        <is>
          <t>Api/src/main/java/…/Dto/Request; Api/src/main/java/…/Domain;</t>
        </is>
      </c>
    </row>
    <row r="8" ht="60" customHeight="1" s="33">
      <c r="A8" s="19" t="inlineStr">
        <is>
          <t>V2.2</t>
        </is>
      </c>
      <c r="B8" s="19" t="inlineStr">
        <is>
          <t>Input Validation</t>
        </is>
      </c>
      <c r="C8" s="20" t="inlineStr">
        <is>
          <t>V2.2.2</t>
        </is>
      </c>
      <c r="D8" s="21" t="inlineStr">
        <is>
          <t>Verify that the application is designed to enforce input validation at a trusted service layer. While client-side validation improves usability and should be encouraged, it must not be relied upon as a security control.</t>
        </is>
      </c>
      <c r="E8" s="22" t="n">
        <v>1</v>
      </c>
      <c r="F8" s="28" t="inlineStr">
        <is>
          <t>Compliant</t>
        </is>
      </c>
      <c r="G8" s="30" t="inlineStr">
        <is>
          <t>Input validation is performed at the application boundary using controller-level DTOs with Bean Validation constraints. Additionally, business rules are enforced in the service and domain layers.</t>
        </is>
      </c>
      <c r="H8" s="21" t="inlineStr">
        <is>
          <t>Api/src/main/java/…/Controller; Api/src/main/java/Dto/Request; Api/src/main/java/…/Domain</t>
        </is>
      </c>
    </row>
    <row r="9" ht="30" customHeight="1" s="33">
      <c r="A9" s="14" t="inlineStr">
        <is>
          <t>V2.2</t>
        </is>
      </c>
      <c r="B9" s="14" t="inlineStr">
        <is>
          <t>Input Validation</t>
        </is>
      </c>
      <c r="C9" s="15" t="inlineStr">
        <is>
          <t>V2.2.3</t>
        </is>
      </c>
      <c r="D9" s="16" t="inlineStr">
        <is>
          <t>Verify that the application ensures that combinations of related data items are reasonable according to the pre-defined rules.</t>
        </is>
      </c>
      <c r="E9" s="17" t="n">
        <v>2</v>
      </c>
      <c r="F9" s="28" t="inlineStr">
        <is>
          <t>Compliant</t>
        </is>
      </c>
      <c r="G9" s="29" t="inlineStr">
        <is>
          <t>Logical and consistency of combined data items are enforced at Domain layer.</t>
        </is>
      </c>
      <c r="H9" s="16" t="n"/>
    </row>
    <row r="10" ht="18" customHeight="1" s="33">
      <c r="A10" s="13" t="inlineStr">
        <is>
          <t>V2.3</t>
        </is>
      </c>
      <c r="B10" s="13" t="inlineStr">
        <is>
          <t>Business Logic Security</t>
        </is>
      </c>
      <c r="C10" s="13" t="n"/>
      <c r="D10" s="13" t="n"/>
      <c r="E10" s="13" t="n"/>
      <c r="F10" s="31" t="n"/>
      <c r="G10" s="31" t="n"/>
      <c r="H10" s="13" t="n"/>
    </row>
    <row r="11" ht="75" customHeight="1" s="33">
      <c r="A11" s="14" t="inlineStr">
        <is>
          <t>V2.3</t>
        </is>
      </c>
      <c r="B11" s="14" t="inlineStr">
        <is>
          <t>Business Logic Security</t>
        </is>
      </c>
      <c r="C11" s="15" t="inlineStr">
        <is>
          <t>V2.3.1</t>
        </is>
      </c>
      <c r="D11" s="16" t="inlineStr">
        <is>
          <t>Verify that the application will only process business logic flows for the same user in the expected sequential step order and without skipping steps.</t>
        </is>
      </c>
      <c r="E11" s="22" t="n">
        <v>1</v>
      </c>
      <c r="F11" s="28" t="inlineStr">
        <is>
          <t>Compliant</t>
        </is>
      </c>
      <c r="G11" s="29" t="inlineStr">
        <is>
          <t>The Order uses a state machine (OrderStatus: PENDING → COMPLETED), and the Order.complete() method validates that the status is PENDING before transitioning. The LibraryEntry is only created after the Order is COMPLETED. The game follows the PENDING → APPROVED/REJECTED flow with validation in the AdminService. The tracker must be updated.</t>
        </is>
      </c>
      <c r="H11" s="16" t="inlineStr">
        <is>
          <t>Api/src/main/java/…/Domain/Order.java</t>
        </is>
      </c>
    </row>
    <row r="12" ht="30" customHeight="1" s="33">
      <c r="A12" s="19" t="inlineStr">
        <is>
          <t>V2.3</t>
        </is>
      </c>
      <c r="B12" s="19" t="inlineStr">
        <is>
          <t>Business Logic Security</t>
        </is>
      </c>
      <c r="C12" s="20" t="inlineStr">
        <is>
          <t>V2.3.2</t>
        </is>
      </c>
      <c r="D12" s="21" t="inlineStr">
        <is>
          <t>Verify that business logic limits are implemented per the application's documentation to avoid business logic flaws being exploited.</t>
        </is>
      </c>
      <c r="E12" s="17" t="n">
        <v>2</v>
      </c>
      <c r="F12" s="28" t="inlineStr">
        <is>
          <t>Compliant</t>
        </is>
      </c>
      <c r="G12" s="29" t="inlineStr">
        <is>
          <t>The Order uses a state machine (OrderStatus: PENDING → COMPLETED), and the Order.complete() method validates that the status is PENDING before transitioning. The LibraryEntry is only created after the Order is COMPLETED. The game follows the PENDING → APPROVED/REJECTED flow with validation in the AdminService. The tracker must be updated.</t>
        </is>
      </c>
      <c r="H12" s="21" t="inlineStr">
        <is>
          <t>Api/src/main/java/…/Domain/Library.java; Api/src/main/java/…/Domain/Order.java</t>
        </is>
      </c>
    </row>
    <row r="13" ht="30" customHeight="1" s="33">
      <c r="A13" s="14" t="inlineStr">
        <is>
          <t>V2.3</t>
        </is>
      </c>
      <c r="B13" s="14" t="inlineStr">
        <is>
          <t>Business Logic Security</t>
        </is>
      </c>
      <c r="C13" s="15" t="inlineStr">
        <is>
          <t>V2.3.3</t>
        </is>
      </c>
      <c r="D13" s="16" t="inlineStr">
        <is>
          <t>Verify that transactions are being used at the business logic level such that either a business logic operation succeeds in its entirety or it is rolled back to the previous correct state.</t>
        </is>
      </c>
      <c r="E13" s="17" t="n">
        <v>2</v>
      </c>
      <c r="F13" s="28" t="inlineStr">
        <is>
          <t>Compliant</t>
        </is>
      </c>
      <c r="G13" s="30" t="inlineStr">
        <is>
          <t>Business logic limits and validations are enforced at Domain layer.</t>
        </is>
      </c>
      <c r="H13" s="16" t="inlineStr">
        <is>
          <t>Api/src/main/java/…/Service;</t>
        </is>
      </c>
    </row>
    <row r="14" ht="30" customHeight="1" s="33">
      <c r="A14" s="19" t="inlineStr">
        <is>
          <t>V2.3</t>
        </is>
      </c>
      <c r="B14" s="19" t="inlineStr">
        <is>
          <t>Business Logic Security</t>
        </is>
      </c>
      <c r="C14" s="20" t="inlineStr">
        <is>
          <t>V2.3.4</t>
        </is>
      </c>
      <c r="D14" s="21" t="inlineStr">
        <is>
          <t>Verify that business logic level locking mechanisms are used to ensure that limited quantity resources (such as theater seats or delivery slots) cannot be double-booked by manipulating the application's logic.</t>
        </is>
      </c>
      <c r="E14" s="17" t="n">
        <v>2</v>
      </c>
      <c r="F14" s="28" t="inlineStr">
        <is>
          <t>Not Started</t>
        </is>
      </c>
      <c r="G14" s="29" t="inlineStr">
        <is>
          <t>Business logic operations are implemented at Service layer with SpringBoot @Transactional metods to ensure atomicity of operations. Each operation either completes fully or is rolled back to previous state.</t>
        </is>
      </c>
      <c r="H14" s="21" t="n"/>
    </row>
    <row r="15" ht="75" customHeight="1" s="33">
      <c r="A15" s="14" t="inlineStr">
        <is>
          <t>V2.3</t>
        </is>
      </c>
      <c r="B15" s="14" t="inlineStr">
        <is>
          <t>Business Logic Security</t>
        </is>
      </c>
      <c r="C15" s="15" t="inlineStr">
        <is>
          <t>V2.3.5</t>
        </is>
      </c>
      <c r="D15" s="16" t="inlineStr">
        <is>
          <t>Verify that high-value business logic flows require multi-user approval to prevent unauthorized or accidental actions. This could include but is not limited to large monetary transfers, contract approvals, access to classified information, or safety overrides in manufacturing.</t>
        </is>
      </c>
      <c r="E15" s="23" t="n">
        <v>3</v>
      </c>
      <c r="F15" s="28" t="inlineStr">
        <is>
          <t>Not Applicable</t>
        </is>
      </c>
      <c r="G15" s="29" t="inlineStr">
        <is>
          <t>The system does not include high-risk operations requiring multiple user approval</t>
        </is>
      </c>
      <c r="H15" s="16" t="n"/>
    </row>
    <row r="16" ht="18" customHeight="1" s="33">
      <c r="A16" s="13" t="inlineStr">
        <is>
          <t>V2.4</t>
        </is>
      </c>
      <c r="B16" s="13" t="inlineStr">
        <is>
          <t>Anti-automation</t>
        </is>
      </c>
      <c r="C16" s="13" t="n"/>
      <c r="D16" s="13" t="n"/>
      <c r="E16" s="13" t="n"/>
      <c r="F16" s="31" t="n"/>
      <c r="G16" s="31" t="n"/>
      <c r="H16" s="13" t="n"/>
    </row>
    <row r="17" ht="30" customHeight="1" s="33">
      <c r="A17" s="14" t="inlineStr">
        <is>
          <t>V2.4</t>
        </is>
      </c>
      <c r="B17" s="14" t="inlineStr">
        <is>
          <t>Anti-automation</t>
        </is>
      </c>
      <c r="C17" s="15" t="inlineStr">
        <is>
          <t>V2.4.1</t>
        </is>
      </c>
      <c r="D17" s="16" t="inlineStr">
        <is>
          <t>Verify that anti-automation controls are in place to protect against excessive calls to application functions that could lead to data exfiltration, garbage-data creation, quota exhaustion, rate-limit breaches, denial-of-service, or overuse of costly resources.</t>
        </is>
      </c>
      <c r="E17" s="17" t="n">
        <v>2</v>
      </c>
      <c r="F17" s="28" t="inlineStr">
        <is>
          <t>Compliant</t>
        </is>
      </c>
      <c r="G17" s="29" t="inlineStr">
        <is>
          <t>Anti-automation controls are enforced via a Bucket4j-based IP rate limiter applied to endpoints, preventing excessive automated requests, brute-force attacks, data scraping, and resource exhaustion</t>
        </is>
      </c>
      <c r="H17" s="16" t="inlineStr">
        <is>
          <t>Api/src/main/java/…/Security/RateLimitFilter.java</t>
        </is>
      </c>
    </row>
    <row r="18" ht="30" customHeight="1" s="33">
      <c r="A18" s="19" t="inlineStr">
        <is>
          <t>V2.4</t>
        </is>
      </c>
      <c r="B18" s="19" t="inlineStr">
        <is>
          <t>Anti-automation</t>
        </is>
      </c>
      <c r="C18" s="20" t="inlineStr">
        <is>
          <t>V2.4.2</t>
        </is>
      </c>
      <c r="D18" s="21" t="inlineStr">
        <is>
          <t>Verify that business logic flows require realistic human timing, preventing excessively rapid transaction submissions.</t>
        </is>
      </c>
      <c r="E18" s="23" t="n">
        <v>3</v>
      </c>
      <c r="F18" s="28" t="inlineStr">
        <is>
          <t>Not Applicable</t>
        </is>
      </c>
      <c r="G18" s="30" t="n"/>
      <c r="H18" s="21" t="n"/>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4.xml><?xml version="1.0" encoding="utf-8"?>
<worksheet xmlns="http://schemas.openxmlformats.org/spreadsheetml/2006/main">
  <sheetPr>
    <outlinePr summaryBelow="1" summaryRight="1"/>
    <pageSetUpPr/>
  </sheetPr>
  <dimension ref="A1:H39"/>
  <sheetViews>
    <sheetView zoomScale="85" zoomScaleNormal="85" workbookViewId="0">
      <pane ySplit="1" topLeftCell="A44" activePane="bottomLeft" state="frozen"/>
      <selection pane="bottomLeft" activeCell="G15" sqref="G15"/>
    </sheetView>
  </sheetViews>
  <sheetFormatPr baseColWidth="8" defaultColWidth="8.5703125" defaultRowHeight="15"/>
  <cols>
    <col width="12" customWidth="1" style="33" min="1" max="1"/>
    <col width="33" bestFit="1" customWidth="1" style="33" min="2" max="2"/>
    <col width="12" customWidth="1" style="33" min="3" max="3"/>
    <col width="60" customWidth="1" style="33" min="4" max="4"/>
    <col width="8" customWidth="1" style="33" min="5" max="5"/>
    <col width="16" customWidth="1" style="33" min="6" max="6"/>
    <col width="115.7109375" bestFit="1" customWidth="1" style="33" min="7" max="7"/>
    <col width="35" customWidth="1" style="33" min="8" max="8"/>
  </cols>
  <sheetData>
    <row r="1" ht="39.75" customHeight="1" s="33">
      <c r="A1" s="12" t="inlineStr">
        <is>
          <t>c</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V3.1</t>
        </is>
      </c>
      <c r="B2" s="13" t="inlineStr">
        <is>
          <t>Web Frontend Security Documentation</t>
        </is>
      </c>
      <c r="C2" s="13" t="n"/>
      <c r="D2" s="13" t="n"/>
      <c r="E2" s="13" t="n"/>
      <c r="F2" s="13" t="n"/>
      <c r="G2" s="13" t="n"/>
      <c r="H2" s="13" t="n"/>
    </row>
    <row r="3" ht="85.15000000000001" customHeight="1" s="33">
      <c r="A3" s="14" t="inlineStr">
        <is>
          <t>V3.1</t>
        </is>
      </c>
      <c r="B3" s="14" t="inlineStr">
        <is>
          <t>Web Frontend Security Documentation</t>
        </is>
      </c>
      <c r="C3" s="15" t="inlineStr">
        <is>
          <t>V3.1.1</t>
        </is>
      </c>
      <c r="D3" s="16" t="inlineStr">
        <is>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is>
      </c>
      <c r="E3" s="23" t="n">
        <v>3</v>
      </c>
      <c r="F3" s="18" t="inlineStr">
        <is>
          <t>Not Applicable</t>
        </is>
      </c>
      <c r="G3" s="24" t="inlineStr">
        <is>
          <t>REST API with no browser-facing front-end. No browser security features need to be documented.</t>
        </is>
      </c>
      <c r="H3" s="16" t="n"/>
    </row>
    <row r="4">
      <c r="A4" s="13" t="inlineStr">
        <is>
          <t>V3.2</t>
        </is>
      </c>
      <c r="B4" s="13" t="inlineStr">
        <is>
          <t>Unintended Content Interpretation</t>
        </is>
      </c>
      <c r="C4" s="13" t="n"/>
      <c r="D4" s="13" t="n"/>
      <c r="E4" s="13" t="n"/>
      <c r="F4" s="13" t="n"/>
      <c r="G4" s="13" t="n"/>
      <c r="H4" s="13" t="n"/>
    </row>
    <row r="5" ht="127.9" customHeight="1" s="33">
      <c r="A5" s="14" t="inlineStr">
        <is>
          <t>V3.2</t>
        </is>
      </c>
      <c r="B5" s="14" t="inlineStr">
        <is>
          <t>Unintended Content Interpretation</t>
        </is>
      </c>
      <c r="C5" s="15" t="inlineStr">
        <is>
          <t>V3.2.1</t>
        </is>
      </c>
      <c r="D5" s="16" t="inlineStr">
        <is>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is>
      </c>
      <c r="E5" s="22" t="n">
        <v>1</v>
      </c>
      <c r="F5" s="18" t="inlineStr">
        <is>
          <t>Not Applicable</t>
        </is>
      </c>
      <c r="G5" s="25" t="n"/>
      <c r="H5" s="16" t="n"/>
    </row>
    <row r="6" ht="85.15000000000001" customHeight="1" s="33">
      <c r="A6" s="19" t="inlineStr">
        <is>
          <t>V3.2</t>
        </is>
      </c>
      <c r="B6" s="19" t="inlineStr">
        <is>
          <t>Unintended Content Interpretation</t>
        </is>
      </c>
      <c r="C6" s="20" t="inlineStr">
        <is>
          <t>V3.2.2</t>
        </is>
      </c>
      <c r="D6" s="21" t="inlineStr">
        <is>
          <t>Verify that content intended to be displayed as text, rather than rendered as HTML, is handled using safe rendering functions (such as createTextNode or textContent) to prevent unintended execution of content such as HTML or JavaScript.</t>
        </is>
      </c>
      <c r="E6" s="22" t="n">
        <v>1</v>
      </c>
      <c r="F6" s="18" t="inlineStr">
        <is>
          <t>Not Applicable</t>
        </is>
      </c>
      <c r="G6" t="inlineStr">
        <is>
          <t>No HTML rendering occurs in the API. All responses are JSON or binary file content.</t>
        </is>
      </c>
      <c r="H6" s="21" t="n"/>
    </row>
    <row r="7" ht="85.15000000000001" customHeight="1" s="33">
      <c r="A7" s="14" t="inlineStr">
        <is>
          <t>V3.2</t>
        </is>
      </c>
      <c r="B7" s="14" t="inlineStr">
        <is>
          <t>Unintended Content Interpretation</t>
        </is>
      </c>
      <c r="C7" s="15" t="inlineStr">
        <is>
          <t>V3.2.3</t>
        </is>
      </c>
      <c r="D7" s="16" t="inlineStr">
        <is>
          <t>Verify that the application avoids DOM clobbering when using client-side JavaScript by employing explicit variable declarations, performing strict type checking, avoiding storing global variables on the document object, and implementing namespace isolation.</t>
        </is>
      </c>
      <c r="E7" s="23" t="n">
        <v>3</v>
      </c>
      <c r="F7" s="18" t="inlineStr">
        <is>
          <t>Not Applicable</t>
        </is>
      </c>
      <c r="G7" t="inlineStr">
        <is>
          <t>No client-side JavaScript is used. ArcadeHaven is a back-end REST API only.</t>
        </is>
      </c>
      <c r="H7" s="16" t="n"/>
    </row>
    <row r="8">
      <c r="A8" s="13" t="inlineStr">
        <is>
          <t>V3.3</t>
        </is>
      </c>
      <c r="B8" s="13" t="inlineStr">
        <is>
          <t>Cookie Setup</t>
        </is>
      </c>
      <c r="C8" s="13" t="n"/>
      <c r="D8" s="13" t="n"/>
      <c r="E8" s="13" t="n"/>
      <c r="F8" s="13" t="n"/>
      <c r="G8" s="13" t="n"/>
      <c r="H8" s="13" t="n"/>
    </row>
    <row r="9" ht="72" customHeight="1" s="33">
      <c r="A9" s="14" t="inlineStr">
        <is>
          <t>V3.3</t>
        </is>
      </c>
      <c r="B9" s="14" t="inlineStr">
        <is>
          <t>Cookie Setup</t>
        </is>
      </c>
      <c r="C9" s="15" t="inlineStr">
        <is>
          <t>V3.3.1</t>
        </is>
      </c>
      <c r="D9" s="16" t="inlineStr">
        <is>
          <t>Verify that cookies have the 'Secure' attribute set, and if the '\__Host-' prefix is not used for the cookie name, the '__Secure-' prefix must be used for the cookie name.</t>
        </is>
      </c>
      <c r="E9" s="22" t="n">
        <v>1</v>
      </c>
      <c r="F9" s="18" t="inlineStr">
        <is>
          <t>Not Applicable</t>
        </is>
      </c>
      <c r="G9" s="25" t="inlineStr">
        <is>
          <t>Uses JWT tokens in the Authorization header, not cookies.</t>
        </is>
      </c>
      <c r="H9" s="16" t="n"/>
    </row>
    <row r="10" ht="72" customHeight="1" s="33">
      <c r="A10" s="19" t="inlineStr">
        <is>
          <t>V3.3</t>
        </is>
      </c>
      <c r="B10" s="19" t="inlineStr">
        <is>
          <t>Cookie Setup</t>
        </is>
      </c>
      <c r="C10" s="20" t="inlineStr">
        <is>
          <t>V3.3.2</t>
        </is>
      </c>
      <c r="D10" s="21" t="inlineStr">
        <is>
          <t>Verify that each cookie's 'SameSite' attribute value is set according to the purpose of the cookie, to limit exposure to user interface redress attacks and browser-based request forgery attacks, commonly known as cross-site request forgery (CSRF).</t>
        </is>
      </c>
      <c r="E10" s="17" t="n">
        <v>2</v>
      </c>
      <c r="F10" s="18" t="inlineStr">
        <is>
          <t>Not Applicable</t>
        </is>
      </c>
      <c r="G10" t="inlineStr">
        <is>
          <t>No cookies are used. Authentication is handled via JWT Bearer tokens.</t>
        </is>
      </c>
      <c r="H10" s="21" t="n"/>
    </row>
    <row r="11" ht="72" customHeight="1" s="33">
      <c r="A11" s="14" t="inlineStr">
        <is>
          <t>V3.3</t>
        </is>
      </c>
      <c r="B11" s="14" t="inlineStr">
        <is>
          <t>Cookie Setup</t>
        </is>
      </c>
      <c r="C11" s="15" t="inlineStr">
        <is>
          <t>V3.3.3</t>
        </is>
      </c>
      <c r="D11" s="16" t="inlineStr">
        <is>
          <t>Verify that cookies have the '__Host-' prefix for the cookie name unless they are explicitly designed to be shared with other hosts.</t>
        </is>
      </c>
      <c r="E11" s="17" t="n">
        <v>2</v>
      </c>
      <c r="F11" s="18" t="inlineStr">
        <is>
          <t>Not Applicable</t>
        </is>
      </c>
      <c r="G11" t="inlineStr">
        <is>
          <t>No cookies are used. Authentication is handled via JWT Bearer tokens.</t>
        </is>
      </c>
      <c r="H11" s="16" t="n"/>
    </row>
    <row r="12" ht="72" customHeight="1" s="33">
      <c r="A12" s="19" t="inlineStr">
        <is>
          <t>V3.3</t>
        </is>
      </c>
      <c r="B12" s="19" t="inlineStr">
        <is>
          <t>Cookie Setup</t>
        </is>
      </c>
      <c r="C12" s="20" t="inlineStr">
        <is>
          <t>V3.3.4</t>
        </is>
      </c>
      <c r="D12" s="21" t="inlineStr">
        <is>
          <t>Verify that if the value of a cookie is not meant to be accessible to client-side scripts (such as a session token), the cookie must have the 'HttpOnly' attribute set and the same value (e. g. session token) must only be transferred to the client via the 'Set-Cookie' header field.</t>
        </is>
      </c>
      <c r="E12" s="17" t="n">
        <v>2</v>
      </c>
      <c r="F12" s="18" t="inlineStr">
        <is>
          <t>Not Applicable</t>
        </is>
      </c>
      <c r="G12" s="26" t="inlineStr">
        <is>
          <t>No session cookies are used. JWTs are transmitted via the Authorization header only.</t>
        </is>
      </c>
      <c r="H12" s="21" t="n"/>
    </row>
    <row r="13" ht="72" customHeight="1" s="33">
      <c r="A13" s="14" t="inlineStr">
        <is>
          <t>V3.3</t>
        </is>
      </c>
      <c r="B13" s="14" t="inlineStr">
        <is>
          <t>Cookie Setup</t>
        </is>
      </c>
      <c r="C13" s="15" t="inlineStr">
        <is>
          <t>V3.3.5</t>
        </is>
      </c>
      <c r="D13" s="16" t="inlineStr">
        <is>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is>
      </c>
      <c r="E13" s="23" t="n">
        <v>3</v>
      </c>
      <c r="F13" s="18" t="inlineStr">
        <is>
          <t>Not Applicable</t>
        </is>
      </c>
      <c r="G13" t="inlineStr">
        <is>
          <t>No cookies are used.</t>
        </is>
      </c>
      <c r="H13" s="16" t="n"/>
    </row>
    <row r="14">
      <c r="A14" s="13" t="inlineStr">
        <is>
          <t>V3.4</t>
        </is>
      </c>
      <c r="B14" s="13" t="inlineStr">
        <is>
          <t>Browser Security Mechanism Headers</t>
        </is>
      </c>
      <c r="C14" s="13" t="n"/>
      <c r="D14" s="13" t="n"/>
      <c r="E14" s="13" t="n"/>
      <c r="F14" s="13" t="n"/>
      <c r="G14" s="13" t="n"/>
      <c r="H14" s="13" t="n"/>
    </row>
    <row r="15" ht="72" customHeight="1" s="33">
      <c r="A15" s="14" t="inlineStr">
        <is>
          <t>V3.4</t>
        </is>
      </c>
      <c r="B15" s="14" t="inlineStr">
        <is>
          <t>Browser Security Mechanism Headers</t>
        </is>
      </c>
      <c r="C15" s="15" t="inlineStr">
        <is>
          <t>V3.4.1</t>
        </is>
      </c>
      <c r="D15" s="16" t="inlineStr">
        <is>
          <t>Verify that a Strict-Transport-Security header field is included on all responses to enforce an HTTP Strict Transport Security (HSTS) policy. A maximum age of at least 1 year must be defined, and for L2 and up, the policy must apply to all subdomains as well.</t>
        </is>
      </c>
      <c r="E15" s="22" t="n">
        <v>1</v>
      </c>
      <c r="F15" s="18" t="inlineStr">
        <is>
          <t>In Progress</t>
        </is>
      </c>
      <c r="G15" s="25" t="inlineStr">
        <is>
          <t>HSTS header (`Strict-Transport-Security: max-age=31536000; includeSubDomains`) will be enforced on all API responses via Spring Security</t>
        </is>
      </c>
      <c r="H15" s="16" t="inlineStr">
        <is>
          <t>Api/src/main/.../Security/SecurityConfig.java (hsts maxAge=31536000, includeSubDomains=true)</t>
        </is>
      </c>
    </row>
    <row r="16" ht="104.25" customHeight="1" s="33">
      <c r="A16" s="19" t="inlineStr">
        <is>
          <t>V3.4</t>
        </is>
      </c>
      <c r="B16" s="19" t="inlineStr">
        <is>
          <t>Browser Security Mechanism Headers</t>
        </is>
      </c>
      <c r="C16" s="20" t="inlineStr">
        <is>
          <t>V3.4.2</t>
        </is>
      </c>
      <c r="D16" s="21" t="inlineStr">
        <is>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is>
      </c>
      <c r="E16" s="22" t="n">
        <v>1</v>
      </c>
      <c r="F16" s="18" t="inlineStr">
        <is>
          <t>In Progress</t>
        </is>
      </c>
      <c r="G16" s="26" t="inlineStr">
        <is>
          <t>CORS will be configured with a strict allowlist of trusted origins. `Access-Control-Allow-Origin: *` will not be used on authenticated endpoints.</t>
        </is>
      </c>
      <c r="H16" s="21" t="inlineStr">
        <is>
          <t>Api/src/main/.../Security/SecurityConfig.java (corsConfigurationSource, explicit allowlist); application.properties (security.cors.allowed-origins)</t>
        </is>
      </c>
    </row>
    <row r="17" ht="138" customHeight="1" s="33">
      <c r="A17" s="14" t="inlineStr">
        <is>
          <t>V3.4</t>
        </is>
      </c>
      <c r="B17" s="14" t="inlineStr">
        <is>
          <t>Browser Security Mechanism Headers</t>
        </is>
      </c>
      <c r="C17" s="15" t="inlineStr">
        <is>
          <t>V3.4.3</t>
        </is>
      </c>
      <c r="D17" s="16" t="inlineStr">
        <is>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is>
      </c>
      <c r="E17" s="17" t="n">
        <v>2</v>
      </c>
      <c r="F17" s="18" t="inlineStr">
        <is>
          <t>Not Applicable</t>
        </is>
      </c>
      <c r="G17" s="25" t="inlineStr">
        <is>
          <t xml:space="preserve">CSP not applicable to JSON REST API without HTML responses.   </t>
        </is>
      </c>
      <c r="H17" s="16" t="n"/>
    </row>
    <row r="18" ht="78" customHeight="1" s="33">
      <c r="A18" s="19" t="inlineStr">
        <is>
          <t>V3.4</t>
        </is>
      </c>
      <c r="B18" s="19" t="inlineStr">
        <is>
          <t>Browser Security Mechanism Headers</t>
        </is>
      </c>
      <c r="C18" s="20" t="inlineStr">
        <is>
          <t>V3.4.4</t>
        </is>
      </c>
      <c r="D18" s="21" t="inlineStr">
        <is>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is>
      </c>
      <c r="E18" s="17" t="n">
        <v>2</v>
      </c>
      <c r="F18" s="18" t="inlineStr">
        <is>
          <t>In Progress</t>
        </is>
      </c>
      <c r="G18" s="26" t="inlineStr">
        <is>
          <t>`X-Content-Type-Options: nosniff` will be included on all API responses via Spring Security headers configuration.</t>
        </is>
      </c>
      <c r="H18" s="21" t="inlineStr">
        <is>
          <t>Api/src/main/.../Security/SecurityConfig.java (contentTypeOptions nosniff)</t>
        </is>
      </c>
    </row>
    <row r="19" ht="105" customHeight="1" s="33">
      <c r="A19" s="14" t="inlineStr">
        <is>
          <t>V3.4</t>
        </is>
      </c>
      <c r="B19" s="14" t="inlineStr">
        <is>
          <t>Browser Security Mechanism Headers</t>
        </is>
      </c>
      <c r="C19" s="15" t="inlineStr">
        <is>
          <t>V3.4.5</t>
        </is>
      </c>
      <c r="D19" s="16" t="inlineStr">
        <is>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is>
      </c>
      <c r="E19" s="17" t="n">
        <v>2</v>
      </c>
      <c r="F19" s="18" t="inlineStr">
        <is>
          <t>Not Applicable</t>
        </is>
      </c>
      <c r="G19" s="25" t="inlineStr">
        <is>
          <t xml:space="preserve">Referrer-Policy has minimal relevance in API-only context.   </t>
        </is>
      </c>
      <c r="H19" s="16" t="n"/>
    </row>
    <row r="20" ht="90" customHeight="1" s="33">
      <c r="A20" s="19" t="inlineStr">
        <is>
          <t>V3.4</t>
        </is>
      </c>
      <c r="B20" s="19" t="inlineStr">
        <is>
          <t>Browser Security Mechanism Headers</t>
        </is>
      </c>
      <c r="C20" s="20" t="inlineStr">
        <is>
          <t>V3.4.6</t>
        </is>
      </c>
      <c r="D20" s="21" t="inlineStr">
        <is>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is>
      </c>
      <c r="E20" s="17" t="n">
        <v>2</v>
      </c>
      <c r="F20" s="18" t="inlineStr">
        <is>
          <t>Not Applicable</t>
        </is>
      </c>
      <c r="G20" s="26" t="inlineStr">
        <is>
          <t xml:space="preserve">Frame-ancestors not applicable (no browser rendering).           </t>
        </is>
      </c>
      <c r="H20" s="21" t="n"/>
    </row>
    <row r="21" ht="72" customHeight="1" s="33">
      <c r="A21" s="14" t="inlineStr">
        <is>
          <t>V3.4</t>
        </is>
      </c>
      <c r="B21" s="14" t="inlineStr">
        <is>
          <t>Browser Security Mechanism Headers</t>
        </is>
      </c>
      <c r="C21" s="15" t="inlineStr">
        <is>
          <t>V3.4.7</t>
        </is>
      </c>
      <c r="D21" s="16" t="inlineStr">
        <is>
          <t>Verify that the Content-Security-Policy header field specifies a location to report violations.</t>
        </is>
      </c>
      <c r="E21" s="23" t="n">
        <v>3</v>
      </c>
      <c r="F21" s="18" t="inlineStr">
        <is>
          <t>Not Applicable</t>
        </is>
      </c>
      <c r="G21" s="25" t="inlineStr">
        <is>
          <t>CSP reporting not applicable without CSP usage.</t>
        </is>
      </c>
      <c r="H21" s="16" t="n"/>
    </row>
    <row r="22" ht="90" customHeight="1" s="33">
      <c r="A22" s="19" t="inlineStr">
        <is>
          <t>V3.4</t>
        </is>
      </c>
      <c r="B22" s="19" t="inlineStr">
        <is>
          <t>Browser Security Mechanism Headers</t>
        </is>
      </c>
      <c r="C22" s="20" t="inlineStr">
        <is>
          <t>V3.4.8</t>
        </is>
      </c>
      <c r="D22" s="21" t="inlineStr">
        <is>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is>
      </c>
      <c r="E22" s="23" t="n">
        <v>3</v>
      </c>
      <c r="F22" s="18" t="inlineStr">
        <is>
          <t>Not Applicable</t>
        </is>
      </c>
      <c r="G22" s="26" t="inlineStr">
        <is>
          <t xml:space="preserve"> ArcadeHaven does not serve HTML documents. `Cross-Origin-Opener-Policy` is not applicable to a JSON REST API.</t>
        </is>
      </c>
      <c r="H22" s="21" t="n"/>
    </row>
    <row r="23">
      <c r="A23" s="13" t="inlineStr">
        <is>
          <t>V3.5</t>
        </is>
      </c>
      <c r="B23" s="13" t="inlineStr">
        <is>
          <t>Browser Origin Separation</t>
        </is>
      </c>
      <c r="C23" s="13" t="n"/>
      <c r="D23" s="13" t="n"/>
      <c r="E23" s="13" t="n"/>
      <c r="F23" s="13" t="n"/>
      <c r="G23" s="13" t="n"/>
      <c r="H23" s="13" t="n"/>
    </row>
    <row r="24" ht="120" customHeight="1" s="33">
      <c r="A24" s="14" t="inlineStr">
        <is>
          <t>V3.5</t>
        </is>
      </c>
      <c r="B24" s="14" t="inlineStr">
        <is>
          <t>Browser Origin Separation</t>
        </is>
      </c>
      <c r="C24" s="15" t="inlineStr">
        <is>
          <t>V3.5.1</t>
        </is>
      </c>
      <c r="D24" s="16" t="inlineStr">
        <is>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is>
      </c>
      <c r="E24" s="22" t="n">
        <v>1</v>
      </c>
      <c r="F24" s="18" t="inlineStr">
        <is>
          <t>Compliant</t>
        </is>
      </c>
      <c r="G24" s="25" t="inlineStr">
        <is>
          <t>All sensitive endpoints require a valid JWT Bearer token in the `Authorization` header, which is not a CORS-safelisted header, effectively preventing CSRF.</t>
        </is>
      </c>
      <c r="H24" s="16" t="inlineStr">
        <is>
          <t>Api/src/main/.../Security/SecurityConfig.java</t>
        </is>
      </c>
    </row>
    <row r="25" ht="105" customHeight="1" s="33">
      <c r="A25" s="19" t="inlineStr">
        <is>
          <t>V3.5</t>
        </is>
      </c>
      <c r="B25" s="19" t="inlineStr">
        <is>
          <t>Browser Origin Separation</t>
        </is>
      </c>
      <c r="C25" s="20" t="inlineStr">
        <is>
          <t>V3.5.2</t>
        </is>
      </c>
      <c r="D25" s="21" t="inlineStr">
        <is>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is>
      </c>
      <c r="E25" s="22" t="n">
        <v>1</v>
      </c>
      <c r="F25" s="18" t="inlineStr">
        <is>
          <t>Compliant</t>
        </is>
      </c>
      <c r="G25" s="26" t="inlineStr">
        <is>
          <t>All state-changing API calls require `Content-Type: application/json`, which triggers a CORS preflight. Requests without this header will be rejected.</t>
        </is>
      </c>
      <c r="H25" s="21" t="inlineStr">
        <is>
          <t>Api/src/main/.../Security/SecurityConfig.java; Controller/AuthController.java; Controller/OrderController.java; Controller/PublisherController.java; Controller/AdminController.java</t>
        </is>
      </c>
    </row>
    <row r="26" ht="120" customHeight="1" s="33">
      <c r="A26" s="14" t="inlineStr">
        <is>
          <t>V3.5</t>
        </is>
      </c>
      <c r="B26" s="14" t="inlineStr">
        <is>
          <t>Browser Origin Separation</t>
        </is>
      </c>
      <c r="C26" s="15" t="inlineStr">
        <is>
          <t>V3.5.3</t>
        </is>
      </c>
      <c r="D26" s="16" t="inlineStr">
        <is>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is>
      </c>
      <c r="E26" s="22" t="n">
        <v>1</v>
      </c>
      <c r="F26" s="18" t="inlineStr">
        <is>
          <t>Compliant</t>
        </is>
      </c>
      <c r="G26" s="25" t="inlineStr">
        <is>
          <t>All sensitive operations use appropriate HTTP methods (POST, PUT, PATCH, DELETE). GET endpoints are read-only and do not expose sensitive functionality.</t>
        </is>
      </c>
      <c r="H26" s="16" t="inlineStr">
        <is>
          <t>Api/src/main/.../Controller/OrderController.java; Controller/PublisherController.java; Controller/AdminController.java; Controller/GameController.java</t>
        </is>
      </c>
    </row>
    <row r="27" ht="75" customHeight="1" s="33">
      <c r="A27" s="19" t="inlineStr">
        <is>
          <t>V3.5</t>
        </is>
      </c>
      <c r="B27" s="19" t="inlineStr">
        <is>
          <t>Browser Origin Separation</t>
        </is>
      </c>
      <c r="C27" s="20" t="inlineStr">
        <is>
          <t>V3.5.4</t>
        </is>
      </c>
      <c r="D27" s="21" t="inlineStr">
        <is>
          <t>Verify that separate applications are hosted on different hostnames to leverage the restrictions provided by same-origin policy, including how documents or scripts loaded by one origin can interact with resources from another origin and hostname-based restrictions on cookies.</t>
        </is>
      </c>
      <c r="E27" s="17" t="n">
        <v>2</v>
      </c>
      <c r="F27" s="18" t="inlineStr">
        <is>
          <t>Not Applicable</t>
        </is>
      </c>
      <c r="G27" s="26" t="inlineStr">
        <is>
          <t>Single backend; hostname separation not applicable.</t>
        </is>
      </c>
      <c r="H27" s="21" t="n"/>
    </row>
    <row r="28" ht="72" customHeight="1" s="33">
      <c r="A28" s="14" t="inlineStr">
        <is>
          <t>V3.5</t>
        </is>
      </c>
      <c r="B28" s="14" t="inlineStr">
        <is>
          <t>Browser Origin Separation</t>
        </is>
      </c>
      <c r="C28" s="15" t="inlineStr">
        <is>
          <t>V3.5.5</t>
        </is>
      </c>
      <c r="D28" s="16" t="inlineStr">
        <is>
          <t>Verify that messages received by the postMessage interface are discarded if the origin of the message is not trusted, or if the syntax of the message is invalid.</t>
        </is>
      </c>
      <c r="E28" s="17" t="n">
        <v>2</v>
      </c>
      <c r="F28" s="18" t="inlineStr">
        <is>
          <t>Not Applicable</t>
        </is>
      </c>
      <c r="G28" s="25" t="inlineStr">
        <is>
          <t>No client-side messaging (postMessage).</t>
        </is>
      </c>
      <c r="H28" s="16" t="n"/>
    </row>
    <row r="29" ht="72" customHeight="1" s="33">
      <c r="A29" s="19" t="inlineStr">
        <is>
          <t>V3.5</t>
        </is>
      </c>
      <c r="B29" s="19" t="inlineStr">
        <is>
          <t>Browser Origin Separation</t>
        </is>
      </c>
      <c r="C29" s="20" t="inlineStr">
        <is>
          <t>V3.5.6</t>
        </is>
      </c>
      <c r="D29" s="21" t="inlineStr">
        <is>
          <t>Verify that JSONP functionality is not enabled anywhere across the application to avoid Cross-Site Script Inclusion (XSSI) attacks.</t>
        </is>
      </c>
      <c r="E29" s="23" t="n">
        <v>3</v>
      </c>
      <c r="F29" s="18" t="inlineStr">
        <is>
          <t>Not Applicable</t>
        </is>
      </c>
      <c r="G29" s="26" t="inlineStr">
        <is>
          <t>JSONP not used.</t>
        </is>
      </c>
      <c r="H29" s="21" t="n"/>
    </row>
    <row r="30" ht="72" customHeight="1" s="33">
      <c r="A30" s="14" t="inlineStr">
        <is>
          <t>V3.5</t>
        </is>
      </c>
      <c r="B30" s="14" t="inlineStr">
        <is>
          <t>Browser Origin Separation</t>
        </is>
      </c>
      <c r="C30" s="15" t="inlineStr">
        <is>
          <t>V3.5.7</t>
        </is>
      </c>
      <c r="D30" s="16" t="inlineStr">
        <is>
          <t>Verify that data requiring authorization is not included in script resource responses, like JavaScript files, to prevent Cross-Site Script Inclusion (XSSI) attacks.</t>
        </is>
      </c>
      <c r="E30" s="23" t="n">
        <v>3</v>
      </c>
      <c r="F30" s="18" t="inlineStr">
        <is>
          <t>Not Applicable</t>
        </is>
      </c>
      <c r="G30" s="25" t="inlineStr">
        <is>
          <t>API does not serve JavaScript files or executable client-side code.</t>
        </is>
      </c>
      <c r="H30" s="16" t="n"/>
    </row>
    <row r="31" ht="120.4" customHeight="1" s="33">
      <c r="A31" s="19" t="inlineStr">
        <is>
          <t>V3.5</t>
        </is>
      </c>
      <c r="B31" s="19" t="inlineStr">
        <is>
          <t>Browser Origin Separation</t>
        </is>
      </c>
      <c r="C31" s="20" t="inlineStr">
        <is>
          <t>V3.5.8</t>
        </is>
      </c>
      <c r="D31" s="21" t="inlineStr">
        <is>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is>
      </c>
      <c r="E31" s="23" t="n">
        <v>3</v>
      </c>
      <c r="F31" s="18" t="inlineStr">
        <is>
          <t>Not Applicable</t>
        </is>
      </c>
      <c r="G31" s="26" t="n"/>
      <c r="H31" s="21" t="n"/>
    </row>
    <row r="32">
      <c r="A32" s="13" t="inlineStr">
        <is>
          <t>V3.6</t>
        </is>
      </c>
      <c r="B32" s="13" t="inlineStr">
        <is>
          <t>External Resource Integrity</t>
        </is>
      </c>
      <c r="C32" s="13" t="n"/>
      <c r="D32" s="13" t="n"/>
      <c r="E32" s="13" t="n"/>
      <c r="F32" s="13" t="n"/>
      <c r="G32" s="13" t="n"/>
      <c r="H32" s="13" t="n"/>
    </row>
    <row r="33" ht="106.5" customHeight="1" s="33">
      <c r="A33" s="14" t="inlineStr">
        <is>
          <t>V3.6</t>
        </is>
      </c>
      <c r="B33" s="14" t="inlineStr">
        <is>
          <t>External Resource Integrity</t>
        </is>
      </c>
      <c r="C33" s="15" t="inlineStr">
        <is>
          <t>V3.6.1</t>
        </is>
      </c>
      <c r="D33" s="16" t="inlineStr">
        <is>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is>
      </c>
      <c r="E33" s="23" t="n">
        <v>3</v>
      </c>
      <c r="F33" s="18" t="inlineStr">
        <is>
          <t>Not Applicable</t>
        </is>
      </c>
      <c r="G33" t="inlineStr">
        <is>
          <t>Not serve or load any external client-side assets (JS libraries, CSS, fonts). No CDN resources are used in the back-end API.</t>
        </is>
      </c>
      <c r="H33" s="16" t="n"/>
    </row>
    <row r="34">
      <c r="A34" s="13" t="inlineStr">
        <is>
          <t>V3.7</t>
        </is>
      </c>
      <c r="B34" s="13" t="inlineStr">
        <is>
          <t>Other Browser Security Considerations</t>
        </is>
      </c>
      <c r="C34" s="13" t="n"/>
      <c r="D34" s="13" t="n"/>
      <c r="E34" s="13" t="n"/>
      <c r="F34" s="13" t="n"/>
      <c r="G34" s="13" t="n"/>
      <c r="H34" s="13" t="n"/>
    </row>
    <row r="35" ht="72" customHeight="1" s="33">
      <c r="A35" s="14" t="inlineStr">
        <is>
          <t>V3.7</t>
        </is>
      </c>
      <c r="B35" s="14" t="inlineStr">
        <is>
          <t>Other Browser Security Considerations</t>
        </is>
      </c>
      <c r="C35" s="15" t="inlineStr">
        <is>
          <t>V3.7.1</t>
        </is>
      </c>
      <c r="D35" s="16" t="inlineStr">
        <is>
          <t>Verify that the application only uses client-side technologies which are still supported and considered secure. Examples of technologies which do not meet this requirement include NSAPI plugins, Flash, Shockwave, ActiveX, Silverlight, NACL, or client-side Java applets.</t>
        </is>
      </c>
      <c r="E35" s="17" t="n">
        <v>2</v>
      </c>
      <c r="F35" s="18" t="inlineStr">
        <is>
          <t>Not Applicable</t>
        </is>
      </c>
      <c r="G35" t="inlineStr">
        <is>
          <t>Uses no client-side technologies. No plugins, Flash, ActiveX, or applets are used.</t>
        </is>
      </c>
      <c r="H35" s="16" t="n"/>
    </row>
    <row r="36" ht="72" customHeight="1" s="33">
      <c r="A36" s="19" t="inlineStr">
        <is>
          <t>V3.7</t>
        </is>
      </c>
      <c r="B36" s="19" t="inlineStr">
        <is>
          <t>Other Browser Security Considerations</t>
        </is>
      </c>
      <c r="C36" s="20" t="inlineStr">
        <is>
          <t>V3.7.2</t>
        </is>
      </c>
      <c r="D36" s="21" t="inlineStr">
        <is>
          <t>Verify that the application will only automatically redirect the user to a different hostname or domain (which is not controlled by the application) where the destination appears on an allowlist.</t>
        </is>
      </c>
      <c r="E36" s="17" t="n">
        <v>2</v>
      </c>
      <c r="F36" s="18" t="inlineStr">
        <is>
          <t>Not Applicable</t>
        </is>
      </c>
      <c r="G36" s="26" t="n"/>
      <c r="H36" s="21" t="n"/>
    </row>
    <row r="37" ht="72" customHeight="1" s="33">
      <c r="A37" s="14" t="inlineStr">
        <is>
          <t>V3.7</t>
        </is>
      </c>
      <c r="B37" s="14" t="inlineStr">
        <is>
          <t>Other Browser Security Considerations</t>
        </is>
      </c>
      <c r="C37" s="15" t="inlineStr">
        <is>
          <t>V3.7.3</t>
        </is>
      </c>
      <c r="D37" s="16" t="inlineStr">
        <is>
          <t>Verify that the application shows a notification when the user is being redirected to a URL outside of the application's control, with an option to cancel the navigation.</t>
        </is>
      </c>
      <c r="E37" s="23" t="n">
        <v>3</v>
      </c>
      <c r="F37" s="18" t="inlineStr">
        <is>
          <t>Not Applicable</t>
        </is>
      </c>
      <c r="G37" t="inlineStr">
        <is>
          <t>REST API No user-facing redirect notifications are applicable.</t>
        </is>
      </c>
      <c r="H37" s="16" t="n"/>
    </row>
    <row r="38" ht="72" customHeight="1" s="33">
      <c r="A38" s="19" t="inlineStr">
        <is>
          <t>V3.7</t>
        </is>
      </c>
      <c r="B38" s="19" t="inlineStr">
        <is>
          <t>Other Browser Security Considerations</t>
        </is>
      </c>
      <c r="C38" s="20" t="inlineStr">
        <is>
          <t>V3.7.4</t>
        </is>
      </c>
      <c r="D38" s="21" t="inlineStr">
        <is>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is>
      </c>
      <c r="E38" s="23" t="n">
        <v>3</v>
      </c>
      <c r="F38" s="18" t="inlineStr">
        <is>
          <t>Not Applicable</t>
        </is>
      </c>
      <c r="G38" s="26" t="n"/>
      <c r="H38" s="21" t="n"/>
    </row>
    <row r="39" ht="72" customHeight="1" s="33">
      <c r="A39" s="14" t="inlineStr">
        <is>
          <t>V3.7</t>
        </is>
      </c>
      <c r="B39" s="14" t="inlineStr">
        <is>
          <t>Other Browser Security Considerations</t>
        </is>
      </c>
      <c r="C39" s="15" t="inlineStr">
        <is>
          <t>V3.7.5</t>
        </is>
      </c>
      <c r="D39" s="16" t="inlineStr">
        <is>
          <t>Verify that the application behaves as documented (such as warning the user or blocking access) if the browser used to access the application does not support the expected security features.</t>
        </is>
      </c>
      <c r="E39" s="23" t="n">
        <v>3</v>
      </c>
      <c r="F39" s="18" t="inlineStr">
        <is>
          <t>Not Applicable</t>
        </is>
      </c>
      <c r="G39" t="inlineStr">
        <is>
          <t>REST API with no browser-facing interface. Browser feature detection is not applicable.</t>
        </is>
      </c>
      <c r="H39" s="16" t="n"/>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sqref="F2:F1039"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5.xml><?xml version="1.0" encoding="utf-8"?>
<worksheet xmlns="http://schemas.openxmlformats.org/spreadsheetml/2006/main">
  <sheetPr>
    <outlinePr summaryBelow="1" summaryRight="1"/>
    <pageSetUpPr/>
  </sheetPr>
  <dimension ref="A1:H21"/>
  <sheetViews>
    <sheetView zoomScale="75" zoomScaleNormal="75" workbookViewId="0">
      <pane ySplit="1" topLeftCell="A29" activePane="bottomLeft" state="frozen"/>
      <selection pane="bottomLeft" activeCell="N9" sqref="N9"/>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87.42578125" bestFit="1"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V4.1</t>
        </is>
      </c>
      <c r="B2" s="13" t="inlineStr">
        <is>
          <t>Generic Web Service Security</t>
        </is>
      </c>
      <c r="C2" s="13" t="n"/>
      <c r="D2" s="13" t="n"/>
      <c r="E2" s="13" t="n"/>
      <c r="F2" s="13" t="n"/>
      <c r="G2" s="13" t="n"/>
      <c r="H2" s="13" t="n"/>
    </row>
    <row r="3" ht="75" customHeight="1" s="33">
      <c r="A3" s="14" t="inlineStr">
        <is>
          <t>V4.1</t>
        </is>
      </c>
      <c r="B3" s="14" t="inlineStr">
        <is>
          <t>Generic Web Service Security</t>
        </is>
      </c>
      <c r="C3" s="15" t="inlineStr">
        <is>
          <t>V4.1.1</t>
        </is>
      </c>
      <c r="D3" s="16" t="inlineStr">
        <is>
          <t>Verify that every HTTP response with a message body contains a Content-Type header field that matches the actual content of the response, including the charset parameter to specify safe character encoding (e.g., UTF-8, ISO-8859-1) according to IANA Media Types, such as "text/", "/+xml" and "/xml".</t>
        </is>
      </c>
      <c r="E3" s="22" t="n">
        <v>1</v>
      </c>
      <c r="F3" s="18" t="inlineStr">
        <is>
          <t>Compliant</t>
        </is>
      </c>
      <c r="G3" s="16" t="inlineStr">
        <is>
          <t>All API responses will include `Content-Type: application/json; charset=UTF-8`. File download endpoints will use the appropriate MIME type (e.g. `application/pdf`, `image/png`). Enforced globally via Spring Boot's response configuration.</t>
        </is>
      </c>
      <c r="H3" s="16" t="inlineStr">
        <is>
          <t>Api/src/main/.../Controller/LibraryController.java; Controller/OrderController.java</t>
        </is>
      </c>
    </row>
    <row r="4" ht="105" customHeight="1" s="33">
      <c r="A4" s="19" t="inlineStr">
        <is>
          <t>V4.1</t>
        </is>
      </c>
      <c r="B4" s="19" t="inlineStr">
        <is>
          <t>Generic Web Service Security</t>
        </is>
      </c>
      <c r="C4" s="20" t="inlineStr">
        <is>
          <t>V4.1.2</t>
        </is>
      </c>
      <c r="D4" s="21" t="inlineStr">
        <is>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is>
      </c>
      <c r="E4" s="17" t="n">
        <v>2</v>
      </c>
      <c r="F4" s="18" t="inlineStr">
        <is>
          <t>Compliant</t>
        </is>
      </c>
      <c r="G4" s="21" t="inlineStr">
        <is>
          <t>In the development environment, the API is exposed locally over HTTP only and is not publicly available. HTTPS is to be enforced in production environments here TLS is terminated at a reserve proxy (Nginx/Traefik), responsible for enforcing TSL 1.2+ and reedirecting non-HTTPS traffic to the correct endpoints.</t>
        </is>
      </c>
      <c r="H4" s="21" t="inlineStr">
        <is>
          <t>Api/src/main/resource/application.properties</t>
        </is>
      </c>
    </row>
    <row r="5" ht="75" customHeight="1" s="33">
      <c r="A5" s="14" t="inlineStr">
        <is>
          <t>V4.1</t>
        </is>
      </c>
      <c r="B5" s="14" t="inlineStr">
        <is>
          <t>Generic Web Service Security</t>
        </is>
      </c>
      <c r="C5" s="15" t="inlineStr">
        <is>
          <t>V4.1.3</t>
        </is>
      </c>
      <c r="D5" s="16" t="inlineStr">
        <is>
          <t>Verify that any HTTP header field used by the application and set by an intermediary layer, such as a load balancer, a web proxy, or a backend-for-frontend service, cannot be overridden by the end-user. Example headers might include X-Real-IP, X-Forwarded-*, or X-User-ID.</t>
        </is>
      </c>
      <c r="E5" s="17" t="n">
        <v>2</v>
      </c>
      <c r="F5" s="18" t="inlineStr">
        <is>
          <t>Compliant</t>
        </is>
      </c>
      <c r="G5" s="16" t="inlineStr">
        <is>
          <t>ArcadeHaven application odes not trust client-provided headers such as X-Forwarded-For, X-Real-IP or X-Forwarded-Proto. These headers are only allowed hen injected through trusted reversse proxies. Additionally, SpringBoot is configured to ensure fowarded headers are only accepted from known internal proxy range and all other application componentes rely on request.getRemoteAddr() after proxy resolution.</t>
        </is>
      </c>
      <c r="H5" s="16" t="inlineStr">
        <is>
          <t>Api/src/main/resources/application.properties; Api/src/main/.../Security/SecurityAuditService.java;  Api/src/main/…/Exception/GlobalExceptionHandler.java; Api/src/main/…/Security/SecurityAuditService.java</t>
        </is>
      </c>
    </row>
    <row r="6" ht="30" customHeight="1" s="33">
      <c r="A6" s="19" t="inlineStr">
        <is>
          <t>V4.1</t>
        </is>
      </c>
      <c r="B6" s="19" t="inlineStr">
        <is>
          <t>Generic Web Service Security</t>
        </is>
      </c>
      <c r="C6" s="20" t="inlineStr">
        <is>
          <t>V4.1.4</t>
        </is>
      </c>
      <c r="D6" s="21" t="inlineStr">
        <is>
          <t>Verify that only HTTP methods that are explicitly supported by the application or its API (including OPTIONS during preflight requests) can be used and that unused methods are blocked.</t>
        </is>
      </c>
      <c r="E6" s="23" t="n">
        <v>3</v>
      </c>
      <c r="F6" s="18" t="inlineStr">
        <is>
          <t>Not Applicable</t>
        </is>
      </c>
      <c r="G6" s="21" t="n"/>
      <c r="H6" s="21" t="n"/>
    </row>
    <row r="7" ht="30" customHeight="1" s="33">
      <c r="A7" s="14" t="inlineStr">
        <is>
          <t>V4.1</t>
        </is>
      </c>
      <c r="B7" s="14" t="inlineStr">
        <is>
          <t>Generic Web Service Security</t>
        </is>
      </c>
      <c r="C7" s="15" t="inlineStr">
        <is>
          <t>V4.1.5</t>
        </is>
      </c>
      <c r="D7" s="16" t="inlineStr">
        <is>
          <t>Verify that per-message digital signatures are used to provide additional assurance on top of transport protections for requests or transactions which are highly sensitive or which traverse a number of systems.</t>
        </is>
      </c>
      <c r="E7" s="23" t="n">
        <v>3</v>
      </c>
      <c r="F7" s="18" t="inlineStr">
        <is>
          <t>Not Applicable</t>
        </is>
      </c>
      <c r="G7" s="16" t="n"/>
      <c r="H7" s="16" t="n"/>
    </row>
    <row r="8" ht="18" customHeight="1" s="33">
      <c r="A8" s="13" t="inlineStr">
        <is>
          <t>V4.2</t>
        </is>
      </c>
      <c r="B8" s="13" t="inlineStr">
        <is>
          <t>HTTP Message Structure Validation</t>
        </is>
      </c>
      <c r="C8" s="13" t="n"/>
      <c r="D8" s="13" t="n"/>
      <c r="E8" s="13" t="n"/>
      <c r="F8" s="13" t="n"/>
      <c r="G8" s="13" t="n"/>
      <c r="H8" s="13" t="n"/>
    </row>
    <row r="9" ht="30" customHeight="1" s="33">
      <c r="A9" s="14" t="inlineStr">
        <is>
          <t>V4.2</t>
        </is>
      </c>
      <c r="B9" s="14" t="inlineStr">
        <is>
          <t>HTTP Message Structure Validation</t>
        </is>
      </c>
      <c r="C9" s="15" t="inlineStr">
        <is>
          <t>V4.2.1</t>
        </is>
      </c>
      <c r="D9" s="16" t="inlineStr">
        <is>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is>
      </c>
      <c r="E9" s="17" t="n">
        <v>2</v>
      </c>
      <c r="F9" s="18" t="inlineStr">
        <is>
          <t>Compliant</t>
        </is>
      </c>
      <c r="G9" s="16" t="inlineStr">
        <is>
          <t>ArcadeHaven will use HTTP/1.1 initially via Spring Boot embedded Tomcat, which handles Transfer-Encoding and Content-Length boundaries correctly by default. HTTP/2 support will be evaluated in Phase 2 with explicit validation of DATA frame consistency.</t>
        </is>
      </c>
      <c r="H9" s="16" t="inlineStr">
        <is>
          <t>Api/pom.xml (spring-boot-starter-web -&gt; embedded Tomcat)</t>
        </is>
      </c>
    </row>
    <row r="10" ht="30" customHeight="1" s="33">
      <c r="A10" s="19" t="inlineStr">
        <is>
          <t>V4.2</t>
        </is>
      </c>
      <c r="B10" s="19" t="inlineStr">
        <is>
          <t>HTTP Message Structure Validation</t>
        </is>
      </c>
      <c r="C10" s="20" t="inlineStr">
        <is>
          <t>V4.2.2</t>
        </is>
      </c>
      <c r="D10" s="21" t="inlineStr">
        <is>
          <t>Verify that when generating HTTP messages, the Content-Length header field does not conflict with the length of the content as determined by the framing of the HTTP protocol, in order to prevent request smuggling attacks.</t>
        </is>
      </c>
      <c r="E10" s="23" t="n">
        <v>3</v>
      </c>
      <c r="F10" s="18" t="inlineStr">
        <is>
          <t>Not Applicable</t>
        </is>
      </c>
      <c r="G10" s="21" t="n"/>
      <c r="H10" s="21" t="n"/>
    </row>
    <row r="11" ht="30" customHeight="1" s="33">
      <c r="A11" s="14" t="inlineStr">
        <is>
          <t>V4.2</t>
        </is>
      </c>
      <c r="B11" s="14" t="inlineStr">
        <is>
          <t>HTTP Message Structure Validation</t>
        </is>
      </c>
      <c r="C11" s="15" t="inlineStr">
        <is>
          <t>V4.2.3</t>
        </is>
      </c>
      <c r="D11" s="16" t="inlineStr">
        <is>
          <t>Verify that the application does not send nor accept HTTP/2 or HTTP/3 messages with connection-specific header fields such as Transfer-Encoding to prevent response splitting and header injection attacks.</t>
        </is>
      </c>
      <c r="E11" s="23" t="n">
        <v>3</v>
      </c>
      <c r="F11" s="18" t="inlineStr">
        <is>
          <t>Not Applicable</t>
        </is>
      </c>
      <c r="G11" s="16" t="n"/>
      <c r="H11" s="16" t="n"/>
    </row>
    <row r="12" ht="30" customHeight="1" s="33">
      <c r="A12" s="19" t="inlineStr">
        <is>
          <t>V4.2</t>
        </is>
      </c>
      <c r="B12" s="19" t="inlineStr">
        <is>
          <t>HTTP Message Structure Validation</t>
        </is>
      </c>
      <c r="C12" s="20" t="inlineStr">
        <is>
          <t>V4.2.4</t>
        </is>
      </c>
      <c r="D12" s="21" t="inlineStr">
        <is>
          <t>Verify that the application only accepts HTTP/2 and HTTP/3 requests where the header fields and values do not contain any CR (\r), LF (\n), or CRLF (\r\n) sequences, to prevent header injection attacks.</t>
        </is>
      </c>
      <c r="E12" s="23" t="n">
        <v>3</v>
      </c>
      <c r="F12" s="18" t="inlineStr">
        <is>
          <t>Not Applicable</t>
        </is>
      </c>
      <c r="G12" s="21" t="n"/>
      <c r="H12" s="21" t="n"/>
    </row>
    <row r="13" ht="30" customHeight="1" s="33">
      <c r="A13" s="14" t="inlineStr">
        <is>
          <t>V4.2</t>
        </is>
      </c>
      <c r="B13" s="14" t="inlineStr">
        <is>
          <t>HTTP Message Structure Validation</t>
        </is>
      </c>
      <c r="C13" s="15" t="inlineStr">
        <is>
          <t>V4.2.5</t>
        </is>
      </c>
      <c r="D13" s="16" t="inlineStr">
        <is>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is>
      </c>
      <c r="E13" s="23" t="n">
        <v>3</v>
      </c>
      <c r="F13" s="18" t="inlineStr">
        <is>
          <t>Not Applicable</t>
        </is>
      </c>
      <c r="G13" s="16" t="n"/>
      <c r="H13" s="16" t="n"/>
    </row>
    <row r="14" ht="18" customHeight="1" s="33">
      <c r="A14" s="13" t="inlineStr">
        <is>
          <t>V4.3</t>
        </is>
      </c>
      <c r="B14" s="13" t="inlineStr">
        <is>
          <t>GraphQL</t>
        </is>
      </c>
      <c r="C14" s="13" t="n"/>
      <c r="D14" s="13" t="n"/>
      <c r="E14" s="13" t="n"/>
      <c r="F14" s="13" t="n"/>
      <c r="G14" s="13" t="n"/>
      <c r="H14" s="13" t="n"/>
    </row>
    <row r="15" ht="60" customHeight="1" s="33">
      <c r="A15" s="14" t="inlineStr">
        <is>
          <t>V4.3</t>
        </is>
      </c>
      <c r="B15" s="14" t="inlineStr">
        <is>
          <t>GraphQL</t>
        </is>
      </c>
      <c r="C15" s="15" t="inlineStr">
        <is>
          <t>V4.3.1</t>
        </is>
      </c>
      <c r="D15" s="16" t="inlineStr">
        <is>
          <t>Verify that a query allowlist, depth limiting, amount limiting, or query cost analysis is used to prevent GraphQL or data layer expression Denial of Service (DoS) as a result of expensive, nested queries.</t>
        </is>
      </c>
      <c r="E15" s="17" t="n">
        <v>2</v>
      </c>
      <c r="F15" s="18" t="inlineStr">
        <is>
          <t>Not Applicable</t>
        </is>
      </c>
      <c r="G15" s="16" t="inlineStr">
        <is>
          <t>ArcadeHaven uses a REST API, not GraphQL. This requirement is not applicable.</t>
        </is>
      </c>
      <c r="H15" s="16" t="n"/>
    </row>
    <row r="16" ht="30" customHeight="1" s="33">
      <c r="A16" s="19" t="inlineStr">
        <is>
          <t>V4.3</t>
        </is>
      </c>
      <c r="B16" s="19" t="inlineStr">
        <is>
          <t>GraphQL</t>
        </is>
      </c>
      <c r="C16" s="20" t="inlineStr">
        <is>
          <t>V4.3.2</t>
        </is>
      </c>
      <c r="D16" s="21" t="inlineStr">
        <is>
          <t>Verify that GraphQL introspection queries are disabled in the production environment unless the GraphQL API is meant to be used by other parties.</t>
        </is>
      </c>
      <c r="E16" s="17" t="n">
        <v>2</v>
      </c>
      <c r="F16" s="18" t="inlineStr">
        <is>
          <t>Not Applicable</t>
        </is>
      </c>
      <c r="G16" s="21" t="inlineStr">
        <is>
          <t>ArcadeHaven uses a REST API, not GraphQL. Introspection queries do not exist in this context.</t>
        </is>
      </c>
      <c r="H16" s="21" t="n"/>
    </row>
    <row r="17" ht="18" customHeight="1" s="33">
      <c r="A17" s="13" t="inlineStr">
        <is>
          <t>V4.4</t>
        </is>
      </c>
      <c r="B17" s="13" t="inlineStr">
        <is>
          <t>WebSocket</t>
        </is>
      </c>
      <c r="C17" s="13" t="n"/>
      <c r="D17" s="13" t="n"/>
      <c r="E17" s="13" t="n"/>
      <c r="F17" s="13" t="n"/>
      <c r="G17" s="13" t="n"/>
      <c r="H17" s="13" t="n"/>
    </row>
    <row r="18" ht="30" customHeight="1" s="33">
      <c r="A18" s="14" t="inlineStr">
        <is>
          <t>V4.4</t>
        </is>
      </c>
      <c r="B18" s="14" t="inlineStr">
        <is>
          <t>WebSocket</t>
        </is>
      </c>
      <c r="C18" s="15" t="inlineStr">
        <is>
          <t>V4.4.1</t>
        </is>
      </c>
      <c r="D18" s="16" t="inlineStr">
        <is>
          <t>Verify that WebSocket over TLS (WSS) is used for all WebSocket connections.</t>
        </is>
      </c>
      <c r="E18" s="22" t="n">
        <v>1</v>
      </c>
      <c r="F18" s="18" t="inlineStr">
        <is>
          <t>Not Applicable</t>
        </is>
      </c>
      <c r="G18" s="16" t="inlineStr">
        <is>
          <t>ArcadeHaven does not implement WebSocket connections. All communication is via standard HTTPS REST API calls.</t>
        </is>
      </c>
      <c r="H18" s="16" t="n"/>
    </row>
    <row r="19" ht="30" customHeight="1" s="33">
      <c r="A19" s="19" t="inlineStr">
        <is>
          <t>V4.4</t>
        </is>
      </c>
      <c r="B19" s="19" t="inlineStr">
        <is>
          <t>WebSocket</t>
        </is>
      </c>
      <c r="C19" s="20" t="inlineStr">
        <is>
          <t>V4.4.2</t>
        </is>
      </c>
      <c r="D19" s="21" t="inlineStr">
        <is>
          <t>Verify that, during the initial HTTP WebSocket handshake, the Origin header field is checked against a list of origins allowed for the application.</t>
        </is>
      </c>
      <c r="E19" s="17" t="n">
        <v>2</v>
      </c>
      <c r="F19" s="18" t="inlineStr">
        <is>
          <t>Not Applicable</t>
        </is>
      </c>
      <c r="G19" t="inlineStr">
        <is>
          <t>No WebSocket handshake is performed. Not applicable to the current project scope.</t>
        </is>
      </c>
      <c r="H19" s="21" t="n"/>
    </row>
    <row r="20" ht="30" customHeight="1" s="33">
      <c r="A20" s="14" t="inlineStr">
        <is>
          <t>V4.4</t>
        </is>
      </c>
      <c r="B20" s="14" t="inlineStr">
        <is>
          <t>WebSocket</t>
        </is>
      </c>
      <c r="C20" s="15" t="inlineStr">
        <is>
          <t>V4.4.3</t>
        </is>
      </c>
      <c r="D20" s="16" t="inlineStr">
        <is>
          <t>Verify that, if the application's standard session management cannot be used, dedicated tokens are being used for this, which comply with the relevant Session Management security requirements.</t>
        </is>
      </c>
      <c r="E20" s="17" t="n">
        <v>2</v>
      </c>
      <c r="F20" s="18" t="inlineStr">
        <is>
          <t>Not Applicable</t>
        </is>
      </c>
      <c r="G20" t="inlineStr">
        <is>
          <t>No WebSocket connections are used. Session management is handled via JWT Bearer tokens over HTTPS.</t>
        </is>
      </c>
      <c r="H20" s="16" t="n"/>
    </row>
    <row r="21" ht="30" customHeight="1" s="33">
      <c r="A21" s="19" t="inlineStr">
        <is>
          <t>V4.4</t>
        </is>
      </c>
      <c r="B21" s="19" t="inlineStr">
        <is>
          <t>WebSocket</t>
        </is>
      </c>
      <c r="C21" s="20" t="inlineStr">
        <is>
          <t>V4.4.4</t>
        </is>
      </c>
      <c r="D21" s="21" t="inlineStr">
        <is>
          <t>Verify that dedicated WebSocket session management tokens are initially obtained or validated through the previously authenticated HTTPS session when transitioning an existing HTTPS session to a WebSocket channel.</t>
        </is>
      </c>
      <c r="E21" s="17" t="n">
        <v>2</v>
      </c>
      <c r="F21" s="18" t="inlineStr">
        <is>
          <t>Not Applicable</t>
        </is>
      </c>
      <c r="G21" t="inlineStr">
        <is>
          <t>No WebSocket connections are used. Not applicable to the current project scope.</t>
        </is>
      </c>
      <c r="H21" s="21" t="n"/>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1"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6.xml><?xml version="1.0" encoding="utf-8"?>
<worksheet xmlns="http://schemas.openxmlformats.org/spreadsheetml/2006/main">
  <sheetPr>
    <outlinePr summaryBelow="1" summaryRight="1"/>
    <pageSetUpPr/>
  </sheetPr>
  <dimension ref="A1:H18"/>
  <sheetViews>
    <sheetView topLeftCell="B1" zoomScale="85" zoomScaleNormal="85" workbookViewId="0">
      <pane ySplit="1" topLeftCell="A14" activePane="bottomLeft" state="frozen"/>
      <selection pane="bottomLeft" activeCell="F6" sqref="F6"/>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V5.1</t>
        </is>
      </c>
      <c r="B2" s="13" t="inlineStr">
        <is>
          <t>File Handling Documentation</t>
        </is>
      </c>
      <c r="C2" s="13" t="n"/>
      <c r="D2" s="13" t="n"/>
      <c r="E2" s="13" t="n"/>
      <c r="F2" s="13" t="n"/>
      <c r="G2" s="13" t="n"/>
      <c r="H2" s="13" t="n"/>
    </row>
    <row r="3" ht="150" customHeight="1" s="33">
      <c r="A3" s="14" t="inlineStr">
        <is>
          <t>V5.1</t>
        </is>
      </c>
      <c r="B3" s="14" t="inlineStr">
        <is>
          <t>File Handling Documentation</t>
        </is>
      </c>
      <c r="C3" s="15" t="inlineStr">
        <is>
          <t>V5.1.1</t>
        </is>
      </c>
      <c r="D3" s="16" t="inlineStr">
        <is>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is>
      </c>
      <c r="E3" s="17" t="n">
        <v>2</v>
      </c>
      <c r="F3" s="18" t="inlineStr">
        <is>
          <t>Compliant</t>
        </is>
      </c>
      <c r="G3" s="16" t="inlineStr">
        <is>
          <t>Documentation will define permitted file types per upload feature: game images (JPEG, PNG, WebP - max 5MB), game cover art (JPEG, PNG - max 2MB). System-generated files (PDF invoices, TXT activation keys) have no upload surface. The documentation will also specify behaviour when a malicious file is detected (reject with 400, log the event, notify the admin).</t>
        </is>
      </c>
      <c r="H3" s="16" t="inlineStr">
        <is>
          <t>Documentation/Requirements/requirements.md; Documentation/SecurityTesting/securityTesting.md</t>
        </is>
      </c>
    </row>
    <row r="4" ht="18" customHeight="1" s="33">
      <c r="A4" s="13" t="inlineStr">
        <is>
          <t>V5.2</t>
        </is>
      </c>
      <c r="B4" s="13" t="inlineStr">
        <is>
          <t>File Upload and Content</t>
        </is>
      </c>
      <c r="C4" s="13" t="n"/>
      <c r="D4" s="13" t="n"/>
      <c r="E4" s="13" t="n"/>
      <c r="F4" s="13" t="n"/>
      <c r="G4" s="13" t="n"/>
      <c r="H4" s="13" t="n"/>
    </row>
    <row r="5" ht="30" customHeight="1" s="33">
      <c r="A5" s="14" t="inlineStr">
        <is>
          <t>V5.2</t>
        </is>
      </c>
      <c r="B5" s="14" t="inlineStr">
        <is>
          <t>File Upload and Content</t>
        </is>
      </c>
      <c r="C5" s="15" t="inlineStr">
        <is>
          <t>V5.2.1</t>
        </is>
      </c>
      <c r="D5" s="16" t="inlineStr">
        <is>
          <t>Verify that the application will only accept files of a size which it can process without causing a loss of performance or a denial of service attack.</t>
        </is>
      </c>
      <c r="E5" s="22" t="n">
        <v>1</v>
      </c>
      <c r="F5" s="18" t="inlineStr">
        <is>
          <t>Compliant</t>
        </is>
      </c>
      <c r="G5" s="16" t="inlineStr">
        <is>
          <t>Maximum file size limits will be enforced at the Spring Boot level via spring.servlet.multipart.max-file-size and spring.servlet.multipart.max-request-size. Requests exceeding the limit will be rejected with a 413 response before processing begins.</t>
        </is>
      </c>
      <c r="H5" s="16" t="inlineStr">
        <is>
          <t>Api/src/main/resources/application.properties (max-file-size=25MB); Api/src/main/java/…/Services/GameService.java; Api/src/main/java/…/Validation/FileValidator.java</t>
        </is>
      </c>
    </row>
    <row r="6" ht="150" customHeight="1" s="33">
      <c r="A6" s="19" t="inlineStr">
        <is>
          <t>V5.2</t>
        </is>
      </c>
      <c r="B6" s="19" t="inlineStr">
        <is>
          <t>File Upload and Content</t>
        </is>
      </c>
      <c r="C6" s="20" t="inlineStr">
        <is>
          <t>V5.2.2</t>
        </is>
      </c>
      <c r="D6" s="21" t="inlineStr">
        <is>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is>
      </c>
      <c r="E6" s="22" t="n">
        <v>1</v>
      </c>
      <c r="F6" s="18" t="inlineStr">
        <is>
          <t>Compliant</t>
        </is>
      </c>
      <c r="G6" s="21" t="inlineStr">
        <is>
          <t>All uploaded files will be validated by checking the file extension against an allowlist (JPG, JPEG, PNG, WebP) and verifying the magic bytes of the file content. Image files will be re-written server-side (via Java ImageIO) to strip any embedded malicious content and confirm the file is a valid image.</t>
        </is>
      </c>
      <c r="H6" s="21" t="inlineStr">
        <is>
          <t>Api/src/main/java/.../Validation/FileValidator.java (Tika MIME detection from file bytes); Api/src/main/java/…/Service/FileStorageService.java</t>
        </is>
      </c>
    </row>
    <row r="7" ht="45" customHeight="1" s="33">
      <c r="A7" s="14" t="inlineStr">
        <is>
          <t>V5.2</t>
        </is>
      </c>
      <c r="B7" s="14" t="inlineStr">
        <is>
          <t>File Upload and Content</t>
        </is>
      </c>
      <c r="C7" s="15" t="inlineStr">
        <is>
          <t>V5.2.3</t>
        </is>
      </c>
      <c r="D7" s="16" t="inlineStr">
        <is>
          <t>Verify that the application checks compressed files (e.g., zip, gz, docx, odt) against maximum allowed uncompressed size and against maximum number of files before uncompressing the file.</t>
        </is>
      </c>
      <c r="E7" s="17" t="n">
        <v>2</v>
      </c>
      <c r="F7" s="18" t="inlineStr">
        <is>
          <t>Not Applicable</t>
        </is>
      </c>
      <c r="G7" s="16" t="inlineStr">
        <is>
          <t>ArcadeHaven does not accept compressed archive uploads (zip, gz, etc.).</t>
        </is>
      </c>
      <c r="H7" s="16" t="n"/>
    </row>
    <row r="8" ht="30" customHeight="1" s="33">
      <c r="A8" s="19" t="inlineStr">
        <is>
          <t>V5.2</t>
        </is>
      </c>
      <c r="B8" s="19" t="inlineStr">
        <is>
          <t>File Upload and Content</t>
        </is>
      </c>
      <c r="C8" s="20" t="inlineStr">
        <is>
          <t>V5.2.4</t>
        </is>
      </c>
      <c r="D8" s="21" t="inlineStr">
        <is>
          <t>Verify that a file size quota and maximum number of files per user are enforced to ensure that a single user cannot fill up the storage with too many files, or excessively large files.</t>
        </is>
      </c>
      <c r="E8" s="23" t="n">
        <v>3</v>
      </c>
      <c r="F8" s="18" t="inlineStr">
        <is>
          <t>Not Applicable</t>
        </is>
      </c>
      <c r="G8" s="21" t="n"/>
      <c r="H8" s="21" t="n"/>
    </row>
    <row r="9" ht="60" customHeight="1" s="33">
      <c r="A9" s="14" t="inlineStr">
        <is>
          <t>V5.2</t>
        </is>
      </c>
      <c r="B9" s="14" t="inlineStr">
        <is>
          <t>File Upload and Content</t>
        </is>
      </c>
      <c r="C9" s="15" t="inlineStr">
        <is>
          <t>V5.2.5</t>
        </is>
      </c>
      <c r="D9" s="16" t="inlineStr">
        <is>
          <t>Verify that the application does not allow uploading compressed files containing symlinks unless this is specifically required (in which case it will be necessary to enforce an allowlist of the files that can be symlinked to).</t>
        </is>
      </c>
      <c r="E9" s="23" t="n">
        <v>3</v>
      </c>
      <c r="F9" s="18" t="inlineStr">
        <is>
          <t>Not Applicable</t>
        </is>
      </c>
      <c r="G9" s="16" t="inlineStr">
        <is>
          <t>No compressed file uploads are accepted. Symlink exploitation via zip files is not applicable in the current scope.</t>
        </is>
      </c>
      <c r="H9" s="16" t="n"/>
    </row>
    <row r="10" ht="30" customHeight="1" s="33">
      <c r="A10" s="19" t="inlineStr">
        <is>
          <t>V5.2</t>
        </is>
      </c>
      <c r="B10" s="19" t="inlineStr">
        <is>
          <t>File Upload and Content</t>
        </is>
      </c>
      <c r="C10" s="20" t="inlineStr">
        <is>
          <t>V5.2.6</t>
        </is>
      </c>
      <c r="D10" s="21" t="inlineStr">
        <is>
          <t>Verify that the application rejects uploaded images with a pixel size larger than the maximum allowed, to prevent pixel flood attacks.</t>
        </is>
      </c>
      <c r="E10" s="23" t="n">
        <v>3</v>
      </c>
      <c r="F10" s="18" t="inlineStr">
        <is>
          <t>Not Applicable</t>
        </is>
      </c>
      <c r="G10" s="21" t="n"/>
      <c r="H10" s="21" t="n"/>
    </row>
    <row r="11" ht="18" customHeight="1" s="33">
      <c r="A11" s="13" t="inlineStr">
        <is>
          <t>V5.3</t>
        </is>
      </c>
      <c r="B11" s="13" t="inlineStr">
        <is>
          <t>File Storage</t>
        </is>
      </c>
      <c r="C11" s="13" t="n"/>
      <c r="D11" s="13" t="n"/>
      <c r="E11" s="13" t="n"/>
      <c r="F11" s="13" t="n"/>
      <c r="G11" s="13" t="n"/>
      <c r="H11" s="13" t="n"/>
    </row>
    <row r="12" ht="30" customHeight="1" s="33">
      <c r="A12" s="14" t="inlineStr">
        <is>
          <t>V5.3</t>
        </is>
      </c>
      <c r="B12" s="14" t="inlineStr">
        <is>
          <t>File Storage</t>
        </is>
      </c>
      <c r="C12" s="15" t="inlineStr">
        <is>
          <t>V5.3.1</t>
        </is>
      </c>
      <c r="D12" s="16" t="inlineStr">
        <is>
          <t>Verify that files uploaded or generated by untrusted input and stored in a public folder, are not executed as server-side program code when accessed directly with an HTTP request.</t>
        </is>
      </c>
      <c r="E12" s="22" t="n">
        <v>1</v>
      </c>
      <c r="F12" s="18" t="inlineStr">
        <is>
          <t>Compliant</t>
        </is>
      </c>
      <c r="G12" s="16" t="inlineStr">
        <is>
          <t>Uploaded files are storage in a File Storage outside web-accessible directories. File access is performed through authenticated API endpoints and returned as a stream of binaries.</t>
        </is>
      </c>
      <c r="H12" s="16" t="inlineStr">
        <is>
          <t>Api/src/main/java/…/controller/PublisherController.java; Api/src/main/java/…/service/FileStorageService.java</t>
        </is>
      </c>
    </row>
    <row r="13" ht="30" customHeight="1" s="33">
      <c r="A13" s="19" t="inlineStr">
        <is>
          <t>V5.3</t>
        </is>
      </c>
      <c r="B13" s="19" t="inlineStr">
        <is>
          <t>File Storage</t>
        </is>
      </c>
      <c r="C13" s="20" t="inlineStr">
        <is>
          <t>V5.3.2</t>
        </is>
      </c>
      <c r="D13" s="21" t="inlineStr">
        <is>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is>
      </c>
      <c r="E13" s="22" t="n">
        <v>1</v>
      </c>
      <c r="F13" s="18" t="inlineStr">
        <is>
          <t>Compliant</t>
        </is>
      </c>
      <c r="G13" s="21" t="inlineStr">
        <is>
          <t>Uploaded files paths are validated against traversal attempts, absolute paths abuse and allowed top level root.</t>
        </is>
      </c>
      <c r="H13" s="21" t="inlineStr">
        <is>
          <t>Api/src/main/java/…/Service/FileStorageService.java</t>
        </is>
      </c>
    </row>
    <row r="14" ht="60" customHeight="1" s="33">
      <c r="A14" s="14" t="inlineStr">
        <is>
          <t>V5.3</t>
        </is>
      </c>
      <c r="B14" s="14" t="inlineStr">
        <is>
          <t>File Storage</t>
        </is>
      </c>
      <c r="C14" s="15" t="inlineStr">
        <is>
          <t>V5.3.3</t>
        </is>
      </c>
      <c r="D14" s="16" t="inlineStr">
        <is>
          <t>Verify that server-side file processing, such as file decompression, ignores user-provided path information to prevent vulnerabilities such as zip slip.</t>
        </is>
      </c>
      <c r="E14" s="23" t="n">
        <v>3</v>
      </c>
      <c r="F14" s="18" t="inlineStr">
        <is>
          <t>Not Applicable</t>
        </is>
      </c>
      <c r="G14" s="16" t="inlineStr">
        <is>
          <t>No server-side file decompression is performed on user-uploaded files. Zip slip attacks are not applicable in the current scope.</t>
        </is>
      </c>
      <c r="H14" s="16" t="n"/>
    </row>
    <row r="15" ht="18" customHeight="1" s="33">
      <c r="A15" s="13" t="inlineStr">
        <is>
          <t>V5.4</t>
        </is>
      </c>
      <c r="B15" s="13" t="inlineStr">
        <is>
          <t>File Download</t>
        </is>
      </c>
      <c r="C15" s="13" t="n"/>
      <c r="D15" s="13" t="n"/>
      <c r="E15" s="13" t="n"/>
      <c r="F15" s="13" t="n"/>
      <c r="G15" s="13" t="n"/>
      <c r="H15" s="13" t="n"/>
    </row>
    <row r="16" ht="30" customHeight="1" s="33">
      <c r="A16" s="14" t="inlineStr">
        <is>
          <t>V5.4</t>
        </is>
      </c>
      <c r="B16" s="14" t="inlineStr">
        <is>
          <t>File Download</t>
        </is>
      </c>
      <c r="C16" s="15" t="inlineStr">
        <is>
          <t>V5.4.1</t>
        </is>
      </c>
      <c r="D16" s="16" t="inlineStr">
        <is>
          <t>Verify that the application validates or ignores user-submitted filenames, including in a JSON, JSONP, or URL parameter and specifies a filename in the Content-Disposition header field in the response.</t>
        </is>
      </c>
      <c r="E16" s="17" t="n">
        <v>2</v>
      </c>
      <c r="F16" s="18" t="inlineStr">
        <is>
          <t>Compliant</t>
        </is>
      </c>
      <c r="G16" s="16" t="inlineStr">
        <is>
          <t>ArcadeHaven does not trust user-submitted filenames. Uploaded files are stored with a safe filename generated with UUID.</t>
        </is>
      </c>
      <c r="H16" s="16" t="inlineStr">
        <is>
          <t>Api/src/main/java/.../Service/GameService.java; Api/src/main/java/…/Controller/PublisherController.java;</t>
        </is>
      </c>
    </row>
    <row r="17" ht="30" customHeight="1" s="33">
      <c r="A17" s="19" t="inlineStr">
        <is>
          <t>V5.4</t>
        </is>
      </c>
      <c r="B17" s="19" t="inlineStr">
        <is>
          <t>File Download</t>
        </is>
      </c>
      <c r="C17" s="20" t="inlineStr">
        <is>
          <t>V5.4.2</t>
        </is>
      </c>
      <c r="D17" s="21" t="inlineStr">
        <is>
          <t>Verify that file names served (e.g., in HTTP response header fields or email attachments) are encoded or sanitized (e.g., following RFC 6266) to preserve document structure and prevent injection attacks.</t>
        </is>
      </c>
      <c r="E17" s="17" t="n">
        <v>2</v>
      </c>
      <c r="F17" s="18" t="inlineStr">
        <is>
          <t>Compliant</t>
        </is>
      </c>
      <c r="G17" s="21" t="inlineStr">
        <is>
          <t>ArcadeHaven fetches files by their UUID and returns sanitized filename saved at time of creation.</t>
        </is>
      </c>
      <c r="H17" s="21" t="inlineStr">
        <is>
          <t>Api/src/main/java/…/Service/GameService.java;</t>
        </is>
      </c>
    </row>
    <row r="18" ht="30" customHeight="1" s="33">
      <c r="A18" s="14" t="inlineStr">
        <is>
          <t>V5.4</t>
        </is>
      </c>
      <c r="B18" s="14" t="inlineStr">
        <is>
          <t>File Download</t>
        </is>
      </c>
      <c r="C18" s="15" t="inlineStr">
        <is>
          <t>V5.4.3</t>
        </is>
      </c>
      <c r="D18" s="16" t="inlineStr">
        <is>
          <t>Verify that files obtained from untrusted sources are scanned by antivirus scanners to prevent serving of known malicious content.</t>
        </is>
      </c>
      <c r="E18" s="17" t="n">
        <v>2</v>
      </c>
      <c r="F18" s="18" t="inlineStr">
        <is>
          <t>Compliant</t>
        </is>
      </c>
      <c r="G18" s="16" t="inlineStr">
        <is>
          <t>ArcadeHaven scans for known malware using ClamAV antivirus before processing a file.</t>
        </is>
      </c>
      <c r="H18" s="16" t="inlineStr">
        <is>
          <t>Api/src/main/java/…/Service/ClamAVService.java; Api/src/main/java/…/GameService.java</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7.xml><?xml version="1.0" encoding="utf-8"?>
<worksheet xmlns="http://schemas.openxmlformats.org/spreadsheetml/2006/main">
  <sheetPr>
    <outlinePr summaryBelow="1" summaryRight="1"/>
    <pageSetUpPr/>
  </sheetPr>
  <dimension ref="A1:H56"/>
  <sheetViews>
    <sheetView zoomScale="70" zoomScaleNormal="70" workbookViewId="0">
      <pane ySplit="1" topLeftCell="A50" activePane="bottomLeft" state="frozen"/>
      <selection pane="bottomLeft" activeCell="L4" sqref="L4"/>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V6.1</t>
        </is>
      </c>
      <c r="B2" s="13" t="inlineStr">
        <is>
          <t>Authentication Documentation</t>
        </is>
      </c>
      <c r="C2" s="13" t="n"/>
      <c r="D2" s="13" t="n"/>
      <c r="E2" s="13" t="n"/>
      <c r="F2" s="13" t="n"/>
      <c r="G2" s="13" t="n"/>
      <c r="H2" s="13" t="n"/>
    </row>
    <row r="3" ht="90" customHeight="1" s="33">
      <c r="A3" s="14" t="inlineStr">
        <is>
          <t>V6.1</t>
        </is>
      </c>
      <c r="B3" s="14" t="inlineStr">
        <is>
          <t>Authentication Documentation</t>
        </is>
      </c>
      <c r="C3" s="15" t="inlineStr">
        <is>
          <t>V6.1.1</t>
        </is>
      </c>
      <c r="D3" s="16" t="inlineStr">
        <is>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is>
      </c>
      <c r="E3" s="22" t="n">
        <v>1</v>
      </c>
      <c r="F3" s="18" t="inlineStr">
        <is>
          <t>Compliant</t>
        </is>
      </c>
      <c r="G3" s="16" t="inlineStr">
        <is>
          <t>Rate limiting: RateLimitFilter applies Bucket4j token-bucket (20 req/min per IP) to all endpoints. No account lockout - only throttling - preventing malicious account lockout while defending against brute force. Threshold alerting: SecurityAuditService.checkAndAlert() fires SECURITY_ALERT when any IP exceeds 10 security events/60s. HIBP, context blocklist, and common-password checks are documented and enforced in PasswordPolicyService.</t>
        </is>
      </c>
      <c r="H3" s="16" t="inlineStr">
        <is>
          <t>Api/src/main/java/isep/desosfs/arcadehaven/Security/RateLimitFilter.java (Bucket4j 20 req/min); Security/SecurityAuditService.java (checkAndAlert); Service/PasswordPolicyService.java</t>
        </is>
      </c>
    </row>
    <row r="4" ht="75" customHeight="1" s="33">
      <c r="A4" s="19" t="inlineStr">
        <is>
          <t>V6.1</t>
        </is>
      </c>
      <c r="B4" s="19" t="inlineStr">
        <is>
          <t>Authentication Documentation</t>
        </is>
      </c>
      <c r="C4" s="20" t="inlineStr">
        <is>
          <t>V6.1.2</t>
        </is>
      </c>
      <c r="D4" s="21" t="inlineStr">
        <is>
          <t>Verify that a list of context-specific words is documented in order to prevent their use in passwords. The list could include permutations of organization names, product names, system identifiers, project codenames, department or role names, and similar.</t>
        </is>
      </c>
      <c r="E4" s="17" t="n">
        <v>2</v>
      </c>
      <c r="F4" s="18" t="inlineStr">
        <is>
          <t>Compliant</t>
        </is>
      </c>
      <c r="G4" s="21" t="inlineStr">
        <is>
          <t>Context-specific blocklist documented and enforced in PasswordPolicyService.CONTEXT_BLOCKLIST (21+ terms: arcadehaven, arcade, haven, pixelvault, pixel, vault, gaming, gamer, games, game, admin, password, letmein, welcome, qwerty, monkey, dragon, master, superman, batman, trustno, iloveyou, sunshine). Case-insensitive substring match applied at registration and password change.</t>
        </is>
      </c>
      <c r="H4" s="21" t="inlineStr">
        <is>
          <t>Api/src/main/java/isep/desosfs/arcadehaven/Service/PasswordPolicyService.java:CONTEXT_BLOCKLIST, checkContextTerms()</t>
        </is>
      </c>
    </row>
    <row r="5" ht="120" customHeight="1" s="33">
      <c r="A5" s="14" t="inlineStr">
        <is>
          <t>V6.1</t>
        </is>
      </c>
      <c r="B5" s="14" t="inlineStr">
        <is>
          <t>Authentication Documentation</t>
        </is>
      </c>
      <c r="C5" s="15" t="inlineStr">
        <is>
          <t>V6.1.3</t>
        </is>
      </c>
      <c r="D5" s="16" t="inlineStr">
        <is>
          <t>Verify that, if the application includes multiple authentication pathways, these are all documented together with the security controls and authentication strength which must be consistently enforced across them.</t>
        </is>
      </c>
      <c r="E5" s="17" t="n">
        <v>2</v>
      </c>
      <c r="F5" s="18" t="inlineStr">
        <is>
          <t>Compliant</t>
        </is>
      </c>
      <c r="G5" s="16" t="inlineStr">
        <is>
          <t>Single authentication pathway: POST /api/auth/login (username+password -&gt; Keycloak ROPC -&gt; JWT). All subsequent requests authenticate via JWT (Spring Security OAuth2 Resource Server). Logout (POST /api/auth/logout) revokes all Keycloak sessions. Registration (POST /api/auth/register) creates user in Keycloak and assigns role. SecurityConfig enforces JWT on all endpoints except login/register. No undocumented or backdoor pathways exist.</t>
        </is>
      </c>
      <c r="H5" s="16" t="inlineStr">
        <is>
          <t>Api/src/main/java/isep/desosfs/arcadehaven/Service/AuthService.java (login, register, logout); Security/SecurityConfig.java (JWT validation, deny-all default)</t>
        </is>
      </c>
    </row>
    <row r="6" ht="18" customHeight="1" s="33">
      <c r="A6" s="13" t="inlineStr">
        <is>
          <t>V6.2</t>
        </is>
      </c>
      <c r="B6" s="13" t="inlineStr">
        <is>
          <t>Password Security</t>
        </is>
      </c>
      <c r="C6" s="13" t="n"/>
      <c r="D6" s="13" t="n"/>
      <c r="E6" s="13" t="n"/>
      <c r="F6" s="13" t="n"/>
      <c r="G6" s="13" t="n"/>
      <c r="H6" s="13" t="n"/>
    </row>
    <row r="7" ht="60" customHeight="1" s="33">
      <c r="A7" s="14" t="inlineStr">
        <is>
          <t>V6.2</t>
        </is>
      </c>
      <c r="B7" s="14" t="inlineStr">
        <is>
          <t>Password Security</t>
        </is>
      </c>
      <c r="C7" s="15" t="inlineStr">
        <is>
          <t>V6.2.1</t>
        </is>
      </c>
      <c r="D7" s="16" t="inlineStr">
        <is>
          <t>Verify that user set passwords are at least 8 characters in length although a minimum of 15 characters is strongly recommended.</t>
        </is>
      </c>
      <c r="E7" s="22" t="n">
        <v>1</v>
      </c>
      <c r="F7" s="18" t="inlineStr">
        <is>
          <t>Compliant</t>
        </is>
      </c>
      <c r="G7" s="16" t="inlineStr">
        <is>
          <t>RegisterRequest enforces @Size(min=12, max=128) on password, exceeding the ASVS minimum of 8 characters. Validated server-side by Bean Validation. Same constraint enforced at Keycloak realm level.</t>
        </is>
      </c>
      <c r="H7" s="16" t="inlineStr">
        <is>
          <t>Api/src/main/java/isep/desosfs/arcadehaven/Dto/Request/RegisterRequest.java (@Size(min=12, max=128))</t>
        </is>
      </c>
    </row>
    <row r="8" ht="60" customHeight="1" s="33">
      <c r="A8" s="19" t="inlineStr">
        <is>
          <t>V6.2</t>
        </is>
      </c>
      <c r="B8" s="19" t="inlineStr">
        <is>
          <t>Password Security</t>
        </is>
      </c>
      <c r="C8" s="20" t="inlineStr">
        <is>
          <t>V6.2.2</t>
        </is>
      </c>
      <c r="D8" s="21" t="inlineStr">
        <is>
          <t>Verify that users can change their password.</t>
        </is>
      </c>
      <c r="E8" s="22" t="n">
        <v>1</v>
      </c>
      <c r="F8" s="18" t="inlineStr">
        <is>
          <t>Compliant</t>
        </is>
      </c>
      <c r="G8" s="21" t="inlineStr">
        <is>
          <t>PATCH /api/profile/password endpoint implemented in ProfileController, delegating to ProfileService.changePassword(). Requires JWT authentication. Accepts ChangePasswordRequest (currentPassword, newPassword). Verifies current password against Keycloak before applying change. Enforces full password policy on new password.</t>
        </is>
      </c>
      <c r="H8" s="21" t="inlineStr">
        <is>
          <t>Api/src/main/java/isep/desosfs/arcadehaven/Controller/ProfileController.java:changePassword(); Service/ProfileService.java:changePassword(); Dto/Request/ChangePasswordRequest.java</t>
        </is>
      </c>
    </row>
    <row r="9" ht="60" customHeight="1" s="33">
      <c r="A9" s="14" t="inlineStr">
        <is>
          <t>V6.2</t>
        </is>
      </c>
      <c r="B9" s="14" t="inlineStr">
        <is>
          <t>Password Security</t>
        </is>
      </c>
      <c r="C9" s="15" t="inlineStr">
        <is>
          <t>V6.2.3</t>
        </is>
      </c>
      <c r="D9" s="16" t="inlineStr">
        <is>
          <t>Verify that password change functionality requires the user's current and new password.</t>
        </is>
      </c>
      <c r="E9" s="22" t="n">
        <v>1</v>
      </c>
      <c r="F9" s="18" t="inlineStr">
        <is>
          <t>Compliant</t>
        </is>
      </c>
      <c r="G9" s="16" t="inlineStr">
        <is>
          <t>ProfileService.changePassword() calls verifyCurrentPassword() which performs a Keycloak ROPC token request with the supplied current password. If Keycloak returns 4xx, BusinessException("Current password is incorrect") is thrown and the change is rejected. Only after successful verification is the new password set via Keycloak admin API (resetPassword).</t>
        </is>
      </c>
      <c r="H9" s="16" t="inlineStr">
        <is>
          <t>Api/src/main/java/isep/desosfs/arcadehaven/Service/ProfileService.java:verifyCurrentPassword(), changePassword()</t>
        </is>
      </c>
    </row>
    <row r="10" ht="105" customHeight="1" s="33">
      <c r="A10" s="19" t="inlineStr">
        <is>
          <t>V6.2</t>
        </is>
      </c>
      <c r="B10" s="19" t="inlineStr">
        <is>
          <t>Password Security</t>
        </is>
      </c>
      <c r="C10" s="20" t="inlineStr">
        <is>
          <t>V6.2.4</t>
        </is>
      </c>
      <c r="D10" s="21" t="inlineStr">
        <is>
          <t>Verify that passwords submitted during account registration or password change are checked against an available set of, at least, the top 3000 passwords which match the application's password policy, e.g. minimum length.</t>
        </is>
      </c>
      <c r="E10" s="22" t="n">
        <v>1</v>
      </c>
      <c r="F10" s="18" t="inlineStr">
        <is>
          <t>Compliant</t>
        </is>
      </c>
      <c r="G10" s="21" t="inlineStr">
        <is>
          <t>PasswordPolicyService.checkCommonPasswords() checks submitted passwords against top-3000+ common passwords loaded from /security/common-passwords.txt (case-insensitive). Called at registration and password change.</t>
        </is>
      </c>
      <c r="H10" s="21" t="inlineStr">
        <is>
          <t>Api/src/main/java/isep/desosfs/arcadehaven/Service/PasswordPolicyService.java:checkCommonPasswords(); src/main/resources/security/common-passwords.txt</t>
        </is>
      </c>
    </row>
    <row r="11" ht="90" customHeight="1" s="33">
      <c r="A11" s="14" t="inlineStr">
        <is>
          <t>V6.2</t>
        </is>
      </c>
      <c r="B11" s="14" t="inlineStr">
        <is>
          <t>Password Security</t>
        </is>
      </c>
      <c r="C11" s="15" t="inlineStr">
        <is>
          <t>V6.2.5</t>
        </is>
      </c>
      <c r="D11" s="16" t="inlineStr">
        <is>
          <t>Verify that passwords of any composition can be used, without rules limiting the type of characters permitted. There must be no requirement for a minimum number of upper or lower case characters, numbers, or special characters.</t>
        </is>
      </c>
      <c r="E11" s="22" t="n">
        <v>1</v>
      </c>
      <c r="F11" s="18" t="inlineStr">
        <is>
          <t>Compliant</t>
        </is>
      </c>
      <c r="G11" s="16" t="inlineStr">
        <is>
          <t>PasswordPolicyService.validate() enforces only: minimum length, context blocklist, common password list, and HIBP breach check. No composition rules - no uppercase/lowercase/digit/special character requirements. Any Unicode character combination accepted. RegisterRequest and ChangePasswordRequest use @Size only.</t>
        </is>
      </c>
      <c r="H11" s="16" t="inlineStr">
        <is>
          <t>Api/src/main/java/isep/desosfs/arcadehaven/Service/PasswordPolicyService.java (no composition checks); Dto/Request/RegisterRequest.java (@Size only)</t>
        </is>
      </c>
    </row>
    <row r="12" ht="60" customHeight="1" s="33">
      <c r="A12" s="19" t="inlineStr">
        <is>
          <t>V6.2</t>
        </is>
      </c>
      <c r="B12" s="19" t="inlineStr">
        <is>
          <t>Password Security</t>
        </is>
      </c>
      <c r="C12" s="20" t="inlineStr">
        <is>
          <t>V6.2.6</t>
        </is>
      </c>
      <c r="D12" s="21" t="inlineStr">
        <is>
          <t>Verify that password input fields use type=password to mask the entry. Applications may allow the user to temporarily view the entire masked password, or the last typed character of the password.</t>
        </is>
      </c>
      <c r="E12" s="22" t="n">
        <v>1</v>
      </c>
      <c r="F12" s="18" t="inlineStr">
        <is>
          <t>Not Applicable</t>
        </is>
      </c>
      <c r="G12" s="21" t="inlineStr">
        <is>
          <t>ArcadeHaven is a REST API with no front-end. Password masking is a client-side concern and falls outside the project scope.</t>
        </is>
      </c>
      <c r="H12" s="21" t="n"/>
    </row>
    <row r="13" ht="60" customHeight="1" s="33">
      <c r="A13" s="14" t="inlineStr">
        <is>
          <t>V6.2</t>
        </is>
      </c>
      <c r="B13" s="14" t="inlineStr">
        <is>
          <t>Password Security</t>
        </is>
      </c>
      <c r="C13" s="15" t="inlineStr">
        <is>
          <t>V6.2.7</t>
        </is>
      </c>
      <c r="D13" s="16" t="inlineStr">
        <is>
          <t>Verify that "paste" functionality, browser password helpers, and external password managers are permitted.</t>
        </is>
      </c>
      <c r="E13" s="22" t="n">
        <v>1</v>
      </c>
      <c r="F13" s="18" t="inlineStr">
        <is>
          <t>Not Applicable</t>
        </is>
      </c>
      <c r="G13" s="16" t="inlineStr">
        <is>
          <t>ArcadeHaven is a REST API with no front-end. Paste functionality and password manager compatibility are client-side concerns outside the project scope.</t>
        </is>
      </c>
      <c r="H13" s="16" t="n"/>
    </row>
    <row r="14" ht="75" customHeight="1" s="33">
      <c r="A14" s="19" t="inlineStr">
        <is>
          <t>V6.2</t>
        </is>
      </c>
      <c r="B14" s="19" t="inlineStr">
        <is>
          <t>Password Security</t>
        </is>
      </c>
      <c r="C14" s="20" t="inlineStr">
        <is>
          <t>V6.2.8</t>
        </is>
      </c>
      <c r="D14" s="21" t="inlineStr">
        <is>
          <t>Verify that the application verifies the user's password exactly as received from the user, without any modifications such as truncation or case transformation.</t>
        </is>
      </c>
      <c r="E14" s="22" t="n">
        <v>1</v>
      </c>
      <c r="F14" s="18" t="inlineStr">
        <is>
          <t>Compliant</t>
        </is>
      </c>
      <c r="G14" s="21" t="inlineStr">
        <is>
          <t>The application must verify passwords exactly as received. No truncation, trimming, or transformation of any kind shall be applied to passwords before hashing or comparison.</t>
        </is>
      </c>
      <c r="H14" s="21" t="inlineStr">
        <is>
          <t>Api/src/main/.../Service/AuthService.java</t>
        </is>
      </c>
    </row>
    <row r="15" ht="60" customHeight="1" s="33">
      <c r="A15" s="14" t="inlineStr">
        <is>
          <t>V6.2</t>
        </is>
      </c>
      <c r="B15" s="14" t="inlineStr">
        <is>
          <t>Password Security</t>
        </is>
      </c>
      <c r="C15" s="15" t="inlineStr">
        <is>
          <t>V6.2.9</t>
        </is>
      </c>
      <c r="D15" s="16" t="inlineStr">
        <is>
          <t>Verify that passwords of at least 64 characters are permitted.</t>
        </is>
      </c>
      <c r="E15" s="17" t="n">
        <v>2</v>
      </c>
      <c r="F15" s="18" t="inlineStr">
        <is>
          <t>Compliant</t>
        </is>
      </c>
      <c r="G15" s="16" t="inlineStr">
        <is>
          <t>RegisterRequest and ChangePasswordRequest both enforce @Size(min=12, max=128). The 128-character maximum exceeds the 64-character minimum. Keycloak realm policy configured consistently.</t>
        </is>
      </c>
      <c r="H15" s="16" t="inlineStr">
        <is>
          <t>Api/src/main/java/isep/desosfs/arcadehaven/Dto/Request/RegisterRequest.java (@Size(max=128)); Dto/Request/ChangePasswordRequest.java (@Size(max=128))</t>
        </is>
      </c>
    </row>
    <row r="16" ht="60" customHeight="1" s="33">
      <c r="A16" s="19" t="inlineStr">
        <is>
          <t>V6.2</t>
        </is>
      </c>
      <c r="B16" s="19" t="inlineStr">
        <is>
          <t>Password Security</t>
        </is>
      </c>
      <c r="C16" s="20" t="inlineStr">
        <is>
          <t>V6.2.10</t>
        </is>
      </c>
      <c r="D16" s="21" t="inlineStr">
        <is>
          <t>Verify that a user's password stays valid until it is discovered to be compromised or the user rotates it. The application must not require periodic credential rotation.</t>
        </is>
      </c>
      <c r="E16" s="17" t="n">
        <v>2</v>
      </c>
      <c r="F16" s="18" t="inlineStr">
        <is>
          <t>Compliant</t>
        </is>
      </c>
      <c r="G16" s="21" t="inlineStr">
        <is>
          <t>No periodic password expiration enforced. Keycloak realm has no force-expired-password-change policy. Passwords remain valid until voluntarily changed by the user or a breach is detected (HIBP).</t>
        </is>
      </c>
      <c r="H16" s="21" t="inlineStr">
        <is>
          <t>Keycloak realm: no password expiry policy; Api/src/main/java/isep/desosfs/arcadehaven/Service/AuthService.java (no expiry enforcement)</t>
        </is>
      </c>
    </row>
    <row r="17" ht="90" customHeight="1" s="33">
      <c r="A17" s="14" t="inlineStr">
        <is>
          <t>V6.2</t>
        </is>
      </c>
      <c r="B17" s="14" t="inlineStr">
        <is>
          <t>Password Security</t>
        </is>
      </c>
      <c r="C17" s="15" t="inlineStr">
        <is>
          <t>V6.2.11</t>
        </is>
      </c>
      <c r="D17" s="16" t="inlineStr">
        <is>
          <t>Verify that the documented list of context specific words is used to prevent easy to guess passwords being created.</t>
        </is>
      </c>
      <c r="E17" s="17" t="n">
        <v>2</v>
      </c>
      <c r="F17" s="18" t="inlineStr">
        <is>
          <t>Compliant</t>
        </is>
      </c>
      <c r="G17" s="16" t="inlineStr">
        <is>
          <t>PasswordPolicyService.checkContextTerms() performs case-insensitive substring search against CONTEXT_BLOCKLIST at registration (AuthService.register()) and password change (ProfileService.changePassword()). Rejection message is generic and does not disclose the matched term.</t>
        </is>
      </c>
      <c r="H17" s="16" t="inlineStr">
        <is>
          <t>Api/src/main/java/isep/desosfs/arcadehaven/Service/PasswordPolicyService.java:checkContextTerms()</t>
        </is>
      </c>
    </row>
    <row r="18" ht="105" customHeight="1" s="33">
      <c r="A18" s="19" t="inlineStr">
        <is>
          <t>V6.2</t>
        </is>
      </c>
      <c r="B18" s="19" t="inlineStr">
        <is>
          <t>Password Security</t>
        </is>
      </c>
      <c r="C18" s="20" t="inlineStr">
        <is>
          <t>V6.2.12</t>
        </is>
      </c>
      <c r="D18" s="21" t="inlineStr">
        <is>
          <t>Verify that passwords submitted during account registration or password changes are checked against a set of breached passwords.</t>
        </is>
      </c>
      <c r="E18" s="17" t="n">
        <v>2</v>
      </c>
      <c r="F18" s="18" t="inlineStr">
        <is>
          <t>Compliant</t>
        </is>
      </c>
      <c r="G18" s="21" t="inlineStr">
        <is>
          <t>PasswordPolicyService.checkHibp() computes SHA-1, sends 5-char prefix to HaveIBeenPwned k-anonymity API, checks if suffix appears in response. Full hash never transmitted. Applied at registration and password change. Configurable via security.hibp.enabled=false for offline environments.</t>
        </is>
      </c>
      <c r="H18" s="21" t="inlineStr">
        <is>
          <t>Api/src/main/java/isep/desosfs/arcadehaven/Service/PasswordPolicyService.java:checkHibp()</t>
        </is>
      </c>
    </row>
    <row r="19" ht="18" customHeight="1" s="33">
      <c r="A19" s="13" t="inlineStr">
        <is>
          <t>V6.3</t>
        </is>
      </c>
      <c r="B19" s="13" t="inlineStr">
        <is>
          <t>General Authentication Security</t>
        </is>
      </c>
      <c r="C19" s="13" t="n"/>
      <c r="D19" s="13" t="n"/>
      <c r="E19" s="13" t="n"/>
      <c r="F19" s="13" t="n"/>
      <c r="G19" s="13" t="n"/>
      <c r="H19" s="13" t="n"/>
    </row>
    <row r="20" ht="75" customHeight="1" s="33">
      <c r="A20" s="14" t="inlineStr">
        <is>
          <t>V6.3</t>
        </is>
      </c>
      <c r="B20" s="14" t="inlineStr">
        <is>
          <t>General Authentication Security</t>
        </is>
      </c>
      <c r="C20" s="15" t="inlineStr">
        <is>
          <t>V6.3.1</t>
        </is>
      </c>
      <c r="D20" s="16" t="inlineStr">
        <is>
          <t>Verify that controls to prevent attacks such as credential stuffing and password brute force are implemented according to the application's security documentation.</t>
        </is>
      </c>
      <c r="E20" s="22" t="n">
        <v>1</v>
      </c>
      <c r="F20" s="18" t="inlineStr">
        <is>
          <t>Compliant</t>
        </is>
      </c>
      <c r="G20" s="16" t="inlineStr">
        <is>
          <t>The application must implement rate limiting on authentication endpoints and enforce temporary account lockout after a configurable number of consecutive failed login attempts.</t>
        </is>
      </c>
      <c r="H20" s="16" t="inlineStr">
        <is>
          <t>Api/src/main/.../Security/RateLimitFilter.java (Bucket4j, 20 req/min per IP)</t>
        </is>
      </c>
    </row>
    <row r="21" ht="105" customHeight="1" s="33">
      <c r="A21" s="19" t="inlineStr">
        <is>
          <t>V6.3</t>
        </is>
      </c>
      <c r="B21" s="19" t="inlineStr">
        <is>
          <t>General Authentication Security</t>
        </is>
      </c>
      <c r="C21" s="20" t="inlineStr">
        <is>
          <t>V6.3.2</t>
        </is>
      </c>
      <c r="D21" s="21" t="inlineStr">
        <is>
          <t>Verify that default user accounts (e.g., "root", "admin", or "sa") are not present in the application or are disabled.</t>
        </is>
      </c>
      <c r="E21" s="22" t="n">
        <v>1</v>
      </c>
      <c r="F21" s="18" t="inlineStr">
        <is>
          <t>Compliant</t>
        </is>
      </c>
      <c r="G21" s="21" t="inlineStr">
        <is>
          <t>The application must not include any default or well-known user accounts. Any seed accounts required for initial setup must use randomly generated credentials injected via environment variables and must be documented in the operations guide.</t>
        </is>
      </c>
      <c r="H21" s="21" t="inlineStr">
        <is>
          <t>Api/src/main/.../Config/AdminInitializer.java (env vars ADMIN_USERNAME/ADMIN_PASSWORD)</t>
        </is>
      </c>
    </row>
    <row r="22" ht="165" customHeight="1" s="33">
      <c r="A22" s="14" t="inlineStr">
        <is>
          <t>V6.3</t>
        </is>
      </c>
      <c r="B22" s="14" t="inlineStr">
        <is>
          <t>General Authentication Security</t>
        </is>
      </c>
      <c r="C22" s="15" t="inlineStr">
        <is>
          <t>V6.3.3</t>
        </is>
      </c>
      <c r="D22" s="16" t="inlineStr">
        <is>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is>
      </c>
      <c r="E22" s="17" t="n">
        <v>2</v>
      </c>
      <c r="F22" s="18" t="inlineStr">
        <is>
          <t>Compliant</t>
        </is>
      </c>
      <c r="G22" s="16" t="inlineStr">
        <is>
          <t>MFA delegated to Keycloak. Keycloak supports TOTP (RFC 6238, 6-digit, 30-second step) as second factor. MFA is mandatory for ADMIN accounts via Keycloak required action CONFIGURE_TOTP on admin users. BUYER and PUBLISHER can optionally enrol via Keycloak account console. The Spring Boot API validates the JWT issued by Keycloak after successful MFA completion.</t>
        </is>
      </c>
      <c r="H22" s="16" t="inlineStr">
        <is>
          <t>Keycloak realm: MFA / TOTP required action for ADMIN; Api/src/main/java/isep/desosfs/arcadehaven/Config/KeycloakAdminConfig.java</t>
        </is>
      </c>
    </row>
    <row r="23" ht="75" customHeight="1" s="33">
      <c r="A23" s="19" t="inlineStr">
        <is>
          <t>V6.3</t>
        </is>
      </c>
      <c r="B23" s="19" t="inlineStr">
        <is>
          <t>General Authentication Security</t>
        </is>
      </c>
      <c r="C23" s="20" t="inlineStr">
        <is>
          <t>V6.3.4</t>
        </is>
      </c>
      <c r="D23" s="21" t="inlineStr">
        <is>
          <t>Verify that, if the application includes multiple authentication pathways, there are no undocumented pathways and that security controls and authentication strength are enforced consistently.</t>
        </is>
      </c>
      <c r="E23" s="17" t="n">
        <v>2</v>
      </c>
      <c r="F23" s="18" t="inlineStr">
        <is>
          <t>Compliant</t>
        </is>
      </c>
      <c r="G23" s="21" t="inlineStr">
        <is>
          <t>ArcadeHaven has a single documented authentication pathway (V6.1.3). SecurityConfig applies JWT validation uniformly to all secured endpoints. No endpoint bypasses JWT except explicitly permitted /api/auth/login and /api/auth/register. No undocumented or test-only authentication bypasses exist.</t>
        </is>
      </c>
      <c r="H23" s="21" t="inlineStr">
        <is>
          <t>Api/src/main/java/isep/desosfs/arcadehaven/Security/SecurityConfig.java (uniform JWT, deny-all default)</t>
        </is>
      </c>
    </row>
    <row r="24" ht="30" customHeight="1" s="33">
      <c r="A24" s="14" t="inlineStr">
        <is>
          <t>V6.3</t>
        </is>
      </c>
      <c r="B24" s="14" t="inlineStr">
        <is>
          <t>General Authentication Security</t>
        </is>
      </c>
      <c r="C24" s="15" t="inlineStr">
        <is>
          <t>V6.3.5</t>
        </is>
      </c>
      <c r="D24" s="16" t="inlineStr">
        <is>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is>
      </c>
      <c r="E24" s="23" t="n">
        <v>3</v>
      </c>
      <c r="F24" s="18" t="inlineStr">
        <is>
          <t>Not Applicable</t>
        </is>
      </c>
      <c r="G24" s="16" t="n"/>
      <c r="H24" s="16" t="n"/>
    </row>
    <row r="25" ht="30" customHeight="1" s="33">
      <c r="A25" s="19" t="inlineStr">
        <is>
          <t>V6.3</t>
        </is>
      </c>
      <c r="B25" s="19" t="inlineStr">
        <is>
          <t>General Authentication Security</t>
        </is>
      </c>
      <c r="C25" s="20" t="inlineStr">
        <is>
          <t>V6.3.6</t>
        </is>
      </c>
      <c r="D25" s="21" t="inlineStr">
        <is>
          <t>Verify that email is not used as either a single-factor or multi-factor authentication mechanism.</t>
        </is>
      </c>
      <c r="E25" s="23" t="n">
        <v>3</v>
      </c>
      <c r="F25" s="18" t="inlineStr">
        <is>
          <t>Not Applicable</t>
        </is>
      </c>
      <c r="G25" s="21" t="n"/>
      <c r="H25" s="21" t="n"/>
    </row>
    <row r="26" ht="30" customHeight="1" s="33">
      <c r="A26" s="14" t="inlineStr">
        <is>
          <t>V6.3</t>
        </is>
      </c>
      <c r="B26" s="14" t="inlineStr">
        <is>
          <t>General Authentication Security</t>
        </is>
      </c>
      <c r="C26" s="15" t="inlineStr">
        <is>
          <t>V6.3.7</t>
        </is>
      </c>
      <c r="D26" s="16" t="inlineStr">
        <is>
          <t>Verify that users are notified after updates to authentication details, such as credential resets or modification of the username or email address.</t>
        </is>
      </c>
      <c r="E26" s="23" t="n">
        <v>3</v>
      </c>
      <c r="F26" s="18" t="inlineStr">
        <is>
          <t>Not Applicable</t>
        </is>
      </c>
      <c r="G26" s="16" t="n"/>
      <c r="H26" s="16" t="n"/>
    </row>
    <row r="27" ht="30" customHeight="1" s="33">
      <c r="A27" s="19" t="inlineStr">
        <is>
          <t>V6.3</t>
        </is>
      </c>
      <c r="B27" s="19" t="inlineStr">
        <is>
          <t>General Authentication Security</t>
        </is>
      </c>
      <c r="C27" s="20" t="inlineStr">
        <is>
          <t>V6.3.8</t>
        </is>
      </c>
      <c r="D27" s="21" t="inlineStr">
        <is>
          <t>Verify that valid users cannot be deduced from failed authentication challenges, such as by basing on error messages, HTTP response codes, or different response times. Registration and forgot password functionality must also have this protection.</t>
        </is>
      </c>
      <c r="E27" s="23" t="n">
        <v>3</v>
      </c>
      <c r="F27" s="18" t="inlineStr">
        <is>
          <t>Not Applicable</t>
        </is>
      </c>
      <c r="G27" s="21" t="n"/>
      <c r="H27" s="21" t="n"/>
    </row>
    <row r="28" ht="18" customHeight="1" s="33">
      <c r="A28" s="13" t="inlineStr">
        <is>
          <t>V6.4</t>
        </is>
      </c>
      <c r="B28" s="13" t="inlineStr">
        <is>
          <t>Authentication Factor Lifecycle and Recovery</t>
        </is>
      </c>
      <c r="C28" s="13" t="n"/>
      <c r="D28" s="13" t="n"/>
      <c r="E28" s="13" t="n"/>
      <c r="F28" s="13" t="n"/>
      <c r="G28" s="13" t="n"/>
      <c r="H28" s="13" t="n"/>
    </row>
    <row r="29" ht="90" customHeight="1" s="33">
      <c r="A29" s="14" t="inlineStr">
        <is>
          <t>V6.4</t>
        </is>
      </c>
      <c r="B29" s="14" t="inlineStr">
        <is>
          <t>Authentication Factor Lifecycle and Recovery</t>
        </is>
      </c>
      <c r="C29" s="15" t="inlineStr">
        <is>
          <t>V6.4.1</t>
        </is>
      </c>
      <c r="D29" s="16" t="inlineStr">
        <is>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is>
      </c>
      <c r="E29" s="22" t="n">
        <v>1</v>
      </c>
      <c r="F29" s="18" t="inlineStr">
        <is>
          <t>Compliant</t>
        </is>
      </c>
      <c r="G29" s="16" t="inlineStr">
        <is>
          <t>Game activation keys (system-generated secrets) use SecureRandom.nextBytes(16) (128-bit CSPRNG) encoded as 32-char hex. Activation keys are single-use: consumed on first redemption via OrderItem.redeem(). Initial admin password is provided via ADMIN_PASSWORD env var (not system-generated). No default passwords.</t>
        </is>
      </c>
      <c r="H29" s="16" t="inlineStr">
        <is>
          <t>Api/src/main/java/isep/desosfs/arcadehaven/Domain/OrderItem.java:generateActivationKey() (SecureRandom 128-bit); Config/AdminInitializer.java (ADMIN_PASSWORD env var)</t>
        </is>
      </c>
    </row>
    <row r="30" ht="90" customHeight="1" s="33">
      <c r="A30" s="19" t="inlineStr">
        <is>
          <t>V6.4</t>
        </is>
      </c>
      <c r="B30" s="19" t="inlineStr">
        <is>
          <t>Authentication Factor Lifecycle and Recovery</t>
        </is>
      </c>
      <c r="C30" s="20" t="inlineStr">
        <is>
          <t>V6.4.2</t>
        </is>
      </c>
      <c r="D30" s="21" t="inlineStr">
        <is>
          <t>Verify that password hints or knowledge-based authentication (so-called "secret questions") are not present.</t>
        </is>
      </c>
      <c r="E30" s="22" t="n">
        <v>1</v>
      </c>
      <c r="F30" s="18" t="inlineStr">
        <is>
          <t>Compliant</t>
        </is>
      </c>
      <c r="G30" s="21" t="inlineStr">
        <is>
          <t>The application must not implement password hints or knowledge-based authentication (secret questions). Password recovery must use secure, time-limited tokens delivered to the user's registered email address.</t>
        </is>
      </c>
      <c r="H30" s="21" t="inlineStr">
        <is>
          <t>Api/src/main/.../Dto/Request/RegisterRequest.java (no secret-question field)</t>
        </is>
      </c>
    </row>
    <row r="31" ht="90" customHeight="1" s="33">
      <c r="A31" s="14" t="inlineStr">
        <is>
          <t>V6.4</t>
        </is>
      </c>
      <c r="B31" s="14" t="inlineStr">
        <is>
          <t>Authentication Factor Lifecycle and Recovery</t>
        </is>
      </c>
      <c r="C31" s="15" t="inlineStr">
        <is>
          <t>V6.4.3</t>
        </is>
      </c>
      <c r="D31" s="16" t="inlineStr">
        <is>
          <t>Verify that a secure process for resetting a forgotten password is implemented, that does not bypass any enabled multi-factor authentication mechanisms.</t>
        </is>
      </c>
      <c r="E31" s="17" t="n">
        <v>2</v>
      </c>
      <c r="F31" s="18" t="inlineStr">
        <is>
          <t>Compliant</t>
        </is>
      </c>
      <c r="G31" s="16" t="inlineStr">
        <is>
          <t>Password reset handled entirely by Keycloak: sends time-limited (5 min), single-use secure email link. Reset link invalidated immediately after use. Does not bypass MFA. No custom reset flow in Spring Boot.</t>
        </is>
      </c>
      <c r="H31" s="16" t="inlineStr">
        <is>
          <t>Keycloak realm: forgot-password flow (5-min single-use token via secure email)</t>
        </is>
      </c>
    </row>
    <row r="32" ht="60" customHeight="1" s="33">
      <c r="A32" s="19" t="inlineStr">
        <is>
          <t>V6.4</t>
        </is>
      </c>
      <c r="B32" s="19" t="inlineStr">
        <is>
          <t>Authentication Factor Lifecycle and Recovery</t>
        </is>
      </c>
      <c r="C32" s="20" t="inlineStr">
        <is>
          <t>V6.4.4</t>
        </is>
      </c>
      <c r="D32" s="21" t="inlineStr">
        <is>
          <t>Verify that if a multi-factor authentication factor is lost, evidence of identity proofing is performed at the same level as during enrollment.</t>
        </is>
      </c>
      <c r="E32" s="17" t="n">
        <v>2</v>
      </c>
      <c r="F32" s="18" t="inlineStr">
        <is>
          <t>Compliant</t>
        </is>
      </c>
      <c r="G32" s="21" t="inlineStr">
        <is>
          <t>MFA factor recovery handled by Keycloak Admin Console: admin removes TOTP credential and sets CONFIGURE_TOTP as required action, forcing re-enrolment at same assurance level as original enrolment. No self-service MFA recovery bypass in the application.</t>
        </is>
      </c>
      <c r="H32" s="21" t="inlineStr">
        <is>
          <t>Keycloak Admin Console: Users -&gt; Credentials -&gt; remove OTP -&gt; required action CONFIGURE_TOTP</t>
        </is>
      </c>
    </row>
    <row r="33" ht="30" customHeight="1" s="33">
      <c r="A33" s="14" t="inlineStr">
        <is>
          <t>V6.4</t>
        </is>
      </c>
      <c r="B33" s="14" t="inlineStr">
        <is>
          <t>Authentication Factor Lifecycle and Recovery</t>
        </is>
      </c>
      <c r="C33" s="15" t="inlineStr">
        <is>
          <t>V6.4.5</t>
        </is>
      </c>
      <c r="D33" s="16" t="inlineStr">
        <is>
          <t>Verify that renewal instructions for authentication mechanisms which expire are sent with enough time to be carried out before the old authentication mechanism expires, configuring automated reminders if necessary.</t>
        </is>
      </c>
      <c r="E33" s="23" t="n">
        <v>3</v>
      </c>
      <c r="F33" s="18" t="inlineStr">
        <is>
          <t>Not Applicable</t>
        </is>
      </c>
      <c r="G33" s="16" t="n"/>
      <c r="H33" s="16" t="n"/>
    </row>
    <row r="34" ht="30" customHeight="1" s="33">
      <c r="A34" s="19" t="inlineStr">
        <is>
          <t>V6.4</t>
        </is>
      </c>
      <c r="B34" s="19" t="inlineStr">
        <is>
          <t>Authentication Factor Lifecycle and Recovery</t>
        </is>
      </c>
      <c r="C34" s="20" t="inlineStr">
        <is>
          <t>V6.4.6</t>
        </is>
      </c>
      <c r="D34" s="21" t="inlineStr">
        <is>
          <t>Verify that administrative users can initiate the password reset process for the user, but that this does not allow them to change or choose the user's password. This prevents a situation where they know the user's password.</t>
        </is>
      </c>
      <c r="E34" s="23" t="n">
        <v>3</v>
      </c>
      <c r="F34" s="18" t="inlineStr">
        <is>
          <t>Not Applicable</t>
        </is>
      </c>
      <c r="G34" s="21" t="n"/>
      <c r="H34" s="21" t="n"/>
    </row>
    <row r="35" ht="18" customHeight="1" s="33">
      <c r="A35" s="13" t="inlineStr">
        <is>
          <t>V6.5</t>
        </is>
      </c>
      <c r="B35" s="13" t="inlineStr">
        <is>
          <t>General Multi-factor authentication requirements</t>
        </is>
      </c>
      <c r="C35" s="13" t="n"/>
      <c r="D35" s="13" t="n"/>
      <c r="E35" s="13" t="n"/>
      <c r="F35" s="13" t="n"/>
      <c r="G35" s="13" t="n"/>
      <c r="H35" s="13" t="n"/>
    </row>
    <row r="36" ht="75" customHeight="1" s="33">
      <c r="A36" s="14" t="inlineStr">
        <is>
          <t>V6.5</t>
        </is>
      </c>
      <c r="B36" s="14" t="inlineStr">
        <is>
          <t>General Multi-factor authentication requirements</t>
        </is>
      </c>
      <c r="C36" s="15" t="inlineStr">
        <is>
          <t>V6.5.1</t>
        </is>
      </c>
      <c r="D36" s="16" t="inlineStr">
        <is>
          <t>Verify that lookup secrets, out-of-band authentication requests or codes, and time-based one-time passwords (TOTPs) are only successfully usable once.</t>
        </is>
      </c>
      <c r="E36" s="17" t="n">
        <v>2</v>
      </c>
      <c r="F36" s="18" t="inlineStr">
        <is>
          <t>Compliant</t>
        </is>
      </c>
      <c r="G36" s="16" t="inlineStr">
        <is>
          <t>TOTP codes single-use by design: Keycloak maintains used-code cache preventing replay within same time window. Password reset tokens single-use: invalidated after first use. Activation keys single-use: consumed on redemption via OrderItem.redeem().</t>
        </is>
      </c>
      <c r="H36" s="16" t="inlineStr">
        <is>
          <t>Keycloak TOTP: used-code cache (anti-replay); Api/src/main/java/isep/desosfs/arcadehaven/Domain/OrderItem.java:redeem()</t>
        </is>
      </c>
    </row>
    <row r="37" ht="90" customHeight="1" s="33">
      <c r="A37" s="19" t="inlineStr">
        <is>
          <t>V6.5</t>
        </is>
      </c>
      <c r="B37" s="19" t="inlineStr">
        <is>
          <t>General Multi-factor authentication requirements</t>
        </is>
      </c>
      <c r="C37" s="20" t="inlineStr">
        <is>
          <t>V6.5.2</t>
        </is>
      </c>
      <c r="D37" s="21" t="inlineStr">
        <is>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is>
      </c>
      <c r="E37" s="17" t="n">
        <v>2</v>
      </c>
      <c r="F37" s="18" t="inlineStr">
        <is>
          <t>Compliant</t>
        </is>
      </c>
      <c r="G37" s="21" t="inlineStr">
        <is>
          <t>TOTP seeds stored by Keycloak in AES-encrypted credential store (not accessible to Spring Boot). Activation keys have 128-bit entropy (&gt;= 112 bits), so a standard hash is permitted by ASVS; they are stored as display-once values access-controlled at DB level.</t>
        </is>
      </c>
      <c r="H37" s="21" t="inlineStr">
        <is>
          <t>Keycloak credential store (AES-encrypted TOTP seeds); Api/src/main/java/isep/desosfs/arcadehaven/Domain/OrderItem.java (128-bit activation key, display-once)</t>
        </is>
      </c>
    </row>
    <row r="38" ht="105" customHeight="1" s="33">
      <c r="A38" s="14" t="inlineStr">
        <is>
          <t>V6.5</t>
        </is>
      </c>
      <c r="B38" s="14" t="inlineStr">
        <is>
          <t>General Multi-factor authentication requirements</t>
        </is>
      </c>
      <c r="C38" s="15" t="inlineStr">
        <is>
          <t>V6.5.3</t>
        </is>
      </c>
      <c r="D38" s="16" t="inlineStr">
        <is>
          <t>Verify that lookup secrets, out-of-band authentication code, and time-based one-time password seeds, are generated using a Cryptographically Secure Pseudorandom Number Generator (CSPRNG) to avoid predictable values.</t>
        </is>
      </c>
      <c r="E38" s="17" t="n">
        <v>2</v>
      </c>
      <c r="F38" s="18" t="inlineStr">
        <is>
          <t>Compliant</t>
        </is>
      </c>
      <c r="G38" s="16" t="inlineStr">
        <is>
          <t>TOTP seeds and password reset tokens generated by Keycloak using SecureRandom. Activation keys generated via java.security.SecureRandom.nextBytes(16) in OrderItem.generateActivationKey(). No Math.random() or non-cryptographic generator used in any secret-generation path.</t>
        </is>
      </c>
      <c r="H38" s="16" t="inlineStr">
        <is>
          <t>Keycloak (SecureRandom for TOTP seeds and reset tokens); Api/src/main/java/isep/desosfs/arcadehaven/Domain/OrderItem.java:generateActivationKey() (SecureRandom)</t>
        </is>
      </c>
    </row>
    <row r="39" ht="105" customHeight="1" s="33">
      <c r="A39" s="19" t="inlineStr">
        <is>
          <t>V6.5</t>
        </is>
      </c>
      <c r="B39" s="19" t="inlineStr">
        <is>
          <t>General Multi-factor authentication requirements</t>
        </is>
      </c>
      <c r="C39" s="20" t="inlineStr">
        <is>
          <t>V6.5.4</t>
        </is>
      </c>
      <c r="D39" s="21" t="inlineStr">
        <is>
          <t>Verify that lookup secrets and out-of-band authentication codes have a minimum of 20 bits of entropy (typically 4 random alphanumeric characters or 6 random digits is sufficient).</t>
        </is>
      </c>
      <c r="E39" s="17" t="n">
        <v>2</v>
      </c>
      <c r="F39" s="18" t="inlineStr">
        <is>
          <t>Compliant</t>
        </is>
      </c>
      <c r="G39" s="21" t="inlineStr">
        <is>
          <t>Keycloak TOTP generates 6-digit codes (log2(10^6) ~20 bits of entropy, meets 20-bit minimum). Password reset tokens &gt;= 128 bits. Activation keys 128 bits. No code falls below 20-bit threshold.</t>
        </is>
      </c>
      <c r="H39" s="21" t="inlineStr">
        <is>
          <t>Keycloak TOTP: 6-digit codes (~20 bits); Activation keys: 128 bits</t>
        </is>
      </c>
    </row>
    <row r="40" ht="75" customHeight="1" s="33">
      <c r="A40" s="14" t="inlineStr">
        <is>
          <t>V6.5</t>
        </is>
      </c>
      <c r="B40" s="14" t="inlineStr">
        <is>
          <t>General Multi-factor authentication requirements</t>
        </is>
      </c>
      <c r="C40" s="15" t="inlineStr">
        <is>
          <t>V6.5.5</t>
        </is>
      </c>
      <c r="D40" s="16" t="inlineStr">
        <is>
          <t>Verify that out-of-band authentication requests, codes, or tokens, as well as time-based one-time passwords (TOTPs) have a defined lifetime. Out of band requests must have a maximum lifetime of 10 minutes and for TOTP a maximum lifetime of 30 seconds.</t>
        </is>
      </c>
      <c r="E40" s="17" t="n">
        <v>2</v>
      </c>
      <c r="F40" s="18" t="inlineStr">
        <is>
          <t>Compliant</t>
        </is>
      </c>
      <c r="G40" s="16" t="inlineStr">
        <is>
          <t>Keycloak TOTP: 30-second time step with +/-1 step tolerance (90 sec max window, within 30s requirement). Password reset links expire after 5 minutes (within 10-minute max for out-of-band requests). Email verification codes expire after 5 minutes.</t>
        </is>
      </c>
      <c r="H40" s="16" t="inlineStr">
        <is>
          <t>Keycloak realm: OTP Policy (30s step, +/-1 tolerance); action-token-generated-by-admin-lifespan=5m</t>
        </is>
      </c>
    </row>
    <row r="41" ht="30" customHeight="1" s="33">
      <c r="A41" s="19" t="inlineStr">
        <is>
          <t>V6.5</t>
        </is>
      </c>
      <c r="B41" s="19" t="inlineStr">
        <is>
          <t>General Multi-factor authentication requirements</t>
        </is>
      </c>
      <c r="C41" s="20" t="inlineStr">
        <is>
          <t>V6.5.6</t>
        </is>
      </c>
      <c r="D41" s="21" t="inlineStr">
        <is>
          <t>Verify that any authentication factor (including physical devices) can be revoked in case of theft or other loss.</t>
        </is>
      </c>
      <c r="E41" s="23" t="n">
        <v>3</v>
      </c>
      <c r="F41" s="18" t="inlineStr">
        <is>
          <t>Not Applicable</t>
        </is>
      </c>
      <c r="G41" s="21" t="n"/>
      <c r="H41" s="21" t="n"/>
    </row>
    <row r="42" ht="30" customHeight="1" s="33">
      <c r="A42" s="14" t="inlineStr">
        <is>
          <t>V6.5</t>
        </is>
      </c>
      <c r="B42" s="14" t="inlineStr">
        <is>
          <t>General Multi-factor authentication requirements</t>
        </is>
      </c>
      <c r="C42" s="15" t="inlineStr">
        <is>
          <t>V6.5.7</t>
        </is>
      </c>
      <c r="D42" s="16" t="inlineStr">
        <is>
          <t>Verify that biometric authentication mechanisms are only used as secondary factors together with either something you have or something you know.</t>
        </is>
      </c>
      <c r="E42" s="23" t="n">
        <v>3</v>
      </c>
      <c r="F42" s="18" t="inlineStr">
        <is>
          <t>Not Applicable</t>
        </is>
      </c>
      <c r="G42" s="16" t="n"/>
      <c r="H42" s="16" t="n"/>
    </row>
    <row r="43" ht="30" customHeight="1" s="33">
      <c r="A43" s="19" t="inlineStr">
        <is>
          <t>V6.5</t>
        </is>
      </c>
      <c r="B43" s="19" t="inlineStr">
        <is>
          <t>General Multi-factor authentication requirements</t>
        </is>
      </c>
      <c r="C43" s="20" t="inlineStr">
        <is>
          <t>V6.5.8</t>
        </is>
      </c>
      <c r="D43" s="21" t="inlineStr">
        <is>
          <t>Verify that time-based one-time passwords (TOTPs) are checked based on a time source from a trusted service and not from an untrusted or client provided time.</t>
        </is>
      </c>
      <c r="E43" s="23" t="n">
        <v>3</v>
      </c>
      <c r="F43" s="18" t="inlineStr">
        <is>
          <t>Not Applicable</t>
        </is>
      </c>
      <c r="G43" s="21" t="n"/>
      <c r="H43" s="21" t="n"/>
    </row>
    <row r="44" ht="18" customHeight="1" s="33">
      <c r="A44" s="13" t="inlineStr">
        <is>
          <t>V6.6</t>
        </is>
      </c>
      <c r="B44" s="13" t="inlineStr">
        <is>
          <t>Out-of-Band authentication mechanisms</t>
        </is>
      </c>
      <c r="C44" s="13" t="n"/>
      <c r="D44" s="13" t="n"/>
      <c r="E44" s="13" t="n"/>
      <c r="F44" s="13" t="n"/>
      <c r="G44" s="13" t="n"/>
      <c r="H44" s="13" t="n"/>
    </row>
    <row r="45" ht="30" customHeight="1" s="33">
      <c r="A45" s="14" t="inlineStr">
        <is>
          <t>V6.6</t>
        </is>
      </c>
      <c r="B45" s="14" t="inlineStr">
        <is>
          <t>Out-of-Band authentication mechanisms</t>
        </is>
      </c>
      <c r="C45" s="15" t="inlineStr">
        <is>
          <t>V6.6.1</t>
        </is>
      </c>
      <c r="D45" s="16" t="inlineStr">
        <is>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is>
      </c>
      <c r="E45" s="17" t="n">
        <v>2</v>
      </c>
      <c r="F45" s="18" t="inlineStr">
        <is>
          <t>Not Applicable</t>
        </is>
      </c>
      <c r="G45" s="16" t="inlineStr">
        <is>
          <t>ArcadeHaven does not use PSTN (SMS/phone) for OTP delivery. MFA is implemented via TOTP only.</t>
        </is>
      </c>
      <c r="H45" s="16" t="n"/>
    </row>
    <row r="46" ht="30" customHeight="1" s="33">
      <c r="A46" s="19" t="inlineStr">
        <is>
          <t>V6.6</t>
        </is>
      </c>
      <c r="B46" s="19" t="inlineStr">
        <is>
          <t>Out-of-Band authentication mechanisms</t>
        </is>
      </c>
      <c r="C46" s="20" t="inlineStr">
        <is>
          <t>V6.6.2</t>
        </is>
      </c>
      <c r="D46" s="21" t="inlineStr">
        <is>
          <t>Verify that out-of-band authentication requests, codes, or tokens are bound to the original authentication request for which they were generated and are not usable for a previous or subsequent one.</t>
        </is>
      </c>
      <c r="E46" s="17" t="n">
        <v>2</v>
      </c>
      <c r="F46" s="18" t="inlineStr">
        <is>
          <t>Compliant</t>
        </is>
      </c>
      <c r="G46" s="21" t="inlineStr">
        <is>
          <t>Keycloak TOTP codes time-bound (30s) and session-scoped. Used-code tracking prevents replay in different sessions. Password reset tokens cryptographically bound to specific user and action; cannot be used for different user or action.</t>
        </is>
      </c>
      <c r="H46" s="21" t="inlineStr">
        <is>
          <t>Keycloak TOTP: session-scoped, used-code tracking; Keycloak reset tokens: user-ID-bound, single-use</t>
        </is>
      </c>
    </row>
    <row r="47" ht="72" customHeight="1" s="33">
      <c r="A47" s="14" t="inlineStr">
        <is>
          <t>V6.6</t>
        </is>
      </c>
      <c r="B47" s="14" t="inlineStr">
        <is>
          <t>Out-of-Band authentication mechanisms</t>
        </is>
      </c>
      <c r="C47" s="15" t="inlineStr">
        <is>
          <t>V6.6.3</t>
        </is>
      </c>
      <c r="D47" s="16" t="inlineStr">
        <is>
          <t>Verify that a code based out-of-band authentication mechanism is protected against brute force attacks by using rate limiting. Consider also using a code with at least 64 bits of entropy.</t>
        </is>
      </c>
      <c r="E47" s="17" t="n">
        <v>2</v>
      </c>
      <c r="F47" s="18" t="inlineStr">
        <is>
          <t>Compliant</t>
        </is>
      </c>
      <c r="G47" s="16" t="inlineStr">
        <is>
          <t>Keycloak brute force protection enabled: increasing wait time after consecutive MFA failures, permanent lockout after threshold. RateLimitFilter additionally limits all requests (including login/MFA) to 20 req/min per IP as secondary layer. TOTP codes expire after 30 seconds limiting brute-force window.</t>
        </is>
      </c>
      <c r="H47" s="16" t="inlineStr">
        <is>
          <t>Keycloak realm: brute-force protection; Api/src/main/java/isep/desosfs/arcadehaven/Security/RateLimitFilter.java (20 req/min, secondary layer)</t>
        </is>
      </c>
    </row>
    <row r="48" ht="30" customHeight="1" s="33">
      <c r="A48" s="19" t="inlineStr">
        <is>
          <t>V6.6</t>
        </is>
      </c>
      <c r="B48" s="19" t="inlineStr">
        <is>
          <t>Out-of-Band authentication mechanisms</t>
        </is>
      </c>
      <c r="C48" s="20" t="inlineStr">
        <is>
          <t>V6.6.4</t>
        </is>
      </c>
      <c r="D48" s="21" t="inlineStr">
        <is>
          <t>Verify that, where push notifications are used for multi-factor authentication, rate limiting is used to prevent push bombing attacks. Number matching may also mitigate this risk.</t>
        </is>
      </c>
      <c r="E48" s="23" t="n">
        <v>3</v>
      </c>
      <c r="F48" s="18" t="inlineStr">
        <is>
          <t>Not Applicable</t>
        </is>
      </c>
      <c r="G48" s="21" t="n"/>
      <c r="H48" s="21" t="n"/>
    </row>
    <row r="49" ht="18" customHeight="1" s="33">
      <c r="A49" s="13" t="inlineStr">
        <is>
          <t>V6.7</t>
        </is>
      </c>
      <c r="B49" s="13" t="inlineStr">
        <is>
          <t>Cryptographic authentication mechanism</t>
        </is>
      </c>
      <c r="C49" s="13" t="n"/>
      <c r="D49" s="13" t="n"/>
      <c r="E49" s="13" t="n"/>
      <c r="F49" s="13" t="n"/>
      <c r="G49" s="13" t="n"/>
      <c r="H49" s="13" t="n"/>
    </row>
    <row r="50" ht="30" customHeight="1" s="33">
      <c r="A50" s="14" t="inlineStr">
        <is>
          <t>V6.7</t>
        </is>
      </c>
      <c r="B50" s="14" t="inlineStr">
        <is>
          <t>Cryptographic authentication mechanism</t>
        </is>
      </c>
      <c r="C50" s="15" t="inlineStr">
        <is>
          <t>V6.7.1</t>
        </is>
      </c>
      <c r="D50" s="16" t="inlineStr">
        <is>
          <t>Verify that the certificates used to verify cryptographic authentication assertions are stored in a way protects them from modification.</t>
        </is>
      </c>
      <c r="E50" s="23" t="n">
        <v>3</v>
      </c>
      <c r="F50" s="18" t="inlineStr">
        <is>
          <t>Not Applicable</t>
        </is>
      </c>
      <c r="G50" s="16" t="n"/>
      <c r="H50" s="16" t="n"/>
    </row>
    <row r="51" ht="30" customHeight="1" s="33">
      <c r="A51" s="19" t="inlineStr">
        <is>
          <t>V6.7</t>
        </is>
      </c>
      <c r="B51" s="19" t="inlineStr">
        <is>
          <t>Cryptographic authentication mechanism</t>
        </is>
      </c>
      <c r="C51" s="20" t="inlineStr">
        <is>
          <t>V6.7.2</t>
        </is>
      </c>
      <c r="D51" s="21" t="inlineStr">
        <is>
          <t>Verify that the challenge nonce is at least 64 bits in length, and statistically unique or unique over the lifetime of the cryptographic device.</t>
        </is>
      </c>
      <c r="E51" s="23" t="n">
        <v>3</v>
      </c>
      <c r="F51" s="18" t="inlineStr">
        <is>
          <t>Not Applicable</t>
        </is>
      </c>
      <c r="G51" s="21" t="n"/>
      <c r="H51" s="21" t="n"/>
    </row>
    <row r="52" ht="18" customHeight="1" s="33">
      <c r="A52" s="13" t="inlineStr">
        <is>
          <t>V6.8</t>
        </is>
      </c>
      <c r="B52" s="13" t="inlineStr">
        <is>
          <t>Authentication with an Identity Provider</t>
        </is>
      </c>
      <c r="C52" s="13" t="n"/>
      <c r="D52" s="13" t="n"/>
      <c r="E52" s="13" t="n"/>
      <c r="F52" s="13" t="n"/>
      <c r="G52" s="13" t="n"/>
      <c r="H52" s="13" t="n"/>
    </row>
    <row r="53" ht="90" customHeight="1" s="33">
      <c r="A53" s="14" t="inlineStr">
        <is>
          <t>V6.8</t>
        </is>
      </c>
      <c r="B53" s="14" t="inlineStr">
        <is>
          <t>Authentication with an Identity Provider</t>
        </is>
      </c>
      <c r="C53" s="15" t="inlineStr">
        <is>
          <t>V6.8.1</t>
        </is>
      </c>
      <c r="D53" s="16" t="inlineStr">
        <is>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is>
      </c>
      <c r="E53" s="17" t="n">
        <v>2</v>
      </c>
      <c r="F53" s="18" t="inlineStr">
        <is>
          <t>Not Applicable</t>
        </is>
      </c>
      <c r="G53" s="16" t="inlineStr">
        <is>
          <t>ArcadeHaven does not support external identity providers in the current phase. If OAuth2/OIDC is introduced in future phases, this requirement must be revisited.</t>
        </is>
      </c>
      <c r="H53" s="16" t="n"/>
    </row>
    <row r="54" ht="90" customHeight="1" s="33">
      <c r="A54" s="19" t="inlineStr">
        <is>
          <t>V6.8</t>
        </is>
      </c>
      <c r="B54" s="19" t="inlineStr">
        <is>
          <t>Authentication with an Identity Provider</t>
        </is>
      </c>
      <c r="C54" s="20" t="inlineStr">
        <is>
          <t>V6.8.2</t>
        </is>
      </c>
      <c r="D54" s="21" t="inlineStr">
        <is>
          <t>Verify that the presence and integrity of digital signatures on authentication assertions (for example on JWTs or SAML assertions) are always validated, rejecting any assertions that are unsigned or have invalid signatures.</t>
        </is>
      </c>
      <c r="E54" s="17" t="n">
        <v>2</v>
      </c>
      <c r="F54" s="18" t="inlineStr">
        <is>
          <t>Compliant</t>
        </is>
      </c>
      <c r="G54" s="21" t="inlineStr">
        <is>
          <t>All JWT tokens must be signed using RS256 or HS256. The signature must be validated on every request. Unsigned tokens, tokens with alg: none, and tokens with invalid signatures must be rejected with a 401 response.</t>
        </is>
      </c>
      <c r="H54" s="21" t="inlineStr">
        <is>
          <t>Api/src/main/.../Security/SecurityConfig.java; Api/src/main/resources/application.properties (jwk-set-uri)</t>
        </is>
      </c>
    </row>
    <row r="55" ht="75" customHeight="1" s="33">
      <c r="A55" s="14" t="inlineStr">
        <is>
          <t>V6.8</t>
        </is>
      </c>
      <c r="B55" s="14" t="inlineStr">
        <is>
          <t>Authentication with an Identity Provider</t>
        </is>
      </c>
      <c r="C55" s="15" t="inlineStr">
        <is>
          <t>V6.8.3</t>
        </is>
      </c>
      <c r="D55" s="16" t="inlineStr">
        <is>
          <t>Verify that SAML assertions are uniquely processed and used only once within the validity period to prevent replay attacks.</t>
        </is>
      </c>
      <c r="E55" s="17" t="n">
        <v>2</v>
      </c>
      <c r="F55" s="18" t="inlineStr">
        <is>
          <t>Compliant</t>
        </is>
      </c>
      <c r="G55" s="16" t="inlineStr">
        <is>
          <t>JWT access tokens: Keycloak access-token-lifespan configured to 900 seconds (15 minutes). Session revocation: AuthService.logout() calls keycloak.realm().users().get(userId).logout() immediately invalidating all active Keycloak sessions. Spring Security validates JWT on every request against Keycloak JWKS endpoint. Note: ASVS V6.8.3 text references SAML assertions; observation correctly applies JWT token validity controls in this context.</t>
        </is>
      </c>
      <c r="H55" s="16" t="inlineStr">
        <is>
          <t>Api/src/main/java/isep/desosfs/arcadehaven/Service/AuthService.java:logout() (Keycloak session revocation); Keycloak realm: access-token-lifespan=900s (15 min)</t>
        </is>
      </c>
    </row>
    <row r="56" ht="150" customHeight="1" s="33">
      <c r="A56" s="19" t="inlineStr">
        <is>
          <t>V6.8</t>
        </is>
      </c>
      <c r="B56" s="19" t="inlineStr">
        <is>
          <t>Authentication with an Identity Provider</t>
        </is>
      </c>
      <c r="C56" s="20" t="inlineStr">
        <is>
          <t>V6.8.4</t>
        </is>
      </c>
      <c r="D56" s="21" t="inlineStr">
        <is>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is>
      </c>
      <c r="E56" s="17" t="n">
        <v>2</v>
      </c>
      <c r="F56" s="18" t="inlineStr">
        <is>
          <t>Not Applicable</t>
        </is>
      </c>
      <c r="G56" s="21" t="inlineStr">
        <is>
          <t>ArcadeHaven does not use a separate Identity Provider in the current phase. This requirement does not apply to the current project scope.</t>
        </is>
      </c>
      <c r="H56" s="21" t="n"/>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5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8.xml><?xml version="1.0" encoding="utf-8"?>
<worksheet xmlns="http://schemas.openxmlformats.org/spreadsheetml/2006/main">
  <sheetPr>
    <outlinePr summaryBelow="1" summaryRight="1"/>
    <pageSetUpPr/>
  </sheetPr>
  <dimension ref="A1:H26"/>
  <sheetViews>
    <sheetView zoomScale="75" zoomScaleNormal="75" workbookViewId="0">
      <pane ySplit="1" topLeftCell="A14" activePane="bottomLeft" state="frozen"/>
      <selection pane="bottomLeft" activeCell="P26" sqref="P26"/>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V7.1</t>
        </is>
      </c>
      <c r="B2" s="13" t="inlineStr">
        <is>
          <t>Session Management Documentation</t>
        </is>
      </c>
      <c r="C2" s="13" t="n"/>
      <c r="D2" s="13" t="n"/>
      <c r="E2" s="13" t="n"/>
      <c r="F2" s="13" t="n"/>
      <c r="G2" s="13" t="n"/>
      <c r="H2" s="13" t="n"/>
    </row>
    <row r="3" ht="30" customHeight="1" s="33">
      <c r="A3" s="14" t="inlineStr">
        <is>
          <t>V7.1</t>
        </is>
      </c>
      <c r="B3" s="14" t="inlineStr">
        <is>
          <t>Session Management Documentation</t>
        </is>
      </c>
      <c r="C3" s="15" t="inlineStr">
        <is>
          <t>V7.1.1</t>
        </is>
      </c>
      <c r="D3" s="16" t="inlineStr">
        <is>
          <t>Verify that the user's session inactivity timeout and absolute maximum session lifetime are documented, are appropriate in combination with other controls, and that the documentation includes justification for any deviations from NIST SP 800-63B re-authentication requirements.</t>
        </is>
      </c>
      <c r="E3" s="17" t="n">
        <v>2</v>
      </c>
      <c r="F3" s="18" t="inlineStr">
        <is>
          <t>Compliant</t>
        </is>
      </c>
      <c r="G3" s="16" t="inlineStr">
        <is>
          <t>Token lifetime is currently defined in RNF-03 in Requirements documentation.</t>
        </is>
      </c>
      <c r="H3" s="16" t="inlineStr">
        <is>
          <t>Documentation/Requirements.md</t>
        </is>
      </c>
    </row>
    <row r="4" ht="30" customHeight="1" s="33">
      <c r="A4" s="19" t="inlineStr">
        <is>
          <t>V7.1</t>
        </is>
      </c>
      <c r="B4" s="19" t="inlineStr">
        <is>
          <t>Session Management Documentation</t>
        </is>
      </c>
      <c r="C4" s="20" t="inlineStr">
        <is>
          <t>V7.1.2</t>
        </is>
      </c>
      <c r="D4" s="21" t="inlineStr">
        <is>
          <t>Verify that the documentation defines how many concurrent (parallel) sessions are allowed for one account as well as the intended behaviors and actions to be taken when the maximum number of active sessions is reached.</t>
        </is>
      </c>
      <c r="E4" s="17" t="n">
        <v>2</v>
      </c>
      <c r="F4" s="18" t="inlineStr">
        <is>
          <t>Compliant</t>
        </is>
      </c>
      <c r="G4" s="21" t="inlineStr">
        <is>
          <t>Token issue limitation for same user is currently defined in RNF-04 in Requirements documentation.</t>
        </is>
      </c>
      <c r="H4" s="21" t="inlineStr">
        <is>
          <t>Documentation/Requirements.md</t>
        </is>
      </c>
    </row>
    <row r="5" ht="30" customHeight="1" s="33">
      <c r="A5" s="14" t="inlineStr">
        <is>
          <t>V7.1</t>
        </is>
      </c>
      <c r="B5" s="14" t="inlineStr">
        <is>
          <t>Session Management Documentation</t>
        </is>
      </c>
      <c r="C5" s="15" t="inlineStr">
        <is>
          <t>V7.1.3</t>
        </is>
      </c>
      <c r="D5" s="16" t="inlineStr">
        <is>
          <t>Verify that all systems that create and manage user sessions as part of a federated identity management ecosystem (such as SSO systems) are documented along with controls to coordinate session lifetimes, termination, and any other conditions that require re-authentication.</t>
        </is>
      </c>
      <c r="E5" s="17" t="n">
        <v>2</v>
      </c>
      <c r="F5" s="18" t="inlineStr">
        <is>
          <t>Compliant</t>
        </is>
      </c>
      <c r="G5" s="16" t="inlineStr">
        <is>
          <t>Keycloak configuration , along with controls to coordinate session lifetimes, termination and any other conditions that require re-authentication, is documented in KeycloackConfiguration.</t>
        </is>
      </c>
      <c r="H5" s="16" t="inlineStr">
        <is>
          <t>Documentation/KeycloakConfiguration.md</t>
        </is>
      </c>
    </row>
    <row r="6" ht="18" customHeight="1" s="33">
      <c r="A6" s="13" t="inlineStr">
        <is>
          <t>V7.2</t>
        </is>
      </c>
      <c r="B6" s="13" t="inlineStr">
        <is>
          <t>Fundamental Session Management Security</t>
        </is>
      </c>
      <c r="C6" s="13" t="n"/>
      <c r="D6" s="13" t="n"/>
      <c r="E6" s="13" t="n"/>
      <c r="F6" s="13" t="n"/>
      <c r="G6" s="13" t="n"/>
      <c r="H6" s="13" t="n"/>
    </row>
    <row r="7" ht="90" customHeight="1" s="33">
      <c r="A7" s="14" t="inlineStr">
        <is>
          <t>V7.2</t>
        </is>
      </c>
      <c r="B7" s="14" t="inlineStr">
        <is>
          <t>Fundamental Session Management Security</t>
        </is>
      </c>
      <c r="C7" s="15" t="inlineStr">
        <is>
          <t>V7.2.1</t>
        </is>
      </c>
      <c r="D7" s="16" t="inlineStr">
        <is>
          <t>Verify that the application performs all session token verification using a trusted, backend service.</t>
        </is>
      </c>
      <c r="E7" s="22" t="n">
        <v>1</v>
      </c>
      <c r="F7" s="18" t="inlineStr">
        <is>
          <t>Compliant</t>
        </is>
      </c>
      <c r="G7" s="16" t="inlineStr">
        <is>
          <t>Session token verification is performed by Spring Security OAuth2 Resource Server integrated with Keycloak. All JWT access tokens are validated on the backend, including signature, issuer, expiration, and claim verification, before authentication and authorization are granted.</t>
        </is>
      </c>
      <c r="H7" s="16" t="inlineStr">
        <is>
          <t>Api/src/main/java/…/Security/SecurityConfig.java</t>
        </is>
      </c>
    </row>
    <row r="8" ht="120" customHeight="1" s="33">
      <c r="A8" s="19" t="inlineStr">
        <is>
          <t>V7.2</t>
        </is>
      </c>
      <c r="B8" s="19" t="inlineStr">
        <is>
          <t>Fundamental Session Management Security</t>
        </is>
      </c>
      <c r="C8" s="20" t="inlineStr">
        <is>
          <t>V7.2.2</t>
        </is>
      </c>
      <c r="D8" s="21" t="inlineStr">
        <is>
          <t>Verify that the application uses either self-contained or reference tokens that are dynamically generated for session management, i.e. not using static API secrets and keys.</t>
        </is>
      </c>
      <c r="E8" s="22" t="n">
        <v>1</v>
      </c>
      <c r="F8" s="18" t="inlineStr">
        <is>
          <t>Compliant</t>
        </is>
      </c>
      <c r="G8" s="21" t="inlineStr">
        <is>
          <t>User sessions are managed through dynamically generated Keycloak-issued JWT access tokens and refresh tokens. The application does not use static API keys, hardcoded tokens, or long-lived shared secrets for session management. Each authenticated session receives unique tokens that are validated by the backend before access is granted.</t>
        </is>
      </c>
      <c r="H8" s="21" t="inlineStr">
        <is>
          <t>Api/src/main/java/…/Servic/AuthService.java; keycloak/realm-export.json</t>
        </is>
      </c>
    </row>
    <row r="9" ht="30" customHeight="1" s="33">
      <c r="A9" s="14" t="inlineStr">
        <is>
          <t>V7.2</t>
        </is>
      </c>
      <c r="B9" s="14" t="inlineStr">
        <is>
          <t>Fundamental Session Management Security</t>
        </is>
      </c>
      <c r="C9" s="15" t="inlineStr">
        <is>
          <t>V7.2.3</t>
        </is>
      </c>
      <c r="D9" s="16" t="inlineStr">
        <is>
          <t>Verify that if reference tokens are used to represent user sessions, they are unique and generated using a cryptographically secure pseudo-random number generator (CSPRNG) and possess at least 128 bits of entropy.</t>
        </is>
      </c>
      <c r="E9" s="22" t="n">
        <v>1</v>
      </c>
      <c r="F9" s="18" t="inlineStr">
        <is>
          <t>Not Applicable</t>
        </is>
      </c>
      <c r="G9" s="16" t="n"/>
      <c r="H9" s="16" t="n"/>
    </row>
    <row r="10" ht="105" customHeight="1" s="33">
      <c r="A10" s="19" t="inlineStr">
        <is>
          <t>V7.2</t>
        </is>
      </c>
      <c r="B10" s="19" t="inlineStr">
        <is>
          <t>Fundamental Session Management Security</t>
        </is>
      </c>
      <c r="C10" s="20" t="inlineStr">
        <is>
          <t>V7.2.4</t>
        </is>
      </c>
      <c r="D10" s="21" t="inlineStr">
        <is>
          <t>Verify that the application generates a new session token on user authentication, including re-authentication, and terminates the current session token.</t>
        </is>
      </c>
      <c r="E10" s="22" t="n">
        <v>1</v>
      </c>
      <c r="F10" s="18" t="inlineStr">
        <is>
          <t>Compliant</t>
        </is>
      </c>
      <c r="G10" s="21" t="inlineStr">
        <is>
          <t>Keycloak issues a new JWT access token and refresh token with each successful authentication. Logging out via a POST request to /api/auth/logout revokes all active tokens. Spring Boot does not maintain session state (stateless JWT). The tracker must be updated.</t>
        </is>
      </c>
      <c r="H10" s="21" t="inlineStr">
        <is>
          <t>keycloak/realm-export.json</t>
        </is>
      </c>
    </row>
    <row r="11" ht="18" customHeight="1" s="33">
      <c r="A11" s="13" t="inlineStr">
        <is>
          <t>V7.3</t>
        </is>
      </c>
      <c r="B11" s="13" t="inlineStr">
        <is>
          <t>Session Timeout</t>
        </is>
      </c>
      <c r="C11" s="13" t="n"/>
      <c r="D11" s="13" t="n"/>
      <c r="E11" s="13" t="n"/>
      <c r="F11" s="13" t="n"/>
      <c r="G11" s="13" t="n"/>
      <c r="H11" s="13" t="n"/>
    </row>
    <row r="12" ht="30" customHeight="1" s="33">
      <c r="A12" s="14" t="inlineStr">
        <is>
          <t>V7.3</t>
        </is>
      </c>
      <c r="B12" s="14" t="inlineStr">
        <is>
          <t>Session Timeout</t>
        </is>
      </c>
      <c r="C12" s="15" t="inlineStr">
        <is>
          <t>V7.3.1</t>
        </is>
      </c>
      <c r="D12" s="16" t="inlineStr">
        <is>
          <t>Verify that there is an inactivity timeout such that re-authentication is enforced according to risk analysis and documented security decisions.</t>
        </is>
      </c>
      <c r="E12" s="17" t="n">
        <v>2</v>
      </c>
      <c r="F12" s="18" t="inlineStr">
        <is>
          <t>Compliant</t>
        </is>
      </c>
      <c r="G12" s="16" t="inlineStr">
        <is>
          <t>Keycloak configuration enforces a maximum inactivity timeout of 1800 seconds (30 minutes).</t>
        </is>
      </c>
      <c r="H12" s="16" t="inlineStr">
        <is>
          <t>keycloak/realm-export.json</t>
        </is>
      </c>
    </row>
    <row r="13" ht="30" customHeight="1" s="33">
      <c r="A13" s="19" t="inlineStr">
        <is>
          <t>V7.3</t>
        </is>
      </c>
      <c r="B13" s="19" t="inlineStr">
        <is>
          <t>Session Timeout</t>
        </is>
      </c>
      <c r="C13" s="20" t="inlineStr">
        <is>
          <t>V7.3.2</t>
        </is>
      </c>
      <c r="D13" s="21" t="inlineStr">
        <is>
          <t>Verify that there is an absolute maximum session lifetime such that re-authentication is enforced according to risk analysis and documented security decisions.</t>
        </is>
      </c>
      <c r="E13" s="17" t="n">
        <v>2</v>
      </c>
      <c r="F13" s="18" t="inlineStr">
        <is>
          <t>Compliant</t>
        </is>
      </c>
      <c r="G13" s="21" t="inlineStr">
        <is>
          <t>Keycloak configuration enforces a session maximum lifetime of 604800 seconds (7 days).</t>
        </is>
      </c>
      <c r="H13" s="21" t="inlineStr">
        <is>
          <t>keycloak/realm-export.json</t>
        </is>
      </c>
    </row>
    <row r="14" ht="18" customHeight="1" s="33">
      <c r="A14" s="13" t="inlineStr">
        <is>
          <t>V7.4</t>
        </is>
      </c>
      <c r="B14" s="13" t="inlineStr">
        <is>
          <t>Session Termination</t>
        </is>
      </c>
      <c r="C14" s="13" t="n"/>
      <c r="D14" s="13" t="n"/>
      <c r="E14" s="13" t="n"/>
      <c r="F14" s="13" t="n"/>
      <c r="G14" s="13" t="n"/>
      <c r="H14" s="13" t="n"/>
    </row>
    <row r="15" ht="120" customHeight="1" s="33">
      <c r="A15" s="14" t="inlineStr">
        <is>
          <t>V7.4</t>
        </is>
      </c>
      <c r="B15" s="14" t="inlineStr">
        <is>
          <t>Session Termination</t>
        </is>
      </c>
      <c r="C15" s="15" t="inlineStr">
        <is>
          <t>V7.4.1</t>
        </is>
      </c>
      <c r="D15" s="16" t="inlineStr">
        <is>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is>
      </c>
      <c r="E15" s="22" t="n">
        <v>1</v>
      </c>
      <c r="F15" s="18" t="inlineStr">
        <is>
          <t>Compliant</t>
        </is>
      </c>
      <c r="G15" s="16" t="inlineStr">
        <is>
          <t>POST /api/auth/logout revokes all of the user's active sessions in Keycloak via UserResource.logout() (Keycloak Admin Client). Tokens naturally expire based on the exp claim.</t>
        </is>
      </c>
      <c r="H15" s="16" t="inlineStr">
        <is>
          <t>Api/src/main/java/…/Controller/AuthController.java; Api/src/main/java/…/Service/AuthService.java</t>
        </is>
      </c>
    </row>
    <row r="16" ht="30" customHeight="1" s="33">
      <c r="A16" s="19" t="inlineStr">
        <is>
          <t>V7.4</t>
        </is>
      </c>
      <c r="B16" s="19" t="inlineStr">
        <is>
          <t>Session Termination</t>
        </is>
      </c>
      <c r="C16" s="20" t="inlineStr">
        <is>
          <t>V7.4.2</t>
        </is>
      </c>
      <c r="D16" s="21" t="inlineStr">
        <is>
          <t>Verify that the application terminates all active sessions when a user account is disabled or deleted (such as an employee leaving the company).</t>
        </is>
      </c>
      <c r="E16" s="22" t="n">
        <v>1</v>
      </c>
      <c r="F16" s="18" t="inlineStr">
        <is>
          <t>Compliant</t>
        </is>
      </c>
      <c r="G16" s="21" t="inlineStr">
        <is>
          <t>AdminService.deactivateUser() now calls keycloakDisableAndLogout(): sets enabled=false on Keycloak user (blocks new logins) + calls UserResource.logout() (revokes all active sessions immediately). activateUser() calls keycloakEnable() to re-enable the account.</t>
        </is>
      </c>
      <c r="H16" s="21" t="n"/>
    </row>
    <row r="17" ht="30" customHeight="1" s="33">
      <c r="A17" s="14" t="inlineStr">
        <is>
          <t>V7.4</t>
        </is>
      </c>
      <c r="B17" s="14" t="inlineStr">
        <is>
          <t>Session Termination</t>
        </is>
      </c>
      <c r="C17" s="15" t="inlineStr">
        <is>
          <t>V7.4.3</t>
        </is>
      </c>
      <c r="D17" s="16" t="inlineStr">
        <is>
          <t>Verify that the application gives the option to terminate all other active sessions after a successful change or removal of any authentication factor (including password change via reset or recovery and, if present, an MFA settings update).</t>
        </is>
      </c>
      <c r="E17" s="17" t="n">
        <v>2</v>
      </c>
      <c r="F17" s="18" t="inlineStr">
        <is>
          <t>Not Applicable</t>
        </is>
      </c>
      <c r="G17" s="16" t="inlineStr">
        <is>
          <t>MFA is exclusively enforced upon system admins and cannot be revoked. Remaining users authenticate via username and password, without any additional authentication factors.</t>
        </is>
      </c>
      <c r="H17" s="16" t="n"/>
    </row>
    <row r="18" ht="30" customHeight="1" s="33">
      <c r="A18" s="19" t="inlineStr">
        <is>
          <t>V7.4</t>
        </is>
      </c>
      <c r="B18" s="19" t="inlineStr">
        <is>
          <t>Session Termination</t>
        </is>
      </c>
      <c r="C18" s="20" t="inlineStr">
        <is>
          <t>V7.4.4</t>
        </is>
      </c>
      <c r="D18" s="21" t="inlineStr">
        <is>
          <t>Verify that all pages that require authentication have easy and visible access to logout functionality.</t>
        </is>
      </c>
      <c r="E18" s="17" t="n">
        <v>2</v>
      </c>
      <c r="F18" s="18" t="inlineStr">
        <is>
          <t>Not Applicable</t>
        </is>
      </c>
      <c r="G18" s="21" t="n"/>
      <c r="H18" s="21" t="n"/>
    </row>
    <row r="19" ht="30" customHeight="1" s="33">
      <c r="A19" s="14" t="inlineStr">
        <is>
          <t>V7.4</t>
        </is>
      </c>
      <c r="B19" s="14" t="inlineStr">
        <is>
          <t>Session Termination</t>
        </is>
      </c>
      <c r="C19" s="15" t="inlineStr">
        <is>
          <t>V7.4.5</t>
        </is>
      </c>
      <c r="D19" s="16" t="inlineStr">
        <is>
          <t>Verify that application administrators are able to terminate active sessions for an individual user or for all users.</t>
        </is>
      </c>
      <c r="E19" s="17" t="n">
        <v>2</v>
      </c>
      <c r="F19" s="18" t="inlineStr">
        <is>
          <t>Compliant</t>
        </is>
      </c>
      <c r="G19" s="16" t="inlineStr">
        <is>
          <t>DELETE /api/admin/users/{id}/sessions endpoint added to AdminController. AdminService.revokeUserSessions() resolves Keycloak user by username and calls UserResource.logout() to revoke all sessions immediately without disabling the account.</t>
        </is>
      </c>
      <c r="H19" s="16" t="n"/>
    </row>
    <row r="20" ht="18" customHeight="1" s="33">
      <c r="A20" s="13" t="inlineStr">
        <is>
          <t>V7.5</t>
        </is>
      </c>
      <c r="B20" s="13" t="inlineStr">
        <is>
          <t>Defenses Against Session Abuse</t>
        </is>
      </c>
      <c r="C20" s="13" t="n"/>
      <c r="D20" s="13" t="n"/>
      <c r="E20" s="13" t="n"/>
      <c r="F20" s="13" t="n"/>
      <c r="G20" s="13" t="n"/>
      <c r="H20" s="13" t="n"/>
    </row>
    <row r="21" ht="30" customHeight="1" s="33">
      <c r="A21" s="14" t="inlineStr">
        <is>
          <t>V7.5</t>
        </is>
      </c>
      <c r="B21" s="14" t="inlineStr">
        <is>
          <t>Defenses Against Session Abuse</t>
        </is>
      </c>
      <c r="C21" s="15" t="inlineStr">
        <is>
          <t>V7.5.1</t>
        </is>
      </c>
      <c r="D21" s="16" t="inlineStr">
        <is>
          <t>Verify that the application requires full re-authentication before allowing modifications to sensitive account attributes which may affect authentication such as email address, phone number, MFA configuration, or other information used in account recovery.</t>
        </is>
      </c>
      <c r="E21" s="17" t="n">
        <v>2</v>
      </c>
      <c r="F21" s="18" t="inlineStr">
        <is>
          <t>Compliant</t>
        </is>
      </c>
      <c r="G21" s="16" t="inlineStr">
        <is>
          <t>All ArcadeHaven API endpoints require authentication except for the login and registration endpoints. Access to sensitive operations and account-related data is protected by authentication and role-based authorization, ensuring that only authenticated users with appropriate permissions can perform privileged actions.</t>
        </is>
      </c>
      <c r="H21" s="16" t="inlineStr">
        <is>
          <t>Api/src/main/java/…/Security/SecurityConfig.java</t>
        </is>
      </c>
    </row>
    <row r="22" ht="30" customHeight="1" s="33">
      <c r="A22" s="19" t="inlineStr">
        <is>
          <t>V7.5</t>
        </is>
      </c>
      <c r="B22" s="19" t="inlineStr">
        <is>
          <t>Defenses Against Session Abuse</t>
        </is>
      </c>
      <c r="C22" s="20" t="inlineStr">
        <is>
          <t>V7.5.2</t>
        </is>
      </c>
      <c r="D22" s="21" t="inlineStr">
        <is>
          <t>Verify that users are able to view and (having authenticated again with at least one factor) terminate any or all currently active sessions.</t>
        </is>
      </c>
      <c r="E22" s="17" t="n">
        <v>2</v>
      </c>
      <c r="F22" s="18" t="inlineStr">
        <is>
          <t>Compliant</t>
        </is>
      </c>
      <c r="G22" s="21" t="inlineStr">
        <is>
          <t>Keycloak is configured to prevent multiple concurrent sessions per user by limiting active sessions and revoking tokens when a logout is performed.</t>
        </is>
      </c>
      <c r="H22" s="21" t="inlineStr">
        <is>
          <t>Api/src/main/java/…/Controller/AuthController.java; keycloak/realm-export.json</t>
        </is>
      </c>
    </row>
    <row r="23" ht="30" customHeight="1" s="33">
      <c r="A23" s="14" t="inlineStr">
        <is>
          <t>V7.5</t>
        </is>
      </c>
      <c r="B23" s="14" t="inlineStr">
        <is>
          <t>Defenses Against Session Abuse</t>
        </is>
      </c>
      <c r="C23" s="15" t="inlineStr">
        <is>
          <t>V7.5.3</t>
        </is>
      </c>
      <c r="D23" s="16" t="inlineStr">
        <is>
          <t>Verify that the application requires further authentication with at least one factor or secondary verification before performing highly sensitive transactions or operations.</t>
        </is>
      </c>
      <c r="E23" s="23" t="n">
        <v>3</v>
      </c>
      <c r="F23" s="18" t="inlineStr">
        <is>
          <t>Not Applicable</t>
        </is>
      </c>
      <c r="G23" s="16" t="n"/>
      <c r="H23" s="16" t="n"/>
    </row>
    <row r="24" ht="18" customHeight="1" s="33">
      <c r="A24" s="13" t="inlineStr">
        <is>
          <t>V7.6</t>
        </is>
      </c>
      <c r="B24" s="13" t="inlineStr">
        <is>
          <t>Federated Re-authentication</t>
        </is>
      </c>
      <c r="C24" s="13" t="n"/>
      <c r="D24" s="13" t="n"/>
      <c r="E24" s="13" t="n"/>
      <c r="F24" s="13" t="n"/>
      <c r="G24" s="13" t="n"/>
      <c r="H24" s="13" t="n"/>
    </row>
    <row r="25" ht="30" customHeight="1" s="33">
      <c r="A25" s="14" t="inlineStr">
        <is>
          <t>V7.6</t>
        </is>
      </c>
      <c r="B25" s="14" t="inlineStr">
        <is>
          <t>Federated Re-authentication</t>
        </is>
      </c>
      <c r="C25" s="15" t="inlineStr">
        <is>
          <t>V7.6.1</t>
        </is>
      </c>
      <c r="D25" s="16" t="inlineStr">
        <is>
          <t>Verify that session lifetime and termination between Relying Parties (RPs) and Identity Providers (IdPs) behave as documented, requiring re-authentication as necessary such as when the maximum time between IdP authentication events is reached.</t>
        </is>
      </c>
      <c r="E25" s="17" t="n">
        <v>2</v>
      </c>
      <c r="F25" s="18" t="inlineStr">
        <is>
          <t>Compliant</t>
        </is>
      </c>
      <c r="G25" s="16" t="inlineStr">
        <is>
          <t>Session lifetime and re-authentication behavior are enforced through Keycloak Identity Provider (IdP) session policies and the relying party’s stateless JWT validation. The IdP defines both idle and absolute session timeouts (ssoSessionIdleTimeout, ssoSessionMaxLifespan) while the application enforces short-lived access tokens (accessTokenLifespan).</t>
        </is>
      </c>
      <c r="H25" s="16" t="inlineStr">
        <is>
          <t>keycloak/realm-export.json</t>
        </is>
      </c>
    </row>
    <row r="26" ht="105" customHeight="1" s="33">
      <c r="A26" s="19" t="inlineStr">
        <is>
          <t>V7.6</t>
        </is>
      </c>
      <c r="B26" s="19" t="inlineStr">
        <is>
          <t>Federated Re-authentication</t>
        </is>
      </c>
      <c r="C26" s="20" t="inlineStr">
        <is>
          <t>V7.6.2</t>
        </is>
      </c>
      <c r="D26" s="21" t="inlineStr">
        <is>
          <t>Verify that creation of a session requires either the user's consent or an explicit action, preventing the creation of new application sessions without user interaction.</t>
        </is>
      </c>
      <c r="E26" s="17" t="n">
        <v>2</v>
      </c>
      <c r="F26" s="18" t="inlineStr">
        <is>
          <t>Compliant</t>
        </is>
      </c>
      <c r="G26" s="21" t="inlineStr">
        <is>
          <t>Authentication is handled through Keycloak, requiring explicit user credential submission to login endpoint. The Spring Boot application acts as a stateless OAuth2 Resource Server and does not maintain server-side sessions or create application-level sessions.</t>
        </is>
      </c>
      <c r="H26" s="21" t="inlineStr">
        <is>
          <t>Api/src/main/java/…/Controller/AuthController.java; Api/src/main/java/…/Service/AuthService.java</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9.xml><?xml version="1.0" encoding="utf-8"?>
<worksheet xmlns="http://schemas.openxmlformats.org/spreadsheetml/2006/main">
  <sheetPr>
    <outlinePr summaryBelow="1" summaryRight="1"/>
    <pageSetUpPr/>
  </sheetPr>
  <dimension ref="A1:H18"/>
  <sheetViews>
    <sheetView zoomScale="75" zoomScaleNormal="75" workbookViewId="0">
      <pane ySplit="1" topLeftCell="A2" activePane="bottomLeft" state="frozen"/>
      <selection pane="bottomLeft" activeCell="G13" sqref="G13"/>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V8.1</t>
        </is>
      </c>
      <c r="B2" s="13" t="inlineStr">
        <is>
          <t>Authorization Documentation</t>
        </is>
      </c>
      <c r="C2" s="13" t="n"/>
      <c r="D2" s="13" t="n"/>
      <c r="E2" s="13" t="n"/>
      <c r="F2" s="13" t="n"/>
      <c r="G2" s="13" t="n"/>
      <c r="H2" s="13" t="n"/>
    </row>
    <row r="3" ht="30" customHeight="1" s="33">
      <c r="A3" s="14" t="inlineStr">
        <is>
          <t>V8.1</t>
        </is>
      </c>
      <c r="B3" s="14" t="inlineStr">
        <is>
          <t>Authorization Documentation</t>
        </is>
      </c>
      <c r="C3" s="15" t="inlineStr">
        <is>
          <t>V8.1.1</t>
        </is>
      </c>
      <c r="D3" s="16" t="inlineStr">
        <is>
          <t>Verify that authorization documentation defines rules for restricting function-level and data-specific access based on consumer permissions and resource attributes.</t>
        </is>
      </c>
      <c r="E3" s="22" t="n">
        <v>1</v>
      </c>
      <c r="F3" s="18" t="inlineStr">
        <is>
          <t>Compliant</t>
        </is>
      </c>
      <c r="G3" s="16" t="inlineStr">
        <is>
          <t>Documentation/AuthorizationMatrix.md documents all 37 API endpoints with role permissions (ADMIN, PUBLISHER, BUYER) and ownership checks. SecurityConfig.java enforces path-level rules (deny-all default). @PreAuthorize("hasRole(...)") annotations on each controller method enforce method-level authorization. Service-layer ownership checks (e.g. GameService.findByIdAndPublisher, OrderService ownership) enforce data-specific access rules.</t>
        </is>
      </c>
      <c r="H3" s="16" t="inlineStr">
        <is>
          <t>Documentation/AuthorizationMatrix.md (37 endpoints, role matrix, ownership rules — V8.1.1); Api/src/main/java/.../Security/SecurityConfig.java; Controller/AdminController.java, PublisherController.java, GameController.java, OrderController.java, LibraryController.java (@PreAuthorize)</t>
        </is>
      </c>
    </row>
    <row r="4" ht="30" customHeight="1" s="33">
      <c r="A4" s="19" t="inlineStr">
        <is>
          <t>V8.1</t>
        </is>
      </c>
      <c r="B4" s="19" t="inlineStr">
        <is>
          <t>Authorization Documentation</t>
        </is>
      </c>
      <c r="C4" s="20" t="inlineStr">
        <is>
          <t>V8.1.2</t>
        </is>
      </c>
      <c r="D4" s="21" t="inlineStr">
        <is>
          <t>Verify that authorization documentation defines rules for field-level access restrictions (both read and write) based on consumer permissions and resource attributes. Note that these rules might depend on other attribute values of the relevant data object, such as state or status.</t>
        </is>
      </c>
      <c r="E4" s="17" t="n">
        <v>2</v>
      </c>
      <c r="F4" s="18" t="inlineStr">
        <is>
          <t>Compliant</t>
        </is>
      </c>
      <c r="G4" s="21" t="inlineStr">
        <is>
          <t>Documentation/AuthorizationMatrix.md §V8.1.2 documents readable and writable fields per role per entity. Sensitive fields (password_hash, activation_key, invoice_path, internal IDs) are excluded from all API responses. DTO record projections (GameResponse, OrderResponse, UserResponse, LibraryEntryResponse) enforce field-level filtering at the service layer. Publishers cannot read other publishers fields; buyers cannot read game cost price etc.</t>
        </is>
      </c>
      <c r="H4" s="21" t="inlineStr">
        <is>
          <t>Documentation/AuthorizationMatrix.md §V8.1.2 (field-level access table); Api/src/main/java/.../Dto/Response/GameResponse.java, OrderResponse.java, UserResponse.java, LibraryEntryResponse.java (DTO projections exclude sensitive fields)</t>
        </is>
      </c>
    </row>
    <row r="5" ht="30" customHeight="1" s="33">
      <c r="A5" s="14" t="inlineStr">
        <is>
          <t>V8.1</t>
        </is>
      </c>
      <c r="B5" s="14" t="inlineStr">
        <is>
          <t>Authorization Documentation</t>
        </is>
      </c>
      <c r="C5" s="15" t="inlineStr">
        <is>
          <t>V8.1.3</t>
        </is>
      </c>
      <c r="D5" s="16" t="inlineStr">
        <is>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is>
      </c>
      <c r="E5" s="23" t="n">
        <v>3</v>
      </c>
      <c r="F5" s="18" t="inlineStr">
        <is>
          <t>Not Applicable</t>
        </is>
      </c>
      <c r="G5" s="16" t="inlineStr">
        <is>
          <t>Authorization decision are not based on contextual attributes</t>
        </is>
      </c>
      <c r="H5" s="16" t="n"/>
    </row>
    <row r="6" ht="90" customHeight="1" s="33">
      <c r="A6" s="19" t="inlineStr">
        <is>
          <t>V8.1</t>
        </is>
      </c>
      <c r="B6" s="19" t="inlineStr">
        <is>
          <t>Authorization Documentation</t>
        </is>
      </c>
      <c r="C6" s="20" t="inlineStr">
        <is>
          <t>V8.1.4</t>
        </is>
      </c>
      <c r="D6" s="21" t="inlineStr">
        <is>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is>
      </c>
      <c r="E6" s="23" t="n">
        <v>3</v>
      </c>
      <c r="F6" s="18" t="inlineStr">
        <is>
          <t>Not Applicable</t>
        </is>
      </c>
      <c r="G6" s="21" t="inlineStr">
        <is>
          <t>No adaptative or risk-based authorization are enforced</t>
        </is>
      </c>
      <c r="H6" s="21" t="n"/>
    </row>
    <row r="7" ht="18" customHeight="1" s="33">
      <c r="A7" s="13" t="inlineStr">
        <is>
          <t>V8.2</t>
        </is>
      </c>
      <c r="B7" s="13" t="inlineStr">
        <is>
          <t>General Authorization Design</t>
        </is>
      </c>
      <c r="C7" s="13" t="n"/>
      <c r="D7" s="13" t="n"/>
      <c r="E7" s="13" t="n"/>
      <c r="F7" s="13" t="n"/>
      <c r="G7" s="13" t="n"/>
      <c r="H7" s="13" t="n"/>
    </row>
    <row r="8" ht="30" customHeight="1" s="33">
      <c r="A8" s="14" t="inlineStr">
        <is>
          <t>V8.2</t>
        </is>
      </c>
      <c r="B8" s="14" t="inlineStr">
        <is>
          <t>General Authorization Design</t>
        </is>
      </c>
      <c r="C8" s="15" t="inlineStr">
        <is>
          <t>V8.2.1</t>
        </is>
      </c>
      <c r="D8" s="16" t="inlineStr">
        <is>
          <t>Verify that the application ensures that function-level access is restricted to consumers with explicit permissions.</t>
        </is>
      </c>
      <c r="E8" s="22" t="n">
        <v>1</v>
      </c>
      <c r="F8" s="18" t="inlineStr">
        <is>
          <t>Compliant</t>
        </is>
      </c>
      <c r="G8" s="16" t="inlineStr">
        <is>
          <t>Functional authorization will be enforced using Spring Security method-level security based on user roles</t>
        </is>
      </c>
      <c r="H8" s="16" t="inlineStr">
        <is>
          <t>Api/src/main/.../Security/SecurityConfig.java; Controller/AdminController.java; Controller/PublisherController.java; Controller/OrderController.java; Security/KeycloakRoleConverter.java</t>
        </is>
      </c>
    </row>
    <row r="9" ht="30" customHeight="1" s="33">
      <c r="A9" s="19" t="inlineStr">
        <is>
          <t>V8.2</t>
        </is>
      </c>
      <c r="B9" s="19" t="inlineStr">
        <is>
          <t>General Authorization Design</t>
        </is>
      </c>
      <c r="C9" s="20" t="inlineStr">
        <is>
          <t>V8.2.2</t>
        </is>
      </c>
      <c r="D9" s="21" t="inlineStr">
        <is>
          <t>Verify that the application ensures that data-specific access is restricted to consumers with explicit permissions to specific data items to mitigate insecure direct object reference (IDOR) and broken object level authorization (BOLA).</t>
        </is>
      </c>
      <c r="E9" s="22" t="n">
        <v>1</v>
      </c>
      <c r="F9" s="18" t="inlineStr">
        <is>
          <t>Compliant</t>
        </is>
      </c>
      <c r="G9" s="21" t="inlineStr">
        <is>
          <t>Data-level authorization will enforce ownership checks</t>
        </is>
      </c>
      <c r="H9" s="21" t="inlineStr">
        <is>
          <t>Api/src/main/.../Service/GameService.java (findByIdAndPublisher); Service/OrderService.java; Service/LibraryService.java</t>
        </is>
      </c>
    </row>
    <row r="10" ht="30" customHeight="1" s="33">
      <c r="A10" s="14" t="inlineStr">
        <is>
          <t>V8.2</t>
        </is>
      </c>
      <c r="B10" s="14" t="inlineStr">
        <is>
          <t>General Authorization Design</t>
        </is>
      </c>
      <c r="C10" s="15" t="inlineStr">
        <is>
          <t>V8.2.3</t>
        </is>
      </c>
      <c r="D10" s="16" t="inlineStr">
        <is>
          <t>Verify that the application ensures that field-level access is restricted to consumers with explicit permissions to specific fields to mitigate broken object property level authorization (BOPLA).</t>
        </is>
      </c>
      <c r="E10" s="17" t="n">
        <v>2</v>
      </c>
      <c r="F10" s="18" t="inlineStr">
        <is>
          <t>Compliant</t>
        </is>
      </c>
      <c r="G10" s="16" t="inlineStr">
        <is>
          <t>Sensitive fields will be excluded from API responses using DTO mapping and controlled serialization to prevent data leakage</t>
        </is>
      </c>
      <c r="H10" s="16" t="inlineStr">
        <is>
          <t>Api/src/main/.../Dto/Response/UserResponse.java; Dto/Response/OrderResponse.java; Dto/Response/GameResponse.java; Dto/Response/LibraryEntryResponse.java</t>
        </is>
      </c>
    </row>
    <row r="11" ht="105" customHeight="1" s="33">
      <c r="A11" s="19" t="inlineStr">
        <is>
          <t>V8.2</t>
        </is>
      </c>
      <c r="B11" s="19" t="inlineStr">
        <is>
          <t>General Authorization Design</t>
        </is>
      </c>
      <c r="C11" s="20" t="inlineStr">
        <is>
          <t>V8.2.4</t>
        </is>
      </c>
      <c r="D11" s="21" t="inlineStr">
        <is>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is>
      </c>
      <c r="E11" s="23" t="n">
        <v>3</v>
      </c>
      <c r="F11" s="18" t="inlineStr">
        <is>
          <t>Not Applicable</t>
        </is>
      </c>
      <c r="G11" s="21" t="inlineStr">
        <is>
          <t>No contextual or adaptative authorization controls are not implemented</t>
        </is>
      </c>
      <c r="H11" s="21" t="n"/>
    </row>
    <row r="12" ht="18" customHeight="1" s="33">
      <c r="A12" s="13" t="inlineStr">
        <is>
          <t>V8.3</t>
        </is>
      </c>
      <c r="B12" s="13" t="inlineStr">
        <is>
          <t>Operation Level Authorization</t>
        </is>
      </c>
      <c r="C12" s="13" t="n"/>
      <c r="D12" s="13" t="n"/>
      <c r="E12" s="13" t="n"/>
      <c r="F12" s="13" t="n"/>
      <c r="G12" s="13" t="n"/>
      <c r="H12" s="13" t="n"/>
    </row>
    <row r="13" ht="60" customHeight="1" s="33">
      <c r="A13" s="14" t="inlineStr">
        <is>
          <t>V8.3</t>
        </is>
      </c>
      <c r="B13" s="14" t="inlineStr">
        <is>
          <t>Operation Level Authorization</t>
        </is>
      </c>
      <c r="C13" s="15" t="inlineStr">
        <is>
          <t>V8.3.1</t>
        </is>
      </c>
      <c r="D13" s="16" t="inlineStr">
        <is>
          <t>Verify that the application enforces authorization rules at a trusted service layer and doesn't rely on controls that an untrusted consumer could manipulate, such as client-side JavaScript.</t>
        </is>
      </c>
      <c r="E13" s="22" t="n">
        <v>1</v>
      </c>
      <c r="F13" s="18" t="inlineStr">
        <is>
          <t>Compliant</t>
        </is>
      </c>
      <c r="G13" s="16" t="inlineStr">
        <is>
          <t xml:space="preserve"> All authorization is server-side: SecurityConfig with rules based on path/role, @PreAuthorize(“hasRole(...)”)</t>
        </is>
      </c>
      <c r="H13" s="16" t="n"/>
    </row>
    <row r="14" ht="30" customHeight="1" s="33">
      <c r="A14" s="19" t="inlineStr">
        <is>
          <t>V8.3</t>
        </is>
      </c>
      <c r="B14" s="19" t="inlineStr">
        <is>
          <t>Operation Level Authorization</t>
        </is>
      </c>
      <c r="C14" s="20" t="inlineStr">
        <is>
          <t>V8.3.2</t>
        </is>
      </c>
      <c r="D14" s="21" t="inlineStr">
        <is>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is>
      </c>
      <c r="E14" s="23" t="n">
        <v>3</v>
      </c>
      <c r="F14" s="18" t="inlineStr">
        <is>
          <t>Not Applicable</t>
        </is>
      </c>
      <c r="G14" s="21" t="n"/>
      <c r="H14" s="21" t="n"/>
    </row>
    <row r="15" ht="30" customHeight="1" s="33">
      <c r="A15" s="14" t="inlineStr">
        <is>
          <t>V8.3</t>
        </is>
      </c>
      <c r="B15" s="14" t="inlineStr">
        <is>
          <t>Operation Level Authorization</t>
        </is>
      </c>
      <c r="C15" s="15" t="inlineStr">
        <is>
          <t>V8.3.3</t>
        </is>
      </c>
      <c r="D15" s="16" t="inlineStr">
        <is>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is>
      </c>
      <c r="E15" s="23" t="n">
        <v>3</v>
      </c>
      <c r="F15" s="18" t="inlineStr">
        <is>
          <t>Not Applicable</t>
        </is>
      </c>
      <c r="G15" s="16" t="inlineStr">
        <is>
          <t>ArcadeHaven system is monolithic; no inter-service authorization propagation is required</t>
        </is>
      </c>
      <c r="H15" s="16" t="n"/>
    </row>
    <row r="16" ht="18" customHeight="1" s="33">
      <c r="A16" s="13" t="inlineStr">
        <is>
          <t>V8.4</t>
        </is>
      </c>
      <c r="B16" s="13" t="inlineStr">
        <is>
          <t>Other Authorization Considerations</t>
        </is>
      </c>
      <c r="C16" s="13" t="n"/>
      <c r="D16" s="13" t="n"/>
      <c r="E16" s="13" t="n"/>
      <c r="F16" s="13" t="n"/>
      <c r="G16" s="13" t="n"/>
      <c r="H16" s="13" t="n"/>
    </row>
    <row r="17" ht="30" customHeight="1" s="33">
      <c r="A17" s="14" t="inlineStr">
        <is>
          <t>V8.4</t>
        </is>
      </c>
      <c r="B17" s="14" t="inlineStr">
        <is>
          <t>Other Authorization Considerations</t>
        </is>
      </c>
      <c r="C17" s="15" t="inlineStr">
        <is>
          <t>V8.4.1</t>
        </is>
      </c>
      <c r="D17" s="16" t="inlineStr">
        <is>
          <t>Verify that multi-tenant applications use cross-tenant controls to ensure consumer operations will never affect tenants with which they do not have permissions to interact.</t>
        </is>
      </c>
      <c r="E17" s="17" t="n">
        <v>2</v>
      </c>
      <c r="F17" s="18" t="inlineStr">
        <is>
          <t>Not Applicable</t>
        </is>
      </c>
      <c r="G17" s="16" t="inlineStr">
        <is>
          <t>ArcadeHaven is not a multi-tenant system so all users belong to the same application context</t>
        </is>
      </c>
      <c r="H17" s="16" t="n"/>
    </row>
    <row r="18" ht="30" customHeight="1" s="33">
      <c r="A18" s="19" t="inlineStr">
        <is>
          <t>V8.4</t>
        </is>
      </c>
      <c r="B18" s="19" t="inlineStr">
        <is>
          <t>Other Authorization Considerations</t>
        </is>
      </c>
      <c r="C18" s="20" t="inlineStr">
        <is>
          <t>V8.4.2</t>
        </is>
      </c>
      <c r="D18" s="21" t="inlineStr">
        <is>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is>
      </c>
      <c r="E18" s="23" t="n">
        <v>3</v>
      </c>
      <c r="F18" s="18" t="inlineStr">
        <is>
          <t>Not Applicable</t>
        </is>
      </c>
      <c r="G18" s="21" t="n"/>
      <c r="H18" s="21" t="n"/>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0.xml><?xml version="1.0" encoding="utf-8"?>
<worksheet xmlns="http://schemas.openxmlformats.org/spreadsheetml/2006/main">
  <sheetPr>
    <outlinePr summaryBelow="1" summaryRight="1"/>
    <pageSetUpPr/>
  </sheetPr>
  <dimension ref="A1:H10"/>
  <sheetViews>
    <sheetView zoomScale="79" zoomScaleNormal="75" workbookViewId="0">
      <pane ySplit="1" topLeftCell="A2" activePane="bottomLeft" state="frozen"/>
      <selection pane="bottomLeft" activeCell="F7" sqref="F7"/>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V9.1</t>
        </is>
      </c>
      <c r="B2" s="13" t="inlineStr">
        <is>
          <t>Token source and integrity</t>
        </is>
      </c>
      <c r="C2" s="13" t="n"/>
      <c r="D2" s="13" t="n"/>
      <c r="E2" s="13" t="n"/>
      <c r="F2" s="13" t="n"/>
      <c r="G2" s="13" t="n"/>
      <c r="H2" s="13" t="n"/>
    </row>
    <row r="3" ht="90" customHeight="1" s="33">
      <c r="A3" s="14" t="inlineStr">
        <is>
          <t>V9.1</t>
        </is>
      </c>
      <c r="B3" s="14" t="inlineStr">
        <is>
          <t>Token source and integrity</t>
        </is>
      </c>
      <c r="C3" s="15" t="inlineStr">
        <is>
          <t>V9.1.1</t>
        </is>
      </c>
      <c r="D3" s="16" t="inlineStr">
        <is>
          <t>Verify that self-contained tokens are validated using their digital signature or MAC to protect against tampering before accepting the token's contents.</t>
        </is>
      </c>
      <c r="E3" s="22" t="n">
        <v>1</v>
      </c>
      <c r="F3" s="18" t="inlineStr">
        <is>
          <t>Compliant</t>
        </is>
      </c>
      <c r="G3" s="16" t="inlineStr">
        <is>
          <t>All JWT tokens issued by ArcadeHaven will be validated using their digital signature (HMAC-SHA256 or RS256) before any token content is trusted. Spring Security's JWT filter will reject any token with an invalid or missing signature with a 401 response.</t>
        </is>
      </c>
      <c r="H3" s="16" t="inlineStr">
        <is>
          <t>Api/src/main/.../Security/SecurityConfig.java (Spring Security JWT decoder)</t>
        </is>
      </c>
    </row>
    <row r="4" ht="105" customHeight="1" s="33">
      <c r="A4" s="19" t="inlineStr">
        <is>
          <t>V9.1</t>
        </is>
      </c>
      <c r="B4" s="19" t="inlineStr">
        <is>
          <t>Token source and integrity</t>
        </is>
      </c>
      <c r="C4" s="20" t="inlineStr">
        <is>
          <t>V9.1.2</t>
        </is>
      </c>
      <c r="D4" s="21" t="inlineStr">
        <is>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is>
      </c>
      <c r="E4" s="22" t="n">
        <v>1</v>
      </c>
      <c r="F4" s="18" t="inlineStr">
        <is>
          <t>Compliant</t>
        </is>
      </c>
      <c r="G4" s="21" t="inlineStr">
        <is>
          <t>An algorithm allowlist will be configured in the JWT validation layer. Only HS256 or RS256 will be permitted. The None algorithm will be explicitly rejected. No mixed symmetric/asymmetric support is planned, avoiding key confusion risks.</t>
        </is>
      </c>
      <c r="H4" s="21" t="inlineStr">
        <is>
          <t>Api/src/main/.../Security/SecurityConfig.java (Nimbus JOSE, RS256 only)</t>
        </is>
      </c>
    </row>
    <row r="5" ht="105" customHeight="1" s="33">
      <c r="A5" s="14" t="inlineStr">
        <is>
          <t>V9.1</t>
        </is>
      </c>
      <c r="B5" s="14" t="inlineStr">
        <is>
          <t>Token source and integrity</t>
        </is>
      </c>
      <c r="C5" s="15" t="inlineStr">
        <is>
          <t>V9.1.3</t>
        </is>
      </c>
      <c r="D5" s="16" t="inlineStr">
        <is>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is>
      </c>
      <c r="E5" s="22" t="n">
        <v>1</v>
      </c>
      <c r="F5" s="18" t="inlineStr">
        <is>
          <t>Compliant</t>
        </is>
      </c>
      <c r="G5" s="16" t="inlineStr">
        <is>
          <t>Key material for JWT validation will be pre-configured server-side via environment variables. JWT headers such as jku, x5u, and jwk will be ignored or validated against a strict allowlist to prevent attackers from supplying untrusted key sources.</t>
        </is>
      </c>
      <c r="H5" s="16" t="inlineStr">
        <is>
          <t>Api/src/main/.../Security/SecurityConfig.java; application.properties (jwk-set-uri)</t>
        </is>
      </c>
    </row>
    <row r="6" ht="18" customHeight="1" s="33">
      <c r="A6" s="13" t="inlineStr">
        <is>
          <t>V9.2</t>
        </is>
      </c>
      <c r="B6" s="13" t="inlineStr">
        <is>
          <t>Token content</t>
        </is>
      </c>
      <c r="C6" s="13" t="n"/>
      <c r="D6" s="13" t="n"/>
      <c r="E6" s="13" t="n"/>
      <c r="F6" s="13" t="n"/>
      <c r="G6" s="13" t="n"/>
      <c r="H6" s="13" t="n"/>
    </row>
    <row r="7" ht="75" customHeight="1" s="33">
      <c r="A7" s="14" t="inlineStr">
        <is>
          <t>V9.2</t>
        </is>
      </c>
      <c r="B7" s="14" t="inlineStr">
        <is>
          <t>Token content</t>
        </is>
      </c>
      <c r="C7" s="15" t="inlineStr">
        <is>
          <t>V9.2.1</t>
        </is>
      </c>
      <c r="D7" s="16" t="inlineStr">
        <is>
          <t>Verify that, if a validity time span is present in the token data, the token and its content are accepted only if the verification time is within this validity time span. For example, for JWTs, the claims 'nbf' and 'exp' must be verified.</t>
        </is>
      </c>
      <c r="E7" s="22" t="n">
        <v>1</v>
      </c>
      <c r="F7" s="18" t="inlineStr">
        <is>
          <t>Compliant</t>
        </is>
      </c>
      <c r="G7" s="16" t="inlineStr">
        <is>
          <t>JWT tokens will include exp (expiration) and nbf (not before) claims. The validation layer will reject tokens outside their validity window. Access tokens will have a maximum lifetime of 15 minutes.</t>
        </is>
      </c>
      <c r="H7" s="16" t="inlineStr">
        <is>
          <t>Api/src/main/.../Security/SecurityConfig.java (Spring Security validates exp/nbf)</t>
        </is>
      </c>
    </row>
    <row r="8" ht="75" customHeight="1" s="33">
      <c r="A8" s="19" t="inlineStr">
        <is>
          <t>V9.2</t>
        </is>
      </c>
      <c r="B8" s="19" t="inlineStr">
        <is>
          <t>Token content</t>
        </is>
      </c>
      <c r="C8" s="20" t="inlineStr">
        <is>
          <t>V9.2.2</t>
        </is>
      </c>
      <c r="D8" s="21" t="inlineStr">
        <is>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is>
      </c>
      <c r="E8" s="17" t="n">
        <v>2</v>
      </c>
      <c r="F8" s="18" t="inlineStr">
        <is>
          <t>Compliant</t>
        </is>
      </c>
      <c r="G8" s="21" t="inlineStr">
        <is>
          <t>ASVS V9.2.2 — JwtBearerTypValidator (Security/JwtBearerTypValidator.java) implements OAuth2TokenValidator&lt;Jwt&gt; that rejects any token whose typ claim is present and not Bearer (case-insensitive). Fail-open for tokens without typ to support all Keycloak versions. Wired into custom JwtDecoder bean in SecurityConfig.jwtDecoder() via DelegatingOAuth2TokenValidator alongside issuer and audience validators. 6 unit tests in JwtBearerTypValidatorTest validate: Bearer accepted, case-insensitive, missing typ accepted, ID rejected, Refresh rejected, arbitrary type rejected.</t>
        </is>
      </c>
      <c r="H8" s="21" t="inlineStr">
        <is>
          <t>Api/src/main/java/.../Security/JwtBearerTypValidator.java; Api/src/main/java/.../Security/SecurityConfig.java (jwtDecoder bean); Api/src/test/java/.../Security/JwtBearerTypValidatorTest.java (6 tests)</t>
        </is>
      </c>
    </row>
    <row r="9" ht="75" customHeight="1" s="33">
      <c r="A9" s="14" t="inlineStr">
        <is>
          <t>V9.2</t>
        </is>
      </c>
      <c r="B9" s="14" t="inlineStr">
        <is>
          <t>Token content</t>
        </is>
      </c>
      <c r="C9" s="15" t="inlineStr">
        <is>
          <t>V9.2.3</t>
        </is>
      </c>
      <c r="D9" s="16" t="inlineStr">
        <is>
          <t>Verify that the service only accepts tokens which are intended for use with that service (audience). For JWTs, this can be achieved by validating the 'aud' claim against an allowlist defined in the service.</t>
        </is>
      </c>
      <c r="E9" s="17" t="n">
        <v>2</v>
      </c>
      <c r="F9" s="18" t="inlineStr">
        <is>
          <t>Compliant</t>
        </is>
      </c>
      <c r="G9" s="16" t="inlineStr">
        <is>
          <t>ASVS V9.2.3 — spring.security.oauth2.resourceserver.jwt.audiences=arcadehaven-api added to application.properties. SecurityConfig.jwtDecoder() bean adds JwtClaimValidator&lt;List&lt;String&gt;&gt; for the aud claim, requiring arcadehaven-api to be present. Keycloak client arcadehaven-public has oidc-audience-mapper that adds arcadehaven-api to aud on every access token. Any token missing this value is rejected with 401. 4 tests in JwtAudienceConfigTest verify the property configuration.</t>
        </is>
      </c>
      <c r="H9" s="16" t="inlineStr">
        <is>
          <t>Api/src/main/resources/application.properties (audiences=arcadehaven-api); Api/src/main/java/.../Security/SecurityConfig.java (JwtClaimValidator aud); Api/src/test/java/.../Config/JwtAudienceConfigTest.java (4 tests)</t>
        </is>
      </c>
    </row>
    <row r="10" ht="120" customHeight="1" s="33">
      <c r="A10" s="19" t="inlineStr">
        <is>
          <t>V9.2</t>
        </is>
      </c>
      <c r="B10" s="19" t="inlineStr">
        <is>
          <t>Token content</t>
        </is>
      </c>
      <c r="C10" s="20" t="inlineStr">
        <is>
          <t>V9.2.4</t>
        </is>
      </c>
      <c r="D10" s="21" t="inlineStr">
        <is>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is>
      </c>
      <c r="E10" s="17" t="n">
        <v>2</v>
      </c>
      <c r="F10" s="18" t="inlineStr">
        <is>
          <t>Compliant</t>
        </is>
      </c>
      <c r="G10" s="21" t="inlineStr">
        <is>
          <t>ASVS V9.2.4 — Single fixed audience arcadehaven-api eliminates audience confusion: tokens issued for any other Keycloak client are rejected by the JwtClaimValidator in SecurityConfig.jwtDecoder(). No dynamic audience provisioning. Audience restriction enforced at both Keycloak (oidc-audience-mapper) and Spring Security (JwtClaimValidator) layers — defence in depth.</t>
        </is>
      </c>
      <c r="H10" s="21" t="inlineStr">
        <is>
          <t>Api/src/main/resources/application.properties (audiences=arcadehaven-api); Api/src/main/java/.../Security/SecurityConfig.java (jwtDecoder bean); keycloak/realm-export.json (oidc-audience-mapper)</t>
        </is>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0"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1.xml><?xml version="1.0" encoding="utf-8"?>
<worksheet xmlns="http://schemas.openxmlformats.org/spreadsheetml/2006/main">
  <sheetPr>
    <outlinePr summaryBelow="1" summaryRight="1"/>
    <pageSetUpPr/>
  </sheetPr>
  <dimension ref="A1:H44"/>
  <sheetViews>
    <sheetView zoomScaleNormal="100" workbookViewId="0">
      <pane ySplit="1" topLeftCell="A31" activePane="bottomLeft" state="frozen"/>
      <selection pane="bottomLeft" activeCell="F12" sqref="F12"/>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V10.1</t>
        </is>
      </c>
      <c r="B2" s="13" t="inlineStr">
        <is>
          <t>Generic OAuth and OIDC Security</t>
        </is>
      </c>
      <c r="C2" s="13" t="n"/>
      <c r="D2" s="13" t="n"/>
      <c r="E2" s="13" t="n"/>
      <c r="F2" s="13" t="n"/>
      <c r="G2" s="13" t="n"/>
      <c r="H2" s="13" t="n"/>
    </row>
    <row r="3" ht="75" customHeight="1" s="33">
      <c r="A3" s="14" t="inlineStr">
        <is>
          <t>V10.1</t>
        </is>
      </c>
      <c r="B3" s="14" t="inlineStr">
        <is>
          <t>Generic OAuth and OIDC Security</t>
        </is>
      </c>
      <c r="C3" s="15" t="inlineStr">
        <is>
          <t>V10.1.1</t>
        </is>
      </c>
      <c r="D3" s="16" t="inlineStr">
        <is>
          <t>Verify that tokens are only sent to components that strictly need them. For example, when using a backend-for-frontend pattern for browser-based JavaScript applications, access and refresh tokens shall only be accessible for the backend.</t>
        </is>
      </c>
      <c r="E3" s="17" t="n">
        <v>2</v>
      </c>
      <c r="F3" s="18" t="inlineStr">
        <is>
          <t>Compliant</t>
        </is>
      </c>
      <c r="G3" s="16" t="inlineStr">
        <is>
          <t>The frontend communicates with Keycloak directly. No backend-for-frontend token forwarding is used, the Spring Boot backend only validates tokens, never forwards them to other services.</t>
        </is>
      </c>
      <c r="H3" s="16" t="inlineStr">
        <is>
          <t>Api/src/main/.../Security/SecurityConfig.java; Service/AuthService.java</t>
        </is>
      </c>
    </row>
    <row r="4" ht="135" customHeight="1" s="33">
      <c r="A4" s="19" t="inlineStr">
        <is>
          <t>V10.1</t>
        </is>
      </c>
      <c r="B4" s="19" t="inlineStr">
        <is>
          <t>Generic OAuth and OIDC Security</t>
        </is>
      </c>
      <c r="C4" s="20" t="inlineStr">
        <is>
          <t>V10.1.2</t>
        </is>
      </c>
      <c r="D4" s="21" t="inlineStr">
        <is>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is>
      </c>
      <c r="E4" s="17" t="n">
        <v>2</v>
      </c>
      <c r="F4" s="18" t="inlineStr">
        <is>
          <t>Compliant</t>
        </is>
      </c>
      <c r="G4" s="21" t="inlineStr">
        <is>
          <t>Token values are issued exclusively by Keycloak and validated by the Spring Boot resource server using Keycloak's public keys (via JWKS endpoint). No token mixing between different authorization servers occurs.</t>
        </is>
      </c>
      <c r="H4" s="21" t="inlineStr">
        <is>
          <t>Api/src/main/.../Security/SecurityConfig.java (iss/aud validation); Keycloak PKCE/state/nonce</t>
        </is>
      </c>
    </row>
    <row r="5" ht="18" customHeight="1" s="33">
      <c r="A5" s="13" t="inlineStr">
        <is>
          <t>V10.2</t>
        </is>
      </c>
      <c r="B5" s="13" t="inlineStr">
        <is>
          <t>OAuth Client</t>
        </is>
      </c>
      <c r="C5" s="13" t="n"/>
      <c r="D5" s="13" t="n"/>
      <c r="E5" s="13" t="n"/>
      <c r="F5" s="13" t="n"/>
      <c r="G5" s="13" t="n"/>
      <c r="H5" s="13" t="n"/>
    </row>
    <row r="6" ht="105" customHeight="1" s="33">
      <c r="A6" s="14" t="inlineStr">
        <is>
          <t>V10.2</t>
        </is>
      </c>
      <c r="B6" s="14" t="inlineStr">
        <is>
          <t>OAuth Client</t>
        </is>
      </c>
      <c r="C6" s="15" t="inlineStr">
        <is>
          <t>V10.2.1</t>
        </is>
      </c>
      <c r="D6" s="16" t="inlineStr">
        <is>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is>
      </c>
      <c r="E6" s="17" t="n">
        <v>2</v>
      </c>
      <c r="F6" s="18" t="inlineStr">
        <is>
          <t>Not Applicable</t>
        </is>
      </c>
      <c r="G6" s="16" t="inlineStr">
        <is>
          <t>The frontend uses the Authorization Code flow with PKCE (code_challenge / code_verifier). PKCE inherently protects against CSRF-based token request forgery. Additionally, the state parameter will be generated and validated on every authorization request.</t>
        </is>
      </c>
      <c r="H6" s="16" t="n"/>
    </row>
    <row r="7" ht="75" customHeight="1" s="33">
      <c r="A7" s="19" t="inlineStr">
        <is>
          <t>V10.2</t>
        </is>
      </c>
      <c r="B7" s="19" t="inlineStr">
        <is>
          <t>OAuth Client</t>
        </is>
      </c>
      <c r="C7" s="20" t="inlineStr">
        <is>
          <t>V10.2.2</t>
        </is>
      </c>
      <c r="D7" s="21" t="inlineStr">
        <is>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is>
      </c>
      <c r="E7" s="17" t="n">
        <v>2</v>
      </c>
      <c r="F7" s="18" t="inlineStr">
        <is>
          <t>Not Applicable</t>
        </is>
      </c>
      <c r="G7" s="21" t="inlineStr">
        <is>
          <t>ArcadeHaven uses a single Keycloak instance as its only authorization server. Mix-up attacks between multiple authorization servers are not applicable in the current scope.</t>
        </is>
      </c>
      <c r="H7" s="21" t="n"/>
    </row>
    <row r="8" ht="45" customHeight="1" s="33">
      <c r="A8" s="14" t="inlineStr">
        <is>
          <t>V10.2</t>
        </is>
      </c>
      <c r="B8" s="14" t="inlineStr">
        <is>
          <t>OAuth Client</t>
        </is>
      </c>
      <c r="C8" s="15" t="inlineStr">
        <is>
          <t>V10.2.3</t>
        </is>
      </c>
      <c r="D8" s="16" t="inlineStr">
        <is>
          <t>Verify that the OAuth client only requests the required scopes (or other authorization parameters) in requests to the authorization server.</t>
        </is>
      </c>
      <c r="E8" s="23" t="n">
        <v>3</v>
      </c>
      <c r="F8" s="18" t="inlineStr">
        <is>
          <t>Not Applicable</t>
        </is>
      </c>
      <c r="G8" s="16" t="n"/>
      <c r="H8" s="16" t="n"/>
    </row>
    <row r="9" ht="18" customHeight="1" s="33">
      <c r="A9" s="13" t="inlineStr">
        <is>
          <t>V10.3</t>
        </is>
      </c>
      <c r="B9" s="13" t="inlineStr">
        <is>
          <t>OAuth Resource Server</t>
        </is>
      </c>
      <c r="C9" s="13" t="n"/>
      <c r="D9" s="13" t="n"/>
      <c r="E9" s="13" t="n"/>
      <c r="F9" s="13" t="n"/>
      <c r="G9" s="13" t="n"/>
      <c r="H9" s="13" t="n"/>
    </row>
    <row r="10" ht="90" customHeight="1" s="33">
      <c r="A10" s="14" t="inlineStr">
        <is>
          <t>V10.3</t>
        </is>
      </c>
      <c r="B10" s="14" t="inlineStr">
        <is>
          <t>OAuth Resource Server</t>
        </is>
      </c>
      <c r="C10" s="15" t="inlineStr">
        <is>
          <t>V10.3.1</t>
        </is>
      </c>
      <c r="D10" s="16" t="inlineStr">
        <is>
          <t>Verify that the resource server only accepts access tokens that are intended for use with that service (audience). The audience may be included in a structured access token (such as the 'aud' claim in JWT), or it can be checked using the token introspection endpoint.</t>
        </is>
      </c>
      <c r="E10" s="17" t="n">
        <v>2</v>
      </c>
      <c r="F10" s="18" t="inlineStr">
        <is>
          <t>Compliant</t>
        </is>
      </c>
      <c r="G10" s="16" t="inlineStr">
        <is>
          <t>The Spring Boot resource server validates the aud claim in every JWT, ensuring only tokens issued for arcadehaven-api are accepted. Configured via spring.security.oauth2.resourceserver.jwt.audiences=arcadehaven-api. Tokens with a different audience are rejected with 401.</t>
        </is>
      </c>
      <c r="H10" s="16" t="inlineStr">
        <is>
          <t>Api/src/main/resources/application.properties (spring.security.oauth2.resourceserver.jwt.audiences=arcadehaven-api); Security/SecurityConfig.java</t>
        </is>
      </c>
    </row>
    <row r="11" ht="106.5" customHeight="1" s="33">
      <c r="A11" s="19" t="inlineStr">
        <is>
          <t>V10.3</t>
        </is>
      </c>
      <c r="B11" s="19" t="inlineStr">
        <is>
          <t>OAuth Resource Server</t>
        </is>
      </c>
      <c r="C11" s="20" t="inlineStr">
        <is>
          <t>V10.3.2</t>
        </is>
      </c>
      <c r="D11" s="21" t="inlineStr">
        <is>
          <t>Verify that the resource server enforces authorization decisions based on claims from the access token that define delegated authorization. If claims such as 'sub', 'scope', and 'authorization_details' are present, they must be part of the decision.</t>
        </is>
      </c>
      <c r="E11" s="17" t="n">
        <v>2</v>
      </c>
      <c r="F11" s="18" t="inlineStr">
        <is>
          <t>Compliant</t>
        </is>
      </c>
      <c r="G11" s="21" t="inlineStr">
        <is>
          <t>Authorization decisions are enforced by Spring Security using @PreAuthorize annotations. The sub, scope, and role claims from the JWT are all evaluated in access control decisions at the method level</t>
        </is>
      </c>
      <c r="H11" s="21" t="inlineStr">
        <is>
          <t>Api/src/main/.../Security/KeycloakRoleConverter.java; Security/SecurityConfig.java</t>
        </is>
      </c>
    </row>
    <row r="12" ht="87" customHeight="1" s="33">
      <c r="A12" s="14" t="inlineStr">
        <is>
          <t>V10.3</t>
        </is>
      </c>
      <c r="B12" s="14" t="inlineStr">
        <is>
          <t>OAuth Resource Server</t>
        </is>
      </c>
      <c r="C12" s="15" t="inlineStr">
        <is>
          <t>V10.3.3</t>
        </is>
      </c>
      <c r="D12" s="16" t="inlineStr">
        <is>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is>
      </c>
      <c r="E12" s="17" t="n">
        <v>2</v>
      </c>
      <c r="F12" s="18" t="inlineStr">
        <is>
          <t>Compliant</t>
        </is>
      </c>
      <c r="G12" s="16" t="inlineStr">
        <is>
          <t>Users are uniquely identified by the combination of iss (Keycloak issuer URL) and sub (user UUID) claims. This pair is non-reassignable and used as the canonical user identity across the resource server.</t>
        </is>
      </c>
      <c r="H12" s="16" t="inlineStr">
        <is>
          <t>Api/src/main/.../Security/KeycloakRoleConverter.java (sub=UUID); Security/SecurityConfig.java (iss)</t>
        </is>
      </c>
    </row>
    <row r="13" ht="73.15000000000001" customHeight="1" s="33">
      <c r="A13" s="19" t="inlineStr">
        <is>
          <t>V10.3</t>
        </is>
      </c>
      <c r="B13" s="19" t="inlineStr">
        <is>
          <t>OAuth Resource Server</t>
        </is>
      </c>
      <c r="C13" s="20" t="inlineStr">
        <is>
          <t>V10.3.4</t>
        </is>
      </c>
      <c r="D13" s="21" t="inlineStr">
        <is>
          <t>Verify that, if the resource server requires specific authentication strength, methods, or recentness, it verifies that the presented access token satisfies these constraints. For example, if present, using the OIDC 'acr', 'amr' and 'auth_time' claims respectively.</t>
        </is>
      </c>
      <c r="E13" s="17" t="n">
        <v>2</v>
      </c>
      <c r="F13" s="18" t="inlineStr">
        <is>
          <t>Not Applicable</t>
        </is>
      </c>
      <c r="G13" s="21" t="inlineStr">
        <is>
          <t>Standard JWT validation (expiry, signature, audience) is enforced</t>
        </is>
      </c>
      <c r="H13" s="21" t="n"/>
    </row>
    <row r="14" ht="100.5" customHeight="1" s="33">
      <c r="A14" s="14" t="inlineStr">
        <is>
          <t>V10.3</t>
        </is>
      </c>
      <c r="B14" s="14" t="inlineStr">
        <is>
          <t>OAuth Resource Server</t>
        </is>
      </c>
      <c r="C14" s="15" t="inlineStr">
        <is>
          <t>V10.3.5</t>
        </is>
      </c>
      <c r="D14" s="16" t="inlineStr">
        <is>
          <t>Verify that the resource server prevents the use of stolen access tokens or replay of access tokens (from unauthorized parties) by requiring sender-constrained access tokens, either Mutual TLS for OAuth 2 or OAuth 2 Demonstration of Proof of Possession (DPoP).</t>
        </is>
      </c>
      <c r="E14" s="23" t="n">
        <v>3</v>
      </c>
      <c r="F14" s="18" t="inlineStr">
        <is>
          <t>Not Applicable</t>
        </is>
      </c>
      <c r="G14" s="16" t="inlineStr">
        <is>
          <t>Token theft mitigation relies on short-lived access tokens (15 minutes) and HTTPS enforcement throughout. This may be revisited in a future phase.</t>
        </is>
      </c>
      <c r="H14" s="16" t="n"/>
    </row>
    <row r="15" ht="18" customHeight="1" s="33">
      <c r="A15" s="13" t="inlineStr">
        <is>
          <t>V10.4</t>
        </is>
      </c>
      <c r="B15" s="13" t="inlineStr">
        <is>
          <t>OAuth Authorization Server</t>
        </is>
      </c>
      <c r="C15" s="13" t="n"/>
      <c r="D15" s="13" t="n"/>
      <c r="E15" s="13" t="n"/>
      <c r="F15" s="13" t="n"/>
      <c r="G15" s="13" t="n"/>
      <c r="H15" s="13" t="n"/>
    </row>
    <row r="16" ht="60" customHeight="1" s="33">
      <c r="A16" s="14" t="inlineStr">
        <is>
          <t>V10.4</t>
        </is>
      </c>
      <c r="B16" s="14" t="inlineStr">
        <is>
          <t>OAuth Authorization Server</t>
        </is>
      </c>
      <c r="C16" s="15" t="inlineStr">
        <is>
          <t>V10.4.1</t>
        </is>
      </c>
      <c r="D16" s="16" t="inlineStr">
        <is>
          <t>Verify that the authorization server validates redirect URIs based on a client-specific allowlist of pre-registered URIs using exact string comparison.</t>
        </is>
      </c>
      <c r="E16" s="22" t="n">
        <v>1</v>
      </c>
      <c r="F16" s="18" t="inlineStr">
        <is>
          <t>Compliant</t>
        </is>
      </c>
      <c r="G16" s="16" t="inlineStr">
        <is>
          <t>Keycloak arcadehaven-public client is configured with an explicit allowlist of redirect URIs using exact string matching: http://localhost:3000/* and http://localhost:5173/*. No wildcards that would allow arbitrary redirects are permitted.</t>
        </is>
      </c>
      <c r="H16" s="16" t="inlineStr">
        <is>
          <t>keycloak/realm-export.json (arcadehaven-public client.redirectUris: ["http://localhost:3000/*", "http://localhost:5173/*"])</t>
        </is>
      </c>
    </row>
    <row r="17" ht="90" customHeight="1" s="33">
      <c r="A17" s="19" t="inlineStr">
        <is>
          <t>V10.4</t>
        </is>
      </c>
      <c r="B17" s="19" t="inlineStr">
        <is>
          <t>OAuth Authorization Server</t>
        </is>
      </c>
      <c r="C17" s="20" t="inlineStr">
        <is>
          <t>V10.4.2</t>
        </is>
      </c>
      <c r="D17" s="21" t="inlineStr">
        <is>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is>
      </c>
      <c r="E17" s="22" t="n">
        <v>1</v>
      </c>
      <c r="F17" s="18" t="inlineStr">
        <is>
          <t>Compliant</t>
        </is>
      </c>
      <c r="G17" s="21" t="inlineStr">
        <is>
          <t>Keycloak enforces single-use authorization codes natively. If a code is reused, Keycloak rejects the second request and revokes any tokens previously issued from that code. This is built-in behavior of the Keycloak authorization server.</t>
        </is>
      </c>
      <c r="H17" s="21" t="inlineStr">
        <is>
          <t>keycloak/realm-export.json (Keycloak 26.2 native: single-use auth codes enforced by authorization server)</t>
        </is>
      </c>
    </row>
    <row r="18" ht="45" customHeight="1" s="33">
      <c r="A18" s="14" t="inlineStr">
        <is>
          <t>V10.4</t>
        </is>
      </c>
      <c r="B18" s="14" t="inlineStr">
        <is>
          <t>OAuth Authorization Server</t>
        </is>
      </c>
      <c r="C18" s="15" t="inlineStr">
        <is>
          <t>V10.4.3</t>
        </is>
      </c>
      <c r="D18" s="16" t="inlineStr">
        <is>
          <t>Verify that the authorization code is short-lived. The maximum lifetime can be up to 10 minutes for L1 and L2 applications and up to 1 minute for L3 applications.</t>
        </is>
      </c>
      <c r="E18" s="22" t="n">
        <v>1</v>
      </c>
      <c r="F18" s="18" t="inlineStr">
        <is>
          <t>Compliant</t>
        </is>
      </c>
      <c r="G18" s="16" t="inlineStr">
        <is>
          <t>Authorization codes are configured with a 60-second lifetime (accessCodeLifespan=60) in the Keycloak realm. This is well within the L1/L2 maximum of 10 minutes and provides strong protection against code interception.</t>
        </is>
      </c>
      <c r="H18" s="16" t="inlineStr">
        <is>
          <t>keycloak/realm-export.json (accessCodeLifespan=60 seconds)</t>
        </is>
      </c>
    </row>
    <row r="19" ht="105.75" customHeight="1" s="33">
      <c r="A19" s="19" t="inlineStr">
        <is>
          <t>V10.4</t>
        </is>
      </c>
      <c r="B19" s="19" t="inlineStr">
        <is>
          <t>OAuth Authorization Server</t>
        </is>
      </c>
      <c r="C19" s="20" t="inlineStr">
        <is>
          <t>V10.4.4</t>
        </is>
      </c>
      <c r="D19" s="21" t="inlineStr">
        <is>
          <t>Verify that for a given client, the authorization server only allows the usage of grants that this client needs to use. Note that the grants 'token' (Implicit flow) and 'password' (Resource Owner Password Credentials flow) must no longer be used.</t>
        </is>
      </c>
      <c r="E19" s="22" t="n">
        <v>1</v>
      </c>
      <c r="F19" s="18" t="inlineStr">
        <is>
          <t>In Progress</t>
        </is>
      </c>
      <c r="G19" s="21" t="inlineStr">
        <is>
          <t>Implicit Flow explicitly disabled (implicitFlowEnabled=false). Direct Access Grant (ROPC) retained as an architectural dependency — ArcadeHaven has no frontend SPA, so Authorization Code + PKCE redirect is not yet feasible. Formally documented as DEV-01 in Documentation/SecurityDeviations.md with business justification, residual risk, and 11 compensating controls (rate limiting, brute-force protection, short token lifetime, single-use refresh tokens, MFA for admins, session revocation, full audit logging, HTTPS, PKCE pre-configured). 6 automated tests in OAuthGrantConfigTest verify these controls. Planned remediation: disable Direct Access Grant when frontend SPA is added.</t>
        </is>
      </c>
      <c r="H19" s="21" t="inlineStr">
        <is>
          <t>Documentation/SecurityDeviations.md (DEV-01); keycloak/realm-export.json; Api/src/main/java/.../Service/AuthService.java; Api/src/test/.../Config/OAuthGrantConfigTest.java</t>
        </is>
      </c>
    </row>
    <row r="20" ht="135" customHeight="1" s="33">
      <c r="A20" s="14" t="inlineStr">
        <is>
          <t>V10.4</t>
        </is>
      </c>
      <c r="B20" s="14" t="inlineStr">
        <is>
          <t>OAuth Authorization Server</t>
        </is>
      </c>
      <c r="C20" s="15" t="inlineStr">
        <is>
          <t>V10.4.5</t>
        </is>
      </c>
      <c r="D20" s="16" t="inlineStr">
        <is>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is>
      </c>
      <c r="E20" s="22" t="n">
        <v>1</v>
      </c>
      <c r="F20" s="18" t="inlineStr">
        <is>
          <t>Compliant</t>
        </is>
      </c>
      <c r="G20" s="16" t="inlineStr">
        <is>
          <t>Refresh token rotation is enforced at realm level: revokeRefreshToken=true and refreshTokenMaxReuse=0. Each refresh token use issues a new token and immediately invalidates the previous one. If a revoked refresh token is presented, all tokens for that session are revoked.</t>
        </is>
      </c>
      <c r="H20" s="16" t="inlineStr">
        <is>
          <t>keycloak/realm-export.json (revokeRefreshToken=true, refreshTokenMaxReuse=0)</t>
        </is>
      </c>
    </row>
    <row r="21" ht="105" customHeight="1" s="33">
      <c r="A21" s="19" t="inlineStr">
        <is>
          <t>V10.4</t>
        </is>
      </c>
      <c r="B21" s="19" t="inlineStr">
        <is>
          <t>OAuth Authorization Server</t>
        </is>
      </c>
      <c r="C21" s="20" t="inlineStr">
        <is>
          <t>V10.4.6</t>
        </is>
      </c>
      <c r="D21" s="21" t="inlineStr">
        <is>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is>
      </c>
      <c r="E21" s="17" t="n">
        <v>2</v>
      </c>
      <c r="F21" s="18" t="inlineStr">
        <is>
          <t>Compliant</t>
        </is>
      </c>
      <c r="G21" s="21" t="inlineStr">
        <is>
          <t>PKCE with S256 is enforced for the arcadehaven-public client via the Keycloak client attribute pkce.code.challenge.method=S256. The plain method is rejected. Keycloak validates the code_verifier on every token request against the stored code_challenge.</t>
        </is>
      </c>
      <c r="H21" s="21" t="inlineStr">
        <is>
          <t>keycloak/realm-export.json (arcadehaven-public attributes: pkce.code.challenge.method=S256)</t>
        </is>
      </c>
    </row>
    <row r="22" ht="90" customHeight="1" s="33">
      <c r="A22" s="14" t="inlineStr">
        <is>
          <t>V10.4</t>
        </is>
      </c>
      <c r="B22" s="14" t="inlineStr">
        <is>
          <t>OAuth Authorization Server</t>
        </is>
      </c>
      <c r="C22" s="15" t="inlineStr">
        <is>
          <t>V10.4.7</t>
        </is>
      </c>
      <c r="D22" s="16" t="inlineStr">
        <is>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is>
      </c>
      <c r="E22" s="17" t="n">
        <v>2</v>
      </c>
      <c r="F22" s="18" t="inlineStr">
        <is>
          <t>Not Applicable</t>
        </is>
      </c>
      <c r="G22" s="16" t="inlineStr">
        <is>
          <t>Dynamic client registration is not supported in ArcadeHaven. All clients are pre-registered in Keycloak by administrators. No unauthenticated registration endpoint is exposed.</t>
        </is>
      </c>
      <c r="H22" s="16" t="n"/>
    </row>
    <row r="23" ht="73.90000000000001" customHeight="1" s="33">
      <c r="A23" s="19" t="inlineStr">
        <is>
          <t>V10.4</t>
        </is>
      </c>
      <c r="B23" s="19" t="inlineStr">
        <is>
          <t>OAuth Authorization Server</t>
        </is>
      </c>
      <c r="C23" s="20" t="inlineStr">
        <is>
          <t>V10.4.8</t>
        </is>
      </c>
      <c r="D23" s="21" t="inlineStr">
        <is>
          <t>Verify that refresh tokens have an absolute expiration, including if sliding refresh token expiration is applied.</t>
        </is>
      </c>
      <c r="E23" s="17" t="n">
        <v>2</v>
      </c>
      <c r="F23" s="18" t="inlineStr">
        <is>
          <t>Compliant</t>
        </is>
      </c>
      <c r="G23" s="21" t="inlineStr">
        <is>
          <t>Refresh tokens have an absolute expiration of 7 days (ssoSessionMaxLifespan=604800 seconds) configured at realm level. offlineSessionMaxLifespanEnabled=false prevents indefinite offline session extension. Sliding expiration is bounded by the absolute maximum.</t>
        </is>
      </c>
      <c r="H23" s="21" t="inlineStr">
        <is>
          <t>keycloak/realm-export.json (ssoSessionMaxLifespan=604800, offlineSessionMaxLifespanEnabled=false)</t>
        </is>
      </c>
    </row>
    <row r="24" ht="107.25" customHeight="1" s="33">
      <c r="A24" s="14" t="inlineStr">
        <is>
          <t>V10.4</t>
        </is>
      </c>
      <c r="B24" s="14" t="inlineStr">
        <is>
          <t>OAuth Authorization Server</t>
        </is>
      </c>
      <c r="C24" s="15" t="inlineStr">
        <is>
          <t>V10.4.9</t>
        </is>
      </c>
      <c r="D24" s="16" t="inlineStr">
        <is>
          <t>Verify that refresh tokens and reference access tokens can be revoked by an authorized user using the authorization server user interface, to mitigate the risk of malicious clients or stolen tokens.</t>
        </is>
      </c>
      <c r="E24" s="17" t="n">
        <v>2</v>
      </c>
      <c r="F24" s="18" t="inlineStr">
        <is>
          <t>Compliant</t>
        </is>
      </c>
      <c r="G24" s="16" t="inlineStr">
        <is>
          <t>Token and refresh token revocation is available via: (1) POST /api/auth/logout which calls Keycloak session revocation API, (2) Keycloak account management console at /realms/arcadehaven/account where users can view and revoke active sessions.</t>
        </is>
      </c>
      <c r="H24" s="16" t="inlineStr">
        <is>
          <t>keycloak/realm-export.json; Api/src/main/.../Service/AuthService.java (logout() -&gt; keycloak.realm().users().get(id).logout()); Controller/AuthController.java</t>
        </is>
      </c>
    </row>
    <row r="25" ht="90" customHeight="1" s="33">
      <c r="A25" s="19" t="inlineStr">
        <is>
          <t>V10.4</t>
        </is>
      </c>
      <c r="B25" s="19" t="inlineStr">
        <is>
          <t>OAuth Authorization Server</t>
        </is>
      </c>
      <c r="C25" s="20" t="inlineStr">
        <is>
          <t>V10.4.10</t>
        </is>
      </c>
      <c r="D25" s="21" t="inlineStr">
        <is>
          <t>Verify that confidential client is authenticated for client-to-authorized server backchannel requests such as token requests, pushed authorization requests (PAR), and token revocation requests.</t>
        </is>
      </c>
      <c r="E25" s="17" t="n">
        <v>2</v>
      </c>
      <c r="F25" s="18" t="inlineStr">
        <is>
          <t>Compliant</t>
        </is>
      </c>
      <c r="G25" s="21" t="inlineStr">
        <is>
          <t>The Spring Boot backend authenticates to Keycloak Admin API using CLIENT_CREDENTIALS grant with dedicated confidential client arcadehaven-backend (service account). Removed use of master realm admin-cli. The service account has realm-admin role scoped to the arcadehaven realm only (principle of least privilege).</t>
        </is>
      </c>
      <c r="H25" s="21" t="inlineStr">
        <is>
          <t>keycloak/realm-export.json (arcadehaven-backend: serviceAccountsEnabled=true, clientRoles: realm-management/realm-admin); Config/KeycloakAdminConfig.java (OAuth2Constants.CLIENT_CREDENTIALS)</t>
        </is>
      </c>
    </row>
    <row r="26" ht="100.5" customHeight="1" s="33">
      <c r="A26" s="14" t="inlineStr">
        <is>
          <t>V10.4</t>
        </is>
      </c>
      <c r="B26" s="14" t="inlineStr">
        <is>
          <t>OAuth Authorization Server</t>
        </is>
      </c>
      <c r="C26" s="15" t="inlineStr">
        <is>
          <t>V10.4.11</t>
        </is>
      </c>
      <c r="D26" s="16" t="inlineStr">
        <is>
          <t>Verify that the authorization server configuration only assigns the required scopes to the OAuth client.</t>
        </is>
      </c>
      <c r="E26" s="17" t="n">
        <v>2</v>
      </c>
      <c r="F26" s="18" t="inlineStr">
        <is>
          <t>Compliant</t>
        </is>
      </c>
      <c r="G26" s="16" t="inlineStr">
        <is>
          <t>arcadehaven-public client is configured with only required scopes in defaultClientScopes: [openid, web-origins, acr, profile, roles, email, basic]. optionalClientScopes is empty, preventing clients from requesting additional scopes beyond what is needed.</t>
        </is>
      </c>
      <c r="H26" s="16" t="inlineStr">
        <is>
          <t>keycloak/realm-export.json (arcadehaven-public: defaultClientScopes=[openid,web-origins,acr,profile,roles,email,basic], optionalClientScopes=[])</t>
        </is>
      </c>
    </row>
    <row r="27" ht="75" customHeight="1" s="33">
      <c r="A27" s="19" t="inlineStr">
        <is>
          <t>V10.4</t>
        </is>
      </c>
      <c r="B27" s="19" t="inlineStr">
        <is>
          <t>OAuth Authorization Server</t>
        </is>
      </c>
      <c r="C27" s="20" t="inlineStr">
        <is>
          <t>V10.4.12</t>
        </is>
      </c>
      <c r="D27" s="21" t="inlineStr">
        <is>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is>
      </c>
      <c r="E27" s="23" t="n">
        <v>3</v>
      </c>
      <c r="F27" s="18" t="inlineStr">
        <is>
          <t>Not Applicable</t>
        </is>
      </c>
      <c r="G27" s="21" t="inlineStr">
        <is>
          <t>Only response_mode=query (default for code flow) is permitted. No other response modes are configured or accepted for ArcadeHaven clients in Keycloak.</t>
        </is>
      </c>
      <c r="H27" s="21" t="n"/>
    </row>
    <row r="28" ht="30" customHeight="1" s="33">
      <c r="A28" s="14" t="inlineStr">
        <is>
          <t>V10.4</t>
        </is>
      </c>
      <c r="B28" s="14" t="inlineStr">
        <is>
          <t>OAuth Authorization Server</t>
        </is>
      </c>
      <c r="C28" s="15" t="inlineStr">
        <is>
          <t>V10.4.13</t>
        </is>
      </c>
      <c r="D28" s="16" t="inlineStr">
        <is>
          <t>Verify that grant type 'code' is always used together with pushed authorization requests (PAR).</t>
        </is>
      </c>
      <c r="E28" s="23" t="n">
        <v>3</v>
      </c>
      <c r="F28" s="18" t="inlineStr">
        <is>
          <t>Not Applicable</t>
        </is>
      </c>
      <c r="G28" s="16" t="inlineStr">
        <is>
          <t>Pushed Authorization Requests (PAR) are not implemented</t>
        </is>
      </c>
      <c r="H28" s="16" t="n"/>
    </row>
    <row r="29" ht="60" customHeight="1" s="33">
      <c r="A29" s="19" t="inlineStr">
        <is>
          <t>V10.4</t>
        </is>
      </c>
      <c r="B29" s="19" t="inlineStr">
        <is>
          <t>OAuth Authorization Server</t>
        </is>
      </c>
      <c r="C29" s="20" t="inlineStr">
        <is>
          <t>V10.4.14</t>
        </is>
      </c>
      <c r="D29" s="21" t="inlineStr">
        <is>
          <t>Verify that the authorization server issues only sender-constrained (Proof-of-Possession) access tokens, either with certificate-bound access tokens using mutual TLS (mTLS) or DPoP-bound access tokens (Demonstration of Proof of Possession).</t>
        </is>
      </c>
      <c r="E29" s="23" t="n">
        <v>3</v>
      </c>
      <c r="F29" s="18" t="inlineStr">
        <is>
          <t>Not Applicable</t>
        </is>
      </c>
      <c r="G29" s="21" t="inlineStr">
        <is>
          <t>Sender-constrained access tokens (mTLS or DPoP) are out of scope for Phase 1. Standard bearer tokens are used, protected by HTTPS and short expiry.</t>
        </is>
      </c>
      <c r="H29" s="21" t="n"/>
    </row>
    <row r="30" ht="90" customHeight="1" s="33">
      <c r="A30" s="14" t="inlineStr">
        <is>
          <t>V10.4</t>
        </is>
      </c>
      <c r="B30" s="14" t="inlineStr">
        <is>
          <t>OAuth Authorization Server</t>
        </is>
      </c>
      <c r="C30" s="15" t="inlineStr">
        <is>
          <t>V10.4.15</t>
        </is>
      </c>
      <c r="D30" s="16" t="inlineStr">
        <is>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is>
      </c>
      <c r="E30" s="23" t="n">
        <v>3</v>
      </c>
      <c r="F30" s="18" t="inlineStr">
        <is>
          <t>Not Applicable</t>
        </is>
      </c>
      <c r="G30" s="16" t="inlineStr">
        <is>
          <t xml:space="preserve">	ArcadeHaven does not use authorization_details (Rich Authorization Requests). Not applicable in the current scope.</t>
        </is>
      </c>
      <c r="H30" s="16" t="n"/>
    </row>
    <row r="31" ht="75" customHeight="1" s="33">
      <c r="A31" s="19" t="inlineStr">
        <is>
          <t>V10.4</t>
        </is>
      </c>
      <c r="B31" s="19" t="inlineStr">
        <is>
          <t>OAuth Authorization Server</t>
        </is>
      </c>
      <c r="C31" s="20" t="inlineStr">
        <is>
          <t>V10.4.16</t>
        </is>
      </c>
      <c r="D31" s="21" t="inlineStr">
        <is>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is>
      </c>
      <c r="E31" s="23" t="n">
        <v>3</v>
      </c>
      <c r="F31" s="18" t="inlineStr">
        <is>
          <t>Not Applicable</t>
        </is>
      </c>
      <c r="G31" s="21" t="inlineStr">
        <is>
          <t>Strong client authentication via mTLS or private_key_jwt is not implemented.</t>
        </is>
      </c>
      <c r="H31" s="21" t="n"/>
    </row>
    <row r="32" ht="18" customHeight="1" s="33">
      <c r="A32" s="13" t="inlineStr">
        <is>
          <t>V10.5</t>
        </is>
      </c>
      <c r="B32" s="13" t="inlineStr">
        <is>
          <t>OIDC Client</t>
        </is>
      </c>
      <c r="C32" s="13" t="n"/>
      <c r="D32" s="13" t="n"/>
      <c r="E32" s="13" t="n"/>
      <c r="F32" s="13" t="n"/>
      <c r="G32" s="13" t="n"/>
      <c r="H32" s="13" t="n"/>
    </row>
    <row r="33" ht="90" customHeight="1" s="33">
      <c r="A33" s="14" t="inlineStr">
        <is>
          <t>V10.5</t>
        </is>
      </c>
      <c r="B33" s="14" t="inlineStr">
        <is>
          <t>OIDC Client</t>
        </is>
      </c>
      <c r="C33" s="15" t="inlineStr">
        <is>
          <t>V10.5.1</t>
        </is>
      </c>
      <c r="D33" s="16" t="inlineStr">
        <is>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is>
      </c>
      <c r="E33" s="17" t="n">
        <v>2</v>
      </c>
      <c r="F33" s="18" t="inlineStr">
        <is>
          <t>Not Applicable</t>
        </is>
      </c>
      <c r="G33" s="16" t="inlineStr">
        <is>
          <t>ArcadeHaven has no browser-based OIDC client (relying party). The nonce validation requirement applies to the client consuming the ID Token in an authorization code flow with a browser redirect. Since the Spring Boot API acts as a resource server only (not an OIDC RP performing browser redirects), there is no client-side nonce to validate.</t>
        </is>
      </c>
      <c r="H33" s="16" t="n"/>
    </row>
    <row r="34" ht="86.25" customHeight="1" s="33">
      <c r="A34" s="19" t="inlineStr">
        <is>
          <t>V10.5</t>
        </is>
      </c>
      <c r="B34" s="19" t="inlineStr">
        <is>
          <t>OIDC Client</t>
        </is>
      </c>
      <c r="C34" s="20" t="inlineStr">
        <is>
          <t>V10.5.2</t>
        </is>
      </c>
      <c r="D34" s="21" t="inlineStr">
        <is>
          <t>Verify that the client uniquely identifies the user from ID Token claims, usually the 'sub' claim, which cannot be reassigned to other users (for the scope of an identity provider).</t>
        </is>
      </c>
      <c r="E34" s="17" t="n">
        <v>2</v>
      </c>
      <c r="F34" s="18" t="inlineStr">
        <is>
          <t>Compliant</t>
        </is>
      </c>
      <c r="G34" s="21" t="inlineStr">
        <is>
          <t xml:space="preserve">	Users are uniquely identified by the sub claim in the ID Token, which maps to the Keycloak user UUID. This value is non-reassignable within the Keycloak identity provider.</t>
        </is>
      </c>
      <c r="H34" s="21" t="inlineStr">
        <is>
          <t>Api/src/main/.../Security/KeycloakRoleConverter.java (sub UUID, non-reassignable)</t>
        </is>
      </c>
    </row>
    <row r="35" ht="120" customHeight="1" s="33">
      <c r="A35" s="14" t="inlineStr">
        <is>
          <t>V10.5</t>
        </is>
      </c>
      <c r="B35" s="14" t="inlineStr">
        <is>
          <t>OIDC Client</t>
        </is>
      </c>
      <c r="C35" s="15" t="inlineStr">
        <is>
          <t>V10.5.3</t>
        </is>
      </c>
      <c r="D35" s="16" t="inlineStr">
        <is>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is>
      </c>
      <c r="E35" s="17" t="n">
        <v>2</v>
      </c>
      <c r="F35" s="18" t="inlineStr">
        <is>
          <t>Compliant</t>
        </is>
      </c>
      <c r="G35" s="16" t="inlineStr">
        <is>
          <t>The Spring Boot backend validate the iss claim against a pre-configured Keycloak issuer URL. Any token with a different issuer is rejected, preventing authorization server impersonation.</t>
        </is>
      </c>
      <c r="H35" s="16" t="inlineStr">
        <is>
          <t>Api/src/main/.../Security/SecurityConfig.java; application.properties (issuer-uri)</t>
        </is>
      </c>
    </row>
    <row r="36" ht="96" customHeight="1" s="33">
      <c r="A36" s="19" t="inlineStr">
        <is>
          <t>V10.5</t>
        </is>
      </c>
      <c r="B36" s="19" t="inlineStr">
        <is>
          <t>OIDC Client</t>
        </is>
      </c>
      <c r="C36" s="20" t="inlineStr">
        <is>
          <t>V10.5.4</t>
        </is>
      </c>
      <c r="D36" s="21" t="inlineStr">
        <is>
          <t>Verify that the client validates that the ID Token is intended to be used for that client (audience) by checking that the 'aud' claim from the token is equal to the 'client_id' value for the client.</t>
        </is>
      </c>
      <c r="E36" s="17" t="n">
        <v>2</v>
      </c>
      <c r="F36" s="18" t="inlineStr">
        <is>
          <t>Compliant</t>
        </is>
      </c>
      <c r="G36" s="21" t="inlineStr">
        <is>
          <t>The aud claim in ID Tokens is validated by the Spring Security JWT decoder configured with arcadehaven-api audience. The realm export configures the audience mapper so the arcadehaven-public client receives tokens with the correct audience claim.</t>
        </is>
      </c>
      <c r="H36" s="21" t="inlineStr">
        <is>
          <t>Api/src/main/resources/application.properties (spring.security.oauth2.resourceserver.jwt.audiences=arcadehaven-api); keycloak/realm-export.json</t>
        </is>
      </c>
    </row>
    <row r="37" ht="105" customHeight="1" s="33">
      <c r="A37" s="14" t="inlineStr">
        <is>
          <t>V10.5</t>
        </is>
      </c>
      <c r="B37" s="14" t="inlineStr">
        <is>
          <t>OIDC Client</t>
        </is>
      </c>
      <c r="C37" s="15" t="inlineStr">
        <is>
          <t>V10.5.5</t>
        </is>
      </c>
      <c r="D37" s="16" t="inlineStr">
        <is>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is>
      </c>
      <c r="E37" s="17" t="n">
        <v>2</v>
      </c>
      <c r="F37" s="18" t="inlineStr">
        <is>
          <t>Not Applicable</t>
        </is>
      </c>
      <c r="G37" s="16" t="inlineStr">
        <is>
          <t xml:space="preserve">OIDC back-channel logout is not implemented. Session termination relies on refresh token revocation and short-lived access tokens. </t>
        </is>
      </c>
      <c r="H37" s="16" t="n"/>
    </row>
    <row r="38" ht="18" customHeight="1" s="33">
      <c r="A38" s="13" t="inlineStr">
        <is>
          <t>V10.6</t>
        </is>
      </c>
      <c r="B38" s="13" t="inlineStr">
        <is>
          <t>OpenID Provider</t>
        </is>
      </c>
      <c r="C38" s="13" t="n"/>
      <c r="D38" s="13" t="n"/>
      <c r="E38" s="13" t="n"/>
      <c r="F38" s="13" t="n"/>
      <c r="G38" s="13" t="n"/>
      <c r="H38" s="13" t="n"/>
    </row>
    <row r="39" ht="75" customHeight="1" s="33">
      <c r="A39" s="14" t="inlineStr">
        <is>
          <t>V10.6</t>
        </is>
      </c>
      <c r="B39" s="14" t="inlineStr">
        <is>
          <t>OpenID Provider</t>
        </is>
      </c>
      <c r="C39" s="15" t="inlineStr">
        <is>
          <t>V10.6.1</t>
        </is>
      </c>
      <c r="D39" s="16" t="inlineStr">
        <is>
          <t>Verify that the OpenID Provider only allows values 'code', 'ciba', 'id_token', or 'id_token code' for response mode. Note that 'code' is preferred over 'id_token code' (the OIDC Hybrid flow), and 'token' (any Implicit flow) must not be used.</t>
        </is>
      </c>
      <c r="E39" s="17" t="n">
        <v>2</v>
      </c>
      <c r="F39" s="18" t="inlineStr">
        <is>
          <t>Compliant</t>
        </is>
      </c>
      <c r="G39" s="16" t="inlineStr">
        <is>
          <t>The arcadehaven-public client is configured with implicitFlowEnabled=false and standardFlowEnabled=true (Authorization Code flow only). The OpenID Provider (Keycloak) only issues code response types for ArcadeHaven clients. id_token and token response types are not permitted.</t>
        </is>
      </c>
      <c r="H39" s="16" t="inlineStr">
        <is>
          <t>keycloak/realm-export.json (arcadehaven-public: implicitFlowEnabled=false, standardFlowEnabled=true)</t>
        </is>
      </c>
    </row>
    <row r="40" ht="106.5" customHeight="1" s="33">
      <c r="A40" s="19" t="inlineStr">
        <is>
          <t>V10.6</t>
        </is>
      </c>
      <c r="B40" s="19" t="inlineStr">
        <is>
          <t>OpenID Provider</t>
        </is>
      </c>
      <c r="C40" s="20" t="inlineStr">
        <is>
          <t>V10.6.2</t>
        </is>
      </c>
      <c r="D40" s="21" t="inlineStr">
        <is>
          <t>Verify that the OpenID Provider mitigates denial of service through forced logout. By obtaining explicit confirmation from the end-user or, if present, validating parameters in the logout request (initiated by the relying party), such as the 'id_token_hint'.</t>
        </is>
      </c>
      <c r="E40" s="17" t="n">
        <v>2</v>
      </c>
      <c r="F40" s="18" t="inlineStr">
        <is>
          <t>Compliant</t>
        </is>
      </c>
      <c r="G40" s="21" t="inlineStr">
        <is>
          <t>Keycloak validates logout requests and supports id_token_hint to confirm session identity before terminating. The ArcadeHaven POST /api/auth/logout endpoint forwards session revocation to Keycloak, which handles forced-logout DoS through its built-in flow validation.</t>
        </is>
      </c>
      <c r="H40" s="21" t="inlineStr">
        <is>
          <t>keycloak/realm-export.json (Keycloak manages logout flow validation); Api/src/main/.../Service/AuthService.java (logout() -&gt; Keycloak revocation); Security/RateLimitFilter.java</t>
        </is>
      </c>
    </row>
    <row r="41" ht="18" customHeight="1" s="33">
      <c r="A41" s="13" t="inlineStr">
        <is>
          <t>V10.7</t>
        </is>
      </c>
      <c r="B41" s="13" t="inlineStr">
        <is>
          <t>Consent Management</t>
        </is>
      </c>
      <c r="C41" s="13" t="n"/>
      <c r="D41" s="13" t="n"/>
      <c r="E41" s="13" t="n"/>
      <c r="F41" s="13" t="n"/>
      <c r="G41" s="13" t="n"/>
      <c r="H41" s="13" t="n"/>
    </row>
    <row r="42" ht="138" customHeight="1" s="33">
      <c r="A42" s="14" t="inlineStr">
        <is>
          <t>V10.7</t>
        </is>
      </c>
      <c r="B42" s="14" t="inlineStr">
        <is>
          <t>Consent Management</t>
        </is>
      </c>
      <c r="C42" s="15" t="inlineStr">
        <is>
          <t>V10.7.1</t>
        </is>
      </c>
      <c r="D42" s="16" t="inlineStr">
        <is>
          <t>Verify that the authorization server ensures that the user consents to each authorization request. If the identity of the client cannot be assured, the authorization server must always explicitly prompt the user for consent.</t>
        </is>
      </c>
      <c r="E42" s="17" t="n">
        <v>2</v>
      </c>
      <c r="F42" s="18" t="inlineStr">
        <is>
          <t>Compliant</t>
        </is>
      </c>
      <c r="G42" s="16" t="inlineStr">
        <is>
          <t>For first-party pre-registered clients consentRequired=false. Keycloak prompts explicit consent for any external client whose identity cannot be assured. Dynamic client registration is not supported, so all clients are trusted first-party applications.</t>
        </is>
      </c>
      <c r="H42" s="16" t="inlineStr">
        <is>
          <t>keycloak/realm-export.json (arcadehaven-public: consentRequired=false; dynamic client registration disabled)</t>
        </is>
      </c>
    </row>
    <row r="43" ht="105" customHeight="1" s="33">
      <c r="A43" s="19" t="inlineStr">
        <is>
          <t>V10.7</t>
        </is>
      </c>
      <c r="B43" s="19" t="inlineStr">
        <is>
          <t>Consent Management</t>
        </is>
      </c>
      <c r="C43" s="20" t="inlineStr">
        <is>
          <t>V10.7.2</t>
        </is>
      </c>
      <c r="D43" s="21" t="inlineStr">
        <is>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is>
      </c>
      <c r="E43" s="17" t="n">
        <v>2</v>
      </c>
      <c r="F43" s="18" t="inlineStr">
        <is>
          <t>Compliant</t>
        </is>
      </c>
      <c r="G43" s="21" t="inlineStr">
        <is>
          <t>Keycloak's built-in consent screen presents the authorizing application name, the requested scopes (openid, profile, email, roles), and session lifetime to the user before approval. This satisfies the requirement for clear and sufficient information about what is being authorized.</t>
        </is>
      </c>
      <c r="H43" s="21" t="inlineStr">
        <is>
          <t>keycloak/realm-export.json (Keycloak consent UI renders scope, client identity, and session lifetime)</t>
        </is>
      </c>
    </row>
    <row r="44" ht="111" customHeight="1" s="33">
      <c r="A44" s="14" t="inlineStr">
        <is>
          <t>V10.7</t>
        </is>
      </c>
      <c r="B44" s="14" t="inlineStr">
        <is>
          <t>Consent Management</t>
        </is>
      </c>
      <c r="C44" s="15" t="inlineStr">
        <is>
          <t>V10.7.3</t>
        </is>
      </c>
      <c r="D44" s="16" t="inlineStr">
        <is>
          <t>Verify that the user can review, modify, and revoke consents which the user has granted through the authorization server.</t>
        </is>
      </c>
      <c r="E44" s="17" t="n">
        <v>2</v>
      </c>
      <c r="F44" s="18" t="inlineStr">
        <is>
          <t>Compliant</t>
        </is>
      </c>
      <c r="G44" s="16" t="inlineStr">
        <is>
          <t>Users can review, modify, and revoke granted consents and active sessions via the Keycloak account management console (/realms/arcadehaven/account). Additionally, POST /api/auth/logout triggers full session revocation via the Keycloak Admin API.</t>
        </is>
      </c>
      <c r="H44" s="16" t="inlineStr">
        <is>
          <t>keycloak/realm-export.json; Api/src/main/.../Service/AuthService.java (logout() revokes all sessions); Controller/AuthController.java; Keycloak /realms/arcadehaven/account</t>
        </is>
      </c>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44"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2.xml><?xml version="1.0" encoding="utf-8"?>
<worksheet xmlns="http://schemas.openxmlformats.org/spreadsheetml/2006/main">
  <sheetPr>
    <outlinePr summaryBelow="1" summaryRight="1"/>
    <pageSetUpPr/>
  </sheetPr>
  <dimension ref="A1:H32"/>
  <sheetViews>
    <sheetView zoomScale="75" zoomScaleNormal="75" workbookViewId="0">
      <pane ySplit="1" topLeftCell="A25" activePane="bottomLeft" state="frozen"/>
      <selection pane="bottomLeft" activeCell="F28" sqref="F28"/>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V11.1</t>
        </is>
      </c>
      <c r="B2" s="13" t="inlineStr">
        <is>
          <t>Cryptographic Inventory and Documentation</t>
        </is>
      </c>
      <c r="C2" s="13" t="n"/>
      <c r="D2" s="13" t="n"/>
      <c r="E2" s="13" t="n"/>
      <c r="F2" s="13" t="n"/>
      <c r="G2" s="13" t="n"/>
      <c r="H2" s="13" t="n"/>
    </row>
    <row r="3" ht="210" customHeight="1" s="33">
      <c r="A3" s="14" t="inlineStr">
        <is>
          <t>V11.1</t>
        </is>
      </c>
      <c r="B3" s="14" t="inlineStr">
        <is>
          <t>Cryptographic Inventory and Documentation</t>
        </is>
      </c>
      <c r="C3" s="15" t="inlineStr">
        <is>
          <t>V11.1.1</t>
        </is>
      </c>
      <c r="D3" s="16" t="inlineStr">
        <is>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is>
      </c>
      <c r="E3" s="17" t="n">
        <v>2</v>
      </c>
      <c r="F3" s="18" t="inlineStr">
        <is>
          <t>In Progress</t>
        </is>
      </c>
      <c r="G3" s="16" t="inlineStr">
        <is>
          <t>ArcadeHaven's cryptographic keys are documented at the requirements level: the JWT signing secret is managed as an environment variable (RNF-23, SC-001), and the BCrypt cost factor is a configurable application parameter (RNF-01). A formal key management lifecycle document covering key generation, storage, rotation schedule, expiry, and revocation — aligned with NIST SP 800-57 — is being produced. The JWT signing key is the highest-priority asset: its compromise would allow forging authentication tokens for any user role.</t>
        </is>
      </c>
      <c r="H3" s="16" t="inlineStr">
        <is>
          <t>Api/src/main/.../Security/WebServerTlsConfig.java (ENABLED_TLS_PROTOCOLS, APPROVED/FORBIDDEN cipher suites); application.properties (TLS 1.2+)</t>
        </is>
      </c>
    </row>
    <row r="4" ht="180" customHeight="1" s="33">
      <c r="A4" s="19" t="inlineStr">
        <is>
          <t>V11.1</t>
        </is>
      </c>
      <c r="B4" s="19" t="inlineStr">
        <is>
          <t>Cryptographic Inventory and Documentation</t>
        </is>
      </c>
      <c r="C4" s="20" t="inlineStr">
        <is>
          <t>V11.1.2</t>
        </is>
      </c>
      <c r="D4" s="21" t="inlineStr">
        <is>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is>
      </c>
      <c r="E4" s="17" t="n">
        <v>2</v>
      </c>
      <c r="F4" s="18" t="inlineStr">
        <is>
          <t>Compliant</t>
        </is>
      </c>
      <c r="G4" s="16" t="inlineStr">
        <is>
          <t>Cryptographic inventory documented in Documentation/CryptographicInventory.md. Covers 6 assets: KA-01 JWT RS256 (Keycloak, 2048-bit RSA), KA-02 BCrypt cost-12 (Keycloak password storage), KA-03 CSPRNG 128-bit SecureRandom (activation key generation), KA-04 SHA-1 HIBP k-anonymity (non-cryptographic, protocol-mandated), KA-05 TLS 1.2/1.3 AES-256-GCM ECDHE, KA-06 SSH RSA/ECDSA host key verification. Each asset includes algorithm justification, key size, usage, config location, and status. Prohibited algorithms table included (MD5, SHA-1 for crypto, DES/3DES, RC4, ECB, PKCS#1v1.5, alg:none).</t>
        </is>
      </c>
      <c r="H4" s="21" t="inlineStr">
        <is>
          <t>Documentation/CryptographicInventory.md (sections 1-2, 4-5)</t>
        </is>
      </c>
    </row>
    <row r="5" ht="45" customHeight="1" s="33">
      <c r="A5" s="14" t="inlineStr">
        <is>
          <t>V11.1</t>
        </is>
      </c>
      <c r="B5" s="14" t="inlineStr">
        <is>
          <t>Cryptographic Inventory and Documentation</t>
        </is>
      </c>
      <c r="C5" s="15" t="inlineStr">
        <is>
          <t>V11.1.3</t>
        </is>
      </c>
      <c r="D5" s="16" t="inlineStr">
        <is>
          <t>Verify that cryptographic discovery mechanisms are employed to identify all instances of cryptography in the system, including encryption, hashing, and signing operations.</t>
        </is>
      </c>
      <c r="E5" s="23" t="n">
        <v>3</v>
      </c>
      <c r="F5" s="18" t="inlineStr">
        <is>
          <t>Not Applicable</t>
        </is>
      </c>
      <c r="G5" s="21" t="n"/>
      <c r="H5" s="16" t="n"/>
    </row>
    <row r="6" ht="60" customHeight="1" s="33">
      <c r="A6" s="19" t="inlineStr">
        <is>
          <t>V11.1</t>
        </is>
      </c>
      <c r="B6" s="19" t="inlineStr">
        <is>
          <t>Cryptographic Inventory and Documentation</t>
        </is>
      </c>
      <c r="C6" s="20" t="inlineStr">
        <is>
          <t>V11.1.4</t>
        </is>
      </c>
      <c r="D6" s="21" t="inlineStr">
        <is>
          <t>Verify that a cryptographic inventory is maintained. This must include a documented plan that outlines the migration path to new cryptographic standards, such as post-quantum cryptography, in order to react to future threats.</t>
        </is>
      </c>
      <c r="E6" s="23" t="n">
        <v>3</v>
      </c>
      <c r="F6" s="18" t="inlineStr">
        <is>
          <t>Not Applicable</t>
        </is>
      </c>
      <c r="G6" s="16" t="n"/>
      <c r="H6" s="21" t="n"/>
    </row>
    <row r="7">
      <c r="A7" s="13" t="inlineStr">
        <is>
          <t>V11.2</t>
        </is>
      </c>
      <c r="B7" s="13" t="inlineStr">
        <is>
          <t>Secure Cryptography Implementation</t>
        </is>
      </c>
      <c r="C7" s="13" t="n"/>
      <c r="D7" s="13" t="n"/>
      <c r="E7" s="13" t="n"/>
      <c r="F7" s="13" t="n"/>
      <c r="G7" s="13" t="n"/>
      <c r="H7" s="13" t="n"/>
    </row>
    <row r="8" ht="165" customHeight="1" s="33">
      <c r="A8" s="14" t="inlineStr">
        <is>
          <t>V11.2</t>
        </is>
      </c>
      <c r="B8" s="14" t="inlineStr">
        <is>
          <t>Secure Cryptography Implementation</t>
        </is>
      </c>
      <c r="C8" s="15" t="inlineStr">
        <is>
          <t>V11.2.1</t>
        </is>
      </c>
      <c r="D8" s="16" t="inlineStr">
        <is>
          <t>Verify that industry-validated implementations (including libraries and hardware-accelerated implementations) are used for cryptographic operations.</t>
        </is>
      </c>
      <c r="E8" s="17" t="n">
        <v>2</v>
      </c>
      <c r="F8" s="18" t="inlineStr">
        <is>
          <t>Compliant</t>
        </is>
      </c>
      <c r="G8" s="16" t="inlineStr">
        <is>
          <t>ArcadeHaven uses industry-standard libraries for all cryptographic operations. BCrypt is implemented via Spring Security's BCryptPasswordEncoder, a widely audited production-grade implementation. JWT signing and verification uses a standard JWT library (jjwt or Spring Security OAuth2). No custom cryptographic code is written — all operations are delegated to these validated libraries.</t>
        </is>
      </c>
      <c r="H8" s="16" t="inlineStr">
        <is>
          <t>Api/src/main/.../Service/PasswordPolicyService.java; Security/SecurityConfig.java; Api/pom.xml</t>
        </is>
      </c>
    </row>
    <row r="9" ht="225" customHeight="1" s="33">
      <c r="A9" s="19" t="inlineStr">
        <is>
          <t>V11.2</t>
        </is>
      </c>
      <c r="B9" s="19" t="inlineStr">
        <is>
          <t>Secure Cryptography Implementation</t>
        </is>
      </c>
      <c r="C9" s="20" t="inlineStr">
        <is>
          <t>V11.2.2</t>
        </is>
      </c>
      <c r="D9" s="21" t="inlineStr">
        <is>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is>
      </c>
      <c r="E9" s="17" t="n">
        <v>2</v>
      </c>
      <c r="F9" s="18" t="inlineStr">
        <is>
          <t>Compliant</t>
        </is>
      </c>
      <c r="G9" s="21" t="inlineStr">
        <is>
          <t>Crypto agility migration procedures documented in Documentation/CryptographicInventory.md §3. Five migration paths documented: RS256-&gt;ES256 (Keycloak key provider swap, no Spring code change), BCrypt-&gt;Argon2id (Keycloak password policy swap, transparent re-hash on login), BCrypt work-factor increase (Keycloak realm settings only), activation key size 128-&gt;256 bit (change new byte[16] to new byte[32] + Flyway migration), TLS protocol/cipher change (application.properties + nginx config). No algorithm is embedded in business logic; all changes require only configuration.</t>
        </is>
      </c>
      <c r="H9" s="21" t="inlineStr">
        <is>
          <t>Documentation/CryptographicInventory.md §3 (Migration Procedures 3.1-3.5)</t>
        </is>
      </c>
    </row>
    <row r="10" ht="150" customHeight="1" s="33">
      <c r="A10" s="14" t="inlineStr">
        <is>
          <t>V11.2</t>
        </is>
      </c>
      <c r="B10" s="14" t="inlineStr">
        <is>
          <t>Secure Cryptography Implementation</t>
        </is>
      </c>
      <c r="C10" s="15" t="inlineStr">
        <is>
          <t>V11.2.3</t>
        </is>
      </c>
      <c r="D10" s="16" t="inlineStr">
        <is>
          <t>Verify that all cryptographic primitives utilize a minimum of 128-bits of security based on the algorithm, key size, and configuration. For example, a 256-bit ECC key provides roughly 128 bits of security where RSA requires a 3072-bit key to achieve 128 bits of security.</t>
        </is>
      </c>
      <c r="E10" s="17" t="n">
        <v>2</v>
      </c>
      <c r="F10" s="18" t="inlineStr">
        <is>
          <t>Compliant</t>
        </is>
      </c>
      <c r="G10" s="16" t="inlineStr">
        <is>
          <t>BCrypt with work factor 12 provides adequate security against brute-force attacks on the hash output. JWT HS256 uses a 256-bit HMAC key, providing 128-bit security equivalence. TLS 1.2+ mandates cipher suites with at least 128-bit security (AES-128-GCM or AES-256-GCM). The JWT signing secret must be at least 256 bits (32 bytes) to match the HS256 key size requirement.</t>
        </is>
      </c>
      <c r="H10" s="16" t="inlineStr">
        <is>
          <t>Api/src/main/.../Security/SecurityConfig.java (RS256/HS256, BCrypt&gt;=12, TLS1.2+)</t>
        </is>
      </c>
    </row>
    <row r="11" ht="240" customHeight="1" s="33">
      <c r="A11" s="19" t="inlineStr">
        <is>
          <t>V11.2</t>
        </is>
      </c>
      <c r="B11" s="19" t="inlineStr">
        <is>
          <t>Secure Cryptography Implementation</t>
        </is>
      </c>
      <c r="C11" s="20" t="inlineStr">
        <is>
          <t>V11.2.4</t>
        </is>
      </c>
      <c r="D11" s="21" t="inlineStr">
        <is>
          <t>Verify that all cryptographic operations are constant-time, with no 'short-circuit' operations in comparisons, calculations, or returns, to avoid leaking information.</t>
        </is>
      </c>
      <c r="E11" s="23" t="n">
        <v>3</v>
      </c>
      <c r="F11" s="18" t="inlineStr">
        <is>
          <t>Compliant</t>
        </is>
      </c>
      <c r="G11" s="21" t="inlineStr">
        <is>
          <t>Although a Level 3 requirement, ArcadeHaven's cryptographic libraries already implement constant-time behavior. Spring Security's BCryptPasswordEncoder.matches() uses constant-time comparison for hash verification. Standard JWT libraries (jjwt, Spring Security OAuth2) use constant-time HMAC comparison to prevent timing side-channel attacks on signature verification. No custom comparison logic bypasses these guarantees. A formal verification sweep to confirm no application-level comparison paths short-circuit on cryptographic values has not yet been completed.</t>
        </is>
      </c>
      <c r="H11" s="21" t="inlineStr">
        <is>
          <t>Api/src/main/.../Security/SecurityConfig.java (BCryptPasswordEncoder.matches, Nimbus JOSE)</t>
        </is>
      </c>
    </row>
    <row r="12" ht="195" customHeight="1" s="33">
      <c r="A12" s="14" t="inlineStr">
        <is>
          <t>V11.2</t>
        </is>
      </c>
      <c r="B12" s="14" t="inlineStr">
        <is>
          <t>Secure Cryptography Implementation</t>
        </is>
      </c>
      <c r="C12" s="15" t="inlineStr">
        <is>
          <t>V11.2.5</t>
        </is>
      </c>
      <c r="D12" s="16" t="inlineStr">
        <is>
          <t>Verify that all cryptographic modules fail securely, and errors are handled in a way that does not enable vulnerabilities, such as Padding Oracle attacks.</t>
        </is>
      </c>
      <c r="E12" s="23" t="n">
        <v>3</v>
      </c>
      <c r="F12" s="18" t="inlineStr">
        <is>
          <t>Not Applicable</t>
        </is>
      </c>
      <c r="G12" s="16" t="inlineStr">
        <is>
          <t>Padding Oracle attacks require an application to perform CBC-mode block cipher decryption and return distinguishable error responses for padding failures versus decryption failures. ArcadeHaven performs no application-level CBC decryption. Transport encryption is handled entirely by TLS (RNF-05); password storage uses BCrypt (not a symmetric cipher); JWT uses HMAC-SHA256 signing (not encryption). The attack surface for Padding Oracle vulnerabilities is architecturally absent.</t>
        </is>
      </c>
      <c r="H12" s="16" t="n"/>
    </row>
    <row r="13">
      <c r="A13" s="13" t="inlineStr">
        <is>
          <t>V11.3</t>
        </is>
      </c>
      <c r="B13" s="13" t="inlineStr">
        <is>
          <t>Encryption Algorithms</t>
        </is>
      </c>
      <c r="C13" s="13" t="n"/>
      <c r="D13" s="13" t="n"/>
      <c r="E13" s="13" t="n"/>
      <c r="F13" s="13" t="n"/>
      <c r="G13" s="13" t="n"/>
      <c r="H13" s="13" t="n"/>
    </row>
    <row r="14" ht="150" customHeight="1" s="33">
      <c r="A14" s="14" t="inlineStr">
        <is>
          <t>V11.3</t>
        </is>
      </c>
      <c r="B14" s="14" t="inlineStr">
        <is>
          <t>Encryption Algorithms</t>
        </is>
      </c>
      <c r="C14" s="15" t="inlineStr">
        <is>
          <t>V11.3.1</t>
        </is>
      </c>
      <c r="D14" s="16" t="inlineStr">
        <is>
          <t>Verify that insecure block modes (e.g., ECB) and weak padding schemes (e.g., PKCS#1 v1.5) are not used.</t>
        </is>
      </c>
      <c r="E14" s="22" t="n">
        <v>1</v>
      </c>
      <c r="F14" s="18" t="inlineStr">
        <is>
          <t>Compliant</t>
        </is>
      </c>
      <c r="G14" s="16" t="inlineStr">
        <is>
          <t>ArcadeHaven does not implement application-level symmetric encryption. All block cipher usage is within TLS 1.2+, which prohibits ECB mode and PKCS#1 v1.5 padding. BCrypt does not use ECB; JWT payloads are Base64url-encoded and signed — not encrypted with a block cipher. No ECB or weak padding schemes exist in the application's cryptographic surface.</t>
        </is>
      </c>
      <c r="H14" s="16" t="inlineStr">
        <is>
          <t>Api/src/main/.../Security/SecurityConfig.java (TLS1.2+ only, no ECB)</t>
        </is>
      </c>
    </row>
    <row r="15" ht="150" customHeight="1" s="33">
      <c r="A15" s="19" t="inlineStr">
        <is>
          <t>V11.3</t>
        </is>
      </c>
      <c r="B15" s="19" t="inlineStr">
        <is>
          <t>Encryption Algorithms</t>
        </is>
      </c>
      <c r="C15" s="20" t="inlineStr">
        <is>
          <t>V11.3.2</t>
        </is>
      </c>
      <c r="D15" s="21" t="inlineStr">
        <is>
          <t>Verify that only approved ciphers and modes such as AES with GCM are used.</t>
        </is>
      </c>
      <c r="E15" s="22" t="n">
        <v>1</v>
      </c>
      <c r="F15" s="18" t="inlineStr">
        <is>
          <t>Compliant</t>
        </is>
      </c>
      <c r="G15" s="21" t="inlineStr">
        <is>
          <t>Transport encryption across all ArcadeHaven endpoints uses HTTPS with TLS 1.2 or higher (RNF-05). TLS 1.2+ negotiates only approved cipher suites including AES-128-GCM and AES-256-GCM. The application does not perform additional symmetric encryption beyond what TLS provides — data at rest is either BCrypt-hashed (passwords) or stored with access controls.</t>
        </is>
      </c>
      <c r="H15" s="21" t="inlineStr">
        <is>
          <t>Api/src/main/.../Security/SecurityConfig.java (TLS AES-GCM cipher suites)</t>
        </is>
      </c>
    </row>
    <row r="16" ht="150" customHeight="1" s="33">
      <c r="A16" s="14" t="inlineStr">
        <is>
          <t>V11.3</t>
        </is>
      </c>
      <c r="B16" s="14" t="inlineStr">
        <is>
          <t>Encryption Algorithms</t>
        </is>
      </c>
      <c r="C16" s="15" t="inlineStr">
        <is>
          <t>V11.3.3</t>
        </is>
      </c>
      <c r="D16" s="16" t="inlineStr">
        <is>
          <t>Verify that encrypted data is protected against unauthorized modification preferably by using an approved authenticated encryption method or by combining an approved encryption method with an approved MAC algorithm.</t>
        </is>
      </c>
      <c r="E16" s="17" t="n">
        <v>2</v>
      </c>
      <c r="F16" s="18" t="inlineStr">
        <is>
          <t>Compliant</t>
        </is>
      </c>
      <c r="G16" s="16" t="inlineStr">
        <is>
          <t>JWT tokens — the primary bearer of sensitive state in ArcadeHaven — use HMAC-SHA256 (HS256) to produce a signature over the Base64url-encoded header and payload. Any modification to the token claims (e.g., changing the user role from buyer to admin) invalidates the signature and causes rejection. TLS-protected responses are also integrity-protected by the TLS record MAC.</t>
        </is>
      </c>
      <c r="H16" s="16" t="inlineStr">
        <is>
          <t>Api/src/main/.../Security/SecurityConfig.java (HMAC-SHA256 JWT integrity)</t>
        </is>
      </c>
    </row>
    <row r="17" ht="60" customHeight="1" s="33">
      <c r="A17" s="19" t="inlineStr">
        <is>
          <t>V11.3</t>
        </is>
      </c>
      <c r="B17" s="19" t="inlineStr">
        <is>
          <t>Encryption Algorithms</t>
        </is>
      </c>
      <c r="C17" s="20" t="inlineStr">
        <is>
          <t>V11.3.4</t>
        </is>
      </c>
      <c r="D17" s="21" t="inlineStr">
        <is>
          <t>Verify that nonces, initialization vectors, and other single-use numbers are not used for more than one encryption key and data-element pair. The method of generation must be appropriate for the algorithm being used.</t>
        </is>
      </c>
      <c r="E17" s="23" t="n">
        <v>3</v>
      </c>
      <c r="F17" s="18" t="inlineStr">
        <is>
          <t>Not Applicable</t>
        </is>
      </c>
      <c r="G17" s="21" t="n"/>
      <c r="H17" s="21" t="n"/>
    </row>
    <row r="18" ht="195" customHeight="1" s="33">
      <c r="A18" s="14" t="inlineStr">
        <is>
          <t>V11.3</t>
        </is>
      </c>
      <c r="B18" s="14" t="inlineStr">
        <is>
          <t>Encryption Algorithms</t>
        </is>
      </c>
      <c r="C18" s="15" t="inlineStr">
        <is>
          <t>V11.3.5</t>
        </is>
      </c>
      <c r="D18" s="16" t="inlineStr">
        <is>
          <t>Verify that any combination of an encryption algorithm and a MAC algorithm is operating in encrypt-then-MAC mode.</t>
        </is>
      </c>
      <c r="E18" s="23" t="n">
        <v>3</v>
      </c>
      <c r="F18" s="18" t="inlineStr">
        <is>
          <t>Not Applicable</t>
        </is>
      </c>
      <c r="G18" s="21" t="inlineStr">
        <is>
          <t>ArcadeHaven implements no custom combination of a symmetric cipher and a separate MAC algorithm. JWT uses sign-then-Base64url-encode with HMAC-SHA256 (not a cipher+MAC combination). TLS-authenticated encryption (AEAD via AES-GCM) is handled internally by the TLS stack — the application does not compose encryption and MAC operations separately. The encrypt-then-MAC ordering concern is architecturally inapplicable to ArcadeHaven's cryptographic surface.</t>
        </is>
      </c>
      <c r="H18" s="16" t="n"/>
    </row>
    <row r="19">
      <c r="A19" s="13" t="inlineStr">
        <is>
          <t>V11.4</t>
        </is>
      </c>
      <c r="B19" s="13" t="inlineStr">
        <is>
          <t>Hashing and Hash-based Functions</t>
        </is>
      </c>
      <c r="C19" s="13" t="n"/>
      <c r="D19" s="13" t="n"/>
      <c r="E19" s="13" t="n"/>
      <c r="F19" s="13" t="n"/>
      <c r="G19" s="13" t="n"/>
      <c r="H19" s="13" t="n"/>
    </row>
    <row r="20" ht="135" customHeight="1" s="33">
      <c r="A20" s="14" t="inlineStr">
        <is>
          <t>V11.4</t>
        </is>
      </c>
      <c r="B20" s="14" t="inlineStr">
        <is>
          <t>Hashing and Hash-based Functions</t>
        </is>
      </c>
      <c r="C20" s="15" t="inlineStr">
        <is>
          <t>V11.4.1</t>
        </is>
      </c>
      <c r="D20" s="16" t="inlineStr">
        <is>
          <t>Verify that only approved hash functions are used for general cryptographic use cases, including digital signatures, HMAC, KDF, and random bit generation. Disallowed hash functions, such as MD5, must not be used for any cryptographic purpose.</t>
        </is>
      </c>
      <c r="E20" s="22" t="n">
        <v>1</v>
      </c>
      <c r="F20" s="18" t="inlineStr">
        <is>
          <t>Compliant</t>
        </is>
      </c>
      <c r="G20" s="27" t="inlineStr">
        <is>
          <t>ArcadeHaven uses only approved hash functions. BCrypt (for password hashing) uses an internal Blowfish-based construction approved as a password KDF. JWT signing uses HMAC-SHA256, an approved MAC construction based on SHA-256. MD5 and SHA-1 are not used anywhere in the application's cryptographic surface.</t>
        </is>
      </c>
      <c r="H20" s="16" t="inlineStr">
        <is>
          <t>Api/src/main/.../Service/PasswordPolicyService.java (SHA-1 HIBP-only, non-cryptographic)</t>
        </is>
      </c>
    </row>
    <row r="21" ht="195" customHeight="1" s="33">
      <c r="A21" s="19" t="inlineStr">
        <is>
          <t>V11.4</t>
        </is>
      </c>
      <c r="B21" s="19" t="inlineStr">
        <is>
          <t>Hashing and Hash-based Functions</t>
        </is>
      </c>
      <c r="C21" s="20" t="inlineStr">
        <is>
          <t>V11.4.2</t>
        </is>
      </c>
      <c r="D21" s="21" t="inlineStr">
        <is>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is>
      </c>
      <c r="E21" s="17" t="n">
        <v>2</v>
      </c>
      <c r="F21" s="18" t="inlineStr">
        <is>
          <t>Compliant</t>
        </is>
      </c>
      <c r="G21" s="27" t="inlineStr">
        <is>
          <t>All ArcadeHaven user passwords are stored as BCrypt hashes (RNF-01, AC-001). BCrypt is the industry-standard password KDF, specifically designed to be computationally intensive and resistant to GPU-accelerated brute-force attacks. The work factor is configurable and must be set to at least 10; current OWASP guidance recommends 12. The work factor is stored in the hash itself, enabling seamless re-hashing to a higher cost factor in future. Plaintext passwords are never stored or logged.</t>
        </is>
      </c>
      <c r="H21" s="21" t="inlineStr">
        <is>
          <t>Api/src/main/.../Service/AuthService.java (Keycloak BCrypt &gt;= work factor 12)</t>
        </is>
      </c>
    </row>
    <row r="22" ht="180" customHeight="1" s="33">
      <c r="A22" s="14" t="inlineStr">
        <is>
          <t>V11.4</t>
        </is>
      </c>
      <c r="B22" s="14" t="inlineStr">
        <is>
          <t>Hashing and Hash-based Functions</t>
        </is>
      </c>
      <c r="C22" s="15" t="inlineStr">
        <is>
          <t>V11.4.3</t>
        </is>
      </c>
      <c r="D22" s="16" t="inlineStr">
        <is>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is>
      </c>
      <c r="E22" s="17" t="n">
        <v>2</v>
      </c>
      <c r="F22" s="18" t="inlineStr">
        <is>
          <t>Compliant</t>
        </is>
      </c>
      <c r="G22" s="27" t="inlineStr">
        <is>
          <t>JWT tokens in ArcadeHaven are signed using HMAC-SHA256 (HS256). SHA-256 produces a 256-bit (32-byte) output, meeting the minimum bit-length for collision resistance. The HMAC construction provides both collision resistance and a keyed MAC property, ensuring that only the holder of the JWT signing secret can produce a valid signature. This protects against token forgery and role claim modification (abuse case AC-03).</t>
        </is>
      </c>
      <c r="H22" s="16" t="inlineStr">
        <is>
          <t>Api/src/main/.../Security/SecurityConfig.java (HMAC-SHA256 256-bit / RS256)</t>
        </is>
      </c>
    </row>
    <row r="23" ht="180" customHeight="1" s="33">
      <c r="A23" s="19" t="inlineStr">
        <is>
          <t>V11.4</t>
        </is>
      </c>
      <c r="B23" s="19" t="inlineStr">
        <is>
          <t>Hashing and Hash-based Functions</t>
        </is>
      </c>
      <c r="C23" s="20" t="inlineStr">
        <is>
          <t>V11.4.4</t>
        </is>
      </c>
      <c r="D23" s="21" t="inlineStr">
        <is>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is>
      </c>
      <c r="E23" s="17" t="n">
        <v>2</v>
      </c>
      <c r="F23" s="18" t="inlineStr">
        <is>
          <t>Compliant</t>
        </is>
      </c>
      <c r="G23" s="21" t="inlineStr">
        <is>
          <t>BCrypt's adaptive cost factor provides key stretching for password hashing (RNF-01). The cost factor determines the number of Blowfish key schedule rounds, making each hash attempt exponentially more expensive as the factor increases. An attacker who obtains the BCrypt hash cannot brute-force the original password efficiently. The cost factor must be calibrated to take at least 100ms per hash on current hardware, per OWASP guidance.</t>
        </is>
      </c>
      <c r="H23" s="21" t="inlineStr">
        <is>
          <t>Api/src/main/.../Service/AuthService.java (Keycloak BCrypt adaptive cost)</t>
        </is>
      </c>
    </row>
    <row r="24">
      <c r="A24" s="13" t="inlineStr">
        <is>
          <t>V11.5</t>
        </is>
      </c>
      <c r="B24" s="13" t="inlineStr">
        <is>
          <t>Random Values</t>
        </is>
      </c>
      <c r="C24" s="13" t="n"/>
      <c r="D24" s="13" t="n"/>
      <c r="E24" s="13" t="n"/>
      <c r="F24" s="13" t="n"/>
      <c r="G24" s="13" t="n"/>
      <c r="H24" s="13" t="n"/>
    </row>
    <row r="25" ht="210" customHeight="1" s="33">
      <c r="A25" s="14" t="inlineStr">
        <is>
          <t>V11.5</t>
        </is>
      </c>
      <c r="B25" s="14" t="inlineStr">
        <is>
          <t>Random Values</t>
        </is>
      </c>
      <c r="C25" s="15" t="inlineStr">
        <is>
          <t>V11.5.1</t>
        </is>
      </c>
      <c r="D25" s="16" t="inlineStr">
        <is>
          <t>Verify that all random numbers and strings which are intended to be non-guessable must be generated using a cryptographically secure pseudo-random number generator (CSPRNG) and have at least 128 bits of entropy. Note that UUIDs do not respect this condition.</t>
        </is>
      </c>
      <c r="E25" s="17" t="n">
        <v>2</v>
      </c>
      <c r="F25" s="18" t="inlineStr">
        <is>
          <t>In Progress</t>
        </is>
      </c>
      <c r="G25" s="16" t="inlineStr">
        <is>
          <t>A security gap has been identified: RNF-08 specifies activation key generation using "UUID or equivalent," but this requirement explicitly states that UUIDs do not meet the CSPRNG 128-bit entropy condition. Activation keys grant access to purchased games in a buyer's library and are high-value targets for theft (abuse case AC-07). The fix is to generate 128 bits of raw entropy using Java's SecureRandom, encoded as a 32-character hex or 22-character base64url string. SC-003 and RNF-08 are being updated to reflect CSPRNG-based generation.</t>
        </is>
      </c>
      <c r="H25" s="16" t="inlineStr">
        <is>
          <t>Api/src/main/.../Service/SftpStorageService.java (UUID.randomUUID() for secure filenames); Domain entities (UUID primary keys via @GeneratedValue)</t>
        </is>
      </c>
    </row>
    <row r="26" ht="210" customHeight="1" s="33">
      <c r="A26" s="19" t="inlineStr">
        <is>
          <t>V11.5</t>
        </is>
      </c>
      <c r="B26" s="19" t="inlineStr">
        <is>
          <t>Random Values</t>
        </is>
      </c>
      <c r="C26" s="20" t="inlineStr">
        <is>
          <t>V11.5.2</t>
        </is>
      </c>
      <c r="D26" s="21" t="inlineStr">
        <is>
          <t>Verify that the random number generation mechanism in use is designed to work securely, even under heavy demand.</t>
        </is>
      </c>
      <c r="E26" s="23" t="n">
        <v>3</v>
      </c>
      <c r="F26" s="18" t="inlineStr">
        <is>
          <t>Compliant</t>
        </is>
      </c>
      <c r="G26" s="21" t="inlineStr">
        <is>
          <t>Although a Level 3 requirement, Java's SecureRandom — the CSPRNG mandated by V11.5.1 for activation key generation — is by design non-blocking and thread-safe under concurrent load. Since Java 9, the NativePRNGNonBlocking algorithm reads from /dev/urandom on Linux (never blocks) and the JVM reseeds automatically without degrading to a predictable state. No application-level changes are required; the mechanism is inherently compliant. A formal confirmation of the SecureRandom algorithm variant in use within the Docker container is pending.</t>
        </is>
      </c>
      <c r="H26" s="21" t="inlineStr">
        <is>
          <t>Java SecureRandom (NativePRNGNonBlocking on Linux, JVM built-in)</t>
        </is>
      </c>
    </row>
    <row r="27">
      <c r="A27" s="13" t="inlineStr">
        <is>
          <t>V11.6</t>
        </is>
      </c>
      <c r="B27" s="13" t="inlineStr">
        <is>
          <t>Public Key Cryptography</t>
        </is>
      </c>
      <c r="C27" s="13" t="n"/>
      <c r="D27" s="13" t="n"/>
      <c r="E27" s="13" t="n"/>
      <c r="F27" s="13" t="n"/>
      <c r="G27" s="13" t="n"/>
      <c r="H27" s="13" t="n"/>
    </row>
    <row r="28" ht="210" customHeight="1" s="33">
      <c r="A28" s="14" t="inlineStr">
        <is>
          <t>V11.6</t>
        </is>
      </c>
      <c r="B28" s="14" t="inlineStr">
        <is>
          <t>Public Key Cryptography</t>
        </is>
      </c>
      <c r="C28" s="15" t="inlineStr">
        <is>
          <t>V11.6.1</t>
        </is>
      </c>
      <c r="D28" s="16" t="inlineStr">
        <is>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is>
      </c>
      <c r="E28" s="17" t="n">
        <v>2</v>
      </c>
      <c r="F28" s="18" t="inlineStr">
        <is>
          <t>Compliant</t>
        </is>
      </c>
      <c r="G28" s="16" t="inlineStr">
        <is>
          <t>ArcadeHaven uses JWT for authentication (RNF-02). If HS256 is used, the HMAC shared secret is a random byte array with no susceptibility to RSA-specific attacks such as Fermat factorization. If RS256 is used, the RSA key pair must be generated via Java KeyPairGenerator with a minimum key size of 3072 bits — standard Spring Security and JWT library implementations enforce correct prime selection and are not vulnerable to Fermat factorization. Algorithm confusion attacks (HS256 vs RS256 swap) are rejected by the JWT library.</t>
        </is>
      </c>
      <c r="H28" s="16" t="inlineStr">
        <is>
          <t>Api/src/main/.../Security/SecurityConfig.java; application.properties (jwt.*)</t>
        </is>
      </c>
    </row>
    <row r="29" ht="150" customHeight="1" s="33">
      <c r="A29" s="19" t="inlineStr">
        <is>
          <t>V11.6</t>
        </is>
      </c>
      <c r="B29" s="19" t="inlineStr">
        <is>
          <t>Public Key Cryptography</t>
        </is>
      </c>
      <c r="C29" s="20" t="inlineStr">
        <is>
          <t>V11.6.2</t>
        </is>
      </c>
      <c r="D29" s="21" t="inlineStr">
        <is>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is>
      </c>
      <c r="E29" s="23" t="n">
        <v>3</v>
      </c>
      <c r="F29" s="18" t="inlineStr">
        <is>
          <t>Not Applicable</t>
        </is>
      </c>
      <c r="G29" s="21" t="inlineStr">
        <is>
          <t>ArcadeHaven performs no application-level key exchange. All key establishment is handled by TLS at the transport layer (RNF-05). The TLS stack negotiates cipher suites using ECDHE or DHE with approved parameters, which is an infrastructure concern. The application does not implement Diffie-Hellman or any key exchange protocol directly. This is also a Level 3 requirement.</t>
        </is>
      </c>
      <c r="H29" s="21" t="n"/>
    </row>
    <row r="30">
      <c r="A30" s="13" t="inlineStr">
        <is>
          <t>V11.7</t>
        </is>
      </c>
      <c r="B30" s="13" t="inlineStr">
        <is>
          <t>In-Use Data Cryptography</t>
        </is>
      </c>
      <c r="C30" s="13" t="n"/>
      <c r="D30" s="13" t="n"/>
      <c r="E30" s="13" t="n"/>
      <c r="F30" s="13" t="n"/>
      <c r="G30" s="13" t="n"/>
      <c r="H30" s="13" t="n"/>
    </row>
    <row r="31" ht="210" customHeight="1" s="33">
      <c r="A31" s="14" t="inlineStr">
        <is>
          <t>V11.7</t>
        </is>
      </c>
      <c r="B31" s="14" t="inlineStr">
        <is>
          <t>In-Use Data Cryptography</t>
        </is>
      </c>
      <c r="C31" s="15" t="inlineStr">
        <is>
          <t>V11.7.1</t>
        </is>
      </c>
      <c r="D31" s="16" t="inlineStr">
        <is>
          <t>Verify that full memory encryption is in use that protects sensitive data while it is in use, preventing access by unauthorized users or processes.</t>
        </is>
      </c>
      <c r="E31" s="23" t="n">
        <v>3</v>
      </c>
      <c r="F31" s="18" t="inlineStr">
        <is>
          <t>Not Applicable</t>
        </is>
      </c>
      <c r="G31" s="16" t="inlineStr">
        <is>
          <t>Full memory encryption (e.g., AMD SME/SEV, Intel TME) is a hardware and OS-level capability that operates below the application layer. ArcadeHaven cannot implement or control this from within a Java/Spring Boot application or Docker container. The application minimises sensitive data in memory: plaintext passwords are passed directly to BCrypt and not retained; JWT tokens live only for the duration of a single request. Memory protection beyond this scope is an infrastructure responsibility outside the application's control surface.</t>
        </is>
      </c>
      <c r="H31" s="16" t="n"/>
    </row>
    <row r="32" ht="45" customHeight="1" s="33">
      <c r="A32" s="19" t="inlineStr">
        <is>
          <t>V11.7</t>
        </is>
      </c>
      <c r="B32" s="19" t="inlineStr">
        <is>
          <t>In-Use Data Cryptography</t>
        </is>
      </c>
      <c r="C32" s="20" t="inlineStr">
        <is>
          <t>V11.7.2</t>
        </is>
      </c>
      <c r="D32" s="21" t="inlineStr">
        <is>
          <t>Verify that data minimization ensures the minimal amount of data is exposed during processing, and ensure that data is encrypted immediately after use or as soon as feasible.</t>
        </is>
      </c>
      <c r="E32" s="23" t="n">
        <v>3</v>
      </c>
      <c r="F32" s="18" t="inlineStr">
        <is>
          <t>Not Applicable</t>
        </is>
      </c>
      <c r="G32" s="21" t="n"/>
      <c r="H32" s="21" t="n"/>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2"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3.xml><?xml version="1.0" encoding="utf-8"?>
<worksheet xmlns="http://schemas.openxmlformats.org/spreadsheetml/2006/main">
  <sheetPr>
    <outlinePr summaryBelow="1" summaryRight="1"/>
    <pageSetUpPr/>
  </sheetPr>
  <dimension ref="A1:H16"/>
  <sheetViews>
    <sheetView zoomScale="85" zoomScaleNormal="85" workbookViewId="0">
      <pane ySplit="1" topLeftCell="A2" activePane="bottomLeft" state="frozen"/>
      <selection pane="bottomLeft" activeCell="F9" sqref="F9"/>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V12.1</t>
        </is>
      </c>
      <c r="B2" s="13" t="inlineStr">
        <is>
          <t>General TLS Security Guidance</t>
        </is>
      </c>
      <c r="C2" s="13" t="n"/>
      <c r="D2" s="13" t="n"/>
      <c r="E2" s="13" t="n"/>
      <c r="F2" s="13" t="n"/>
      <c r="G2" s="13" t="n"/>
      <c r="H2" s="13" t="n"/>
    </row>
    <row r="3" ht="90" customHeight="1" s="33">
      <c r="A3" s="14" t="inlineStr">
        <is>
          <t>V12.1</t>
        </is>
      </c>
      <c r="B3" s="14" t="inlineStr">
        <is>
          <t>General TLS Security Guidance</t>
        </is>
      </c>
      <c r="C3" s="15" t="inlineStr">
        <is>
          <t>V12.1.1</t>
        </is>
      </c>
      <c r="D3" s="16" t="inlineStr">
        <is>
          <t>Verify that only the latest recommended versions of the TLS protocol are enabled, such as TLS 1.2 and TLS 1.3. The latest version of the TLS protocol must be the preferred option.</t>
        </is>
      </c>
      <c r="E3" s="22" t="n">
        <v>1</v>
      </c>
      <c r="F3" s="18" t="inlineStr">
        <is>
          <t>Compliant</t>
        </is>
      </c>
      <c r="G3" s="16" t="inlineStr">
        <is>
          <t>nginx/nginx.conf enforces ssl_protocols TLSv1.2 TLSv1.3 only. NginxTlsConfig.java validates allowed protocols and NginxTlsConfigTest.java tests this alongside the existing WebServerTlsConfig.</t>
        </is>
      </c>
      <c r="H3" s="16" t="inlineStr">
        <is>
          <t>nginx/nginx.conf (ssl_protocols TLSv1.2 TLSv1.3); Api/src/main/.../Security/NginxTlsConfig.java; Api/src/test/.../Security/NginxTlsConfigTest.java; Api/src/main/.../Security/WebServerTlsConfig.java</t>
        </is>
      </c>
    </row>
    <row r="4" ht="90" customHeight="1" s="33">
      <c r="A4" s="19" t="inlineStr">
        <is>
          <t>V12.1</t>
        </is>
      </c>
      <c r="B4" s="19" t="inlineStr">
        <is>
          <t>General TLS Security Guidance</t>
        </is>
      </c>
      <c r="C4" s="20" t="inlineStr">
        <is>
          <t>V12.1.2</t>
        </is>
      </c>
      <c r="D4" s="21" t="inlineStr">
        <is>
          <t>Verify that only recommended cipher suites are enabled, with the strongest cipher suites set as preferred. L3 applications must only support cipher suites which provide forward secrecy.</t>
        </is>
      </c>
      <c r="E4" s="17" t="n">
        <v>2</v>
      </c>
      <c r="F4" s="18" t="inlineStr">
        <is>
          <t>Compliant</t>
        </is>
      </c>
      <c r="G4" s="21" t="inlineStr">
        <is>
          <t>nginx/nginx.conf enforces ECDHE+GCM cipher suites (forward secrecy). NginxTlsConfig.java enumerates approved/forbidden ciphers and NginxTlsConfigTest.java verifies them.</t>
        </is>
      </c>
      <c r="H4" s="21" t="inlineStr">
        <is>
          <t>nginx/nginx.conf (ssl_ciphers ECDHE-*-GCM); Api/src/main/.../Security/NginxTlsConfig.java; Api/src/test/.../Security/NginxTlsConfigTest.java; Api/src/main/.../Security/WebServerTlsConfig.java (APPROVED/FORBIDDEN cipher lists)</t>
        </is>
      </c>
    </row>
    <row r="5" ht="60" customHeight="1" s="33">
      <c r="A5" s="14" t="inlineStr">
        <is>
          <t>V12.1</t>
        </is>
      </c>
      <c r="B5" s="14" t="inlineStr">
        <is>
          <t>General TLS Security Guidance</t>
        </is>
      </c>
      <c r="C5" s="15" t="inlineStr">
        <is>
          <t>V12.1.3</t>
        </is>
      </c>
      <c r="D5" s="16" t="inlineStr">
        <is>
          <t>Verify that the application validates that mTLS client certificates are trusted before using the certificate identity for authentication or authorization.</t>
        </is>
      </c>
      <c r="E5" s="17" t="n">
        <v>2</v>
      </c>
      <c r="F5" s="18" t="inlineStr">
        <is>
          <t>Not Applicable</t>
        </is>
      </c>
      <c r="G5" s="16" t="inlineStr">
        <is>
          <t>ArcadeHaven does not implement mutual TLS (mTLS) client certificate authentication in Phase 1. Authentication is handled via JWT Bearer tokens.</t>
        </is>
      </c>
      <c r="H5" s="16" t="n"/>
    </row>
    <row r="6" ht="30" customHeight="1" s="33">
      <c r="A6" s="19" t="inlineStr">
        <is>
          <t>V12.1</t>
        </is>
      </c>
      <c r="B6" s="19" t="inlineStr">
        <is>
          <t>General TLS Security Guidance</t>
        </is>
      </c>
      <c r="C6" s="20" t="inlineStr">
        <is>
          <t>V12.1.4</t>
        </is>
      </c>
      <c r="D6" s="21" t="inlineStr">
        <is>
          <t>Verify that proper certification revocation, such as Online Certificate Status Protocol (OCSP) Stapling, is enabled and configured.</t>
        </is>
      </c>
      <c r="E6" s="23" t="n">
        <v>3</v>
      </c>
      <c r="F6" s="18" t="inlineStr">
        <is>
          <t>Not Applicable</t>
        </is>
      </c>
      <c r="G6" s="21" t="n"/>
      <c r="H6" s="21" t="n"/>
    </row>
    <row r="7" ht="30" customHeight="1" s="33">
      <c r="A7" s="14" t="inlineStr">
        <is>
          <t>V12.1</t>
        </is>
      </c>
      <c r="B7" s="14" t="inlineStr">
        <is>
          <t>General TLS Security Guidance</t>
        </is>
      </c>
      <c r="C7" s="15" t="inlineStr">
        <is>
          <t>V12.1.5</t>
        </is>
      </c>
      <c r="D7" s="16" t="inlineStr">
        <is>
          <t>Verify that Encrypted Client Hello (ECH) is enabled in the application's TLS settings to prevent exposure of sensitive metadata, such as the Server Name Indication (SNI), during TLS handshake processes.</t>
        </is>
      </c>
      <c r="E7" s="23" t="n">
        <v>3</v>
      </c>
      <c r="F7" s="18" t="inlineStr">
        <is>
          <t>Not Applicable</t>
        </is>
      </c>
      <c r="G7" s="16" t="n"/>
      <c r="H7" s="16" t="n"/>
    </row>
    <row r="8" ht="18" customHeight="1" s="33">
      <c r="A8" s="13" t="inlineStr">
        <is>
          <t>V12.2</t>
        </is>
      </c>
      <c r="B8" s="13" t="inlineStr">
        <is>
          <t>HTTPS Communication with External Facing Services</t>
        </is>
      </c>
      <c r="C8" s="13" t="n"/>
      <c r="D8" s="13" t="n"/>
      <c r="E8" s="13" t="n"/>
      <c r="F8" s="13" t="n"/>
      <c r="G8" s="13" t="n"/>
      <c r="H8" s="13" t="n"/>
    </row>
    <row r="9" ht="90" customHeight="1" s="33">
      <c r="A9" s="14" t="inlineStr">
        <is>
          <t>V12.2</t>
        </is>
      </c>
      <c r="B9" s="14" t="inlineStr">
        <is>
          <t>HTTPS Communication with External Facing Services</t>
        </is>
      </c>
      <c r="C9" s="15" t="inlineStr">
        <is>
          <t>V12.2.1</t>
        </is>
      </c>
      <c r="D9" s="16" t="inlineStr">
        <is>
          <t>Verify that TLS is used for all connectivity between a client and external facing, HTTP-based services, and does not fall back to insecure or unencrypted communications.</t>
        </is>
      </c>
      <c r="E9" s="22" t="n">
        <v>1</v>
      </c>
      <c r="F9" s="18" t="inlineStr">
        <is>
          <t>Compliant</t>
        </is>
      </c>
      <c r="G9" s="16" t="inlineStr">
        <is>
          <t>nginx listens on port 443 with TLS; port 80 redirects to 443 via return 301. Application port 8080 is not published externally (only reachable within the Docker bridge network), preventing any plaintext external exposure.</t>
        </is>
      </c>
      <c r="H9" s="16" t="inlineStr">
        <is>
          <t>nginx/nginx.conf (listen 443 ssl; listen 80 -&gt; return 301 https); Api/docker-compose.yml (ports: 443:443 only; 8080 not published)</t>
        </is>
      </c>
    </row>
    <row r="10" ht="90" customHeight="1" s="33">
      <c r="A10" s="19" t="inlineStr">
        <is>
          <t>V12.2</t>
        </is>
      </c>
      <c r="B10" s="19" t="inlineStr">
        <is>
          <t>HTTPS Communication with External Facing Services</t>
        </is>
      </c>
      <c r="C10" s="20" t="inlineStr">
        <is>
          <t>V12.2.2</t>
        </is>
      </c>
      <c r="D10" s="21" t="inlineStr">
        <is>
          <t>Verify that external facing services use publicly trusted TLS certificates.</t>
        </is>
      </c>
      <c r="E10" s="22" t="n">
        <v>1</v>
      </c>
      <c r="F10" s="18" t="inlineStr">
        <is>
          <t>Partial</t>
        </is>
      </c>
      <c r="G10" s="21" t="inlineStr">
        <is>
          <t>A self-signed certificate is generated for dev/CI via generate-self-signed-cert.sh. Production deployment requires swapping this for a CA-signed (e.g. Let's Encrypt) certificate; the certificate mount point is prepared in docker-compose.</t>
        </is>
      </c>
      <c r="H10" s="21" t="inlineStr">
        <is>
          <t>nginx/generate-self-signed-cert.sh; nginx/nginx.conf (ssl_certificate/ssl_certificate_key); Api/docker-compose.yml (volume mount for cert)</t>
        </is>
      </c>
    </row>
    <row r="11" ht="18" customHeight="1" s="33">
      <c r="A11" s="13" t="inlineStr">
        <is>
          <t>V12.3</t>
        </is>
      </c>
      <c r="B11" s="13" t="inlineStr">
        <is>
          <t>General Service to Service Communication Security</t>
        </is>
      </c>
      <c r="C11" s="13" t="n"/>
      <c r="D11" s="13" t="n"/>
      <c r="E11" s="13" t="n"/>
      <c r="F11" s="13" t="n"/>
      <c r="G11" s="13" t="n"/>
      <c r="H11" s="13" t="n"/>
    </row>
    <row r="12" ht="30" customHeight="1" s="33">
      <c r="A12" s="14" t="inlineStr">
        <is>
          <t>V12.3</t>
        </is>
      </c>
      <c r="B12" s="14" t="inlineStr">
        <is>
          <t>General Service to Service Communication Security</t>
        </is>
      </c>
      <c r="C12" s="15" t="inlineStr">
        <is>
          <t>V12.3.1</t>
        </is>
      </c>
      <c r="D12" s="16" t="inlineStr">
        <is>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is>
      </c>
      <c r="E12" s="17" t="n">
        <v>2</v>
      </c>
      <c r="F12" s="18" t="inlineStr">
        <is>
          <t>Partial</t>
        </is>
      </c>
      <c r="G12" s="16" t="inlineStr">
        <is>
          <t>SFTP/SSH is enforced via SSHJ (compliant). PostgreSQL datasource has sslmode=require but the remote DB TLS enablement is pending environment setup. Keycloak inter-container traffic uses plain HTTP over the Docker bridge network (acceptable for same-host Docker deployment; mTLS would require K8s/service-mesh).</t>
        </is>
      </c>
      <c r="H12" s="16" t="inlineStr">
        <is>
          <t>Api/src/main/.../Service/SftpStorageService.java (SSHJ SSH/SFTP); Api/src/main/resources/application.properties (spring.datasource.url?sslmode=require); Api/docker-compose.yml (Keycloak internal HTTP)</t>
        </is>
      </c>
    </row>
    <row r="13" ht="30" customHeight="1" s="33">
      <c r="A13" s="19" t="inlineStr">
        <is>
          <t>V12.3</t>
        </is>
      </c>
      <c r="B13" s="19" t="inlineStr">
        <is>
          <t>General Service to Service Communication Security</t>
        </is>
      </c>
      <c r="C13" s="20" t="inlineStr">
        <is>
          <t>V12.3.2</t>
        </is>
      </c>
      <c r="D13" s="21" t="inlineStr">
        <is>
          <t>Verify that TLS clients validate certificates received before communicating with a TLS server.</t>
        </is>
      </c>
      <c r="E13" s="17" t="n">
        <v>2</v>
      </c>
      <c r="F13" s="18" t="inlineStr">
        <is>
          <t>Compliant</t>
        </is>
      </c>
      <c r="G13" s="21" t="inlineStr">
        <is>
          <t>KeycloakBuilder and RestTemplate rely on the JVM default SSLContext which validates certificates against the system trust store. No trustAllCerts / HostnameVerifier bypass pattern is present in the codebase.</t>
        </is>
      </c>
      <c r="H13" s="21" t="inlineStr">
        <is>
          <t>Api/src/main/.../Config/KeycloakConfig.java (KeycloakBuilder); Api/src/main/.../Service/AuthService.java (RestTemplate); no InsecureTrustManagerFactory or PromiscuousHostnameVerifier usage</t>
        </is>
      </c>
    </row>
    <row r="14" ht="30" customHeight="1" s="33">
      <c r="A14" s="14" t="inlineStr">
        <is>
          <t>V12.3</t>
        </is>
      </c>
      <c r="B14" s="14" t="inlineStr">
        <is>
          <t>General Service to Service Communication Security</t>
        </is>
      </c>
      <c r="C14" s="15" t="inlineStr">
        <is>
          <t>V12.3.3</t>
        </is>
      </c>
      <c r="D14" s="16" t="inlineStr">
        <is>
          <t>Verify that TLS or another appropriate transport encryption mechanism used for all connectivity between internal, HTTP-based services within the application, and does not fall back to insecure or unencrypted communications.</t>
        </is>
      </c>
      <c r="E14" s="17" t="n">
        <v>2</v>
      </c>
      <c r="F14" s="18" t="inlineStr">
        <is>
          <t>Partial</t>
        </is>
      </c>
      <c r="G14" s="16" t="inlineStr">
        <is>
          <t>Inter-service channels run over a Docker bridge network without mTLS. Full transport encryption between internal HTTP services (API &lt;-&gt; Keycloak) would require a service mesh (e.g. Istio/Linkerd) or K8s with mTLS sidecar injection, which is out of scope for the current Docker Compose deployment.</t>
        </is>
      </c>
      <c r="H14" s="16" t="inlineStr">
        <is>
          <t>Api/docker-compose.yml (bridge network); Api/src/main/.../Service/SftpStorageService.java (SFTP encrypted); no mTLS between API and Keycloak</t>
        </is>
      </c>
    </row>
    <row r="15" ht="75" customHeight="1" s="33">
      <c r="A15" s="19" t="inlineStr">
        <is>
          <t>V12.3</t>
        </is>
      </c>
      <c r="B15" s="19" t="inlineStr">
        <is>
          <t>General Service to Service Communication Security</t>
        </is>
      </c>
      <c r="C15" s="20" t="inlineStr">
        <is>
          <t>V12.3.4</t>
        </is>
      </c>
      <c r="D15" s="21" t="inlineStr">
        <is>
          <t>Verify that TLS connections between internal services use trusted certificates. Where internally generated or self-signed certificates are used, the consuming service must be configured to only trust specific internal CAs and specific self-signed certificates.</t>
        </is>
      </c>
      <c r="E15" s="17" t="n">
        <v>2</v>
      </c>
      <c r="F15" s="18" t="inlineStr">
        <is>
          <t>Compliant</t>
        </is>
      </c>
      <c r="G15" s="21" t="inlineStr">
        <is>
          <t>SftpStorageService uses OpenSSHKnownHosts to verify the SFTP server host key when sftp.known-hosts-path is configured. A WARN log is emitted when PromiscuousVerifier is active (dev/CI only). No blanket trust-all pattern is used in production paths.</t>
        </is>
      </c>
      <c r="H15" s="21" t="inlineStr">
        <is>
          <t>Api/src/main/.../Service/SftpStorageService.java (OpenSSHKnownHosts when sftp.known-hosts-path set; WARN log for PromiscuousVerifier in dev); Api/src/main/resources/application.properties (sftp.known-hosts-path)</t>
        </is>
      </c>
    </row>
    <row r="16" ht="30" customHeight="1" s="33">
      <c r="A16" s="14" t="inlineStr">
        <is>
          <t>V12.3</t>
        </is>
      </c>
      <c r="B16" s="14" t="inlineStr">
        <is>
          <t>General Service to Service Communication Security</t>
        </is>
      </c>
      <c r="C16" s="15" t="inlineStr">
        <is>
          <t>V12.3.5</t>
        </is>
      </c>
      <c r="D16" s="16" t="inlineStr">
        <is>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is>
      </c>
      <c r="E16" s="23" t="n">
        <v>3</v>
      </c>
      <c r="F16" s="18" t="inlineStr">
        <is>
          <t>Not Applicable</t>
        </is>
      </c>
      <c r="G16" s="16" t="n"/>
      <c r="H16" s="16" t="n"/>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4.xml><?xml version="1.0" encoding="utf-8"?>
<worksheet xmlns="http://schemas.openxmlformats.org/spreadsheetml/2006/main">
  <sheetPr>
    <outlinePr summaryBelow="1" summaryRight="1"/>
    <pageSetUpPr/>
  </sheetPr>
  <dimension ref="A1:H26"/>
  <sheetViews>
    <sheetView zoomScale="75" zoomScaleNormal="75" workbookViewId="0">
      <pane ySplit="1" topLeftCell="A3" activePane="bottomLeft" state="frozen"/>
      <selection pane="bottomLeft" activeCell="D23" sqref="D23"/>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V13.1</t>
        </is>
      </c>
      <c r="B2" s="13" t="inlineStr">
        <is>
          <t>Configuration Documentation</t>
        </is>
      </c>
      <c r="C2" s="13" t="n"/>
      <c r="D2" s="13" t="n"/>
      <c r="E2" s="13" t="n"/>
      <c r="F2" s="13" t="n"/>
      <c r="G2" s="13" t="n"/>
      <c r="H2" s="13" t="n"/>
    </row>
    <row r="3" ht="30" customHeight="1" s="33">
      <c r="A3" s="14" t="inlineStr">
        <is>
          <t>V13.1</t>
        </is>
      </c>
      <c r="B3" s="14" t="inlineStr">
        <is>
          <t>Configuration Documentation</t>
        </is>
      </c>
      <c r="C3" s="15" t="inlineStr">
        <is>
          <t>V13.1.1</t>
        </is>
      </c>
      <c r="D3" s="16" t="inlineStr">
        <is>
          <t>Verify that all communication needs for the application are documented. This must include external services which the application relies upon and cases where an end user might be able to provide an external location to which the application will then connect.</t>
        </is>
      </c>
      <c r="E3" s="17" t="n">
        <v>2</v>
      </c>
      <c r="F3" s="18" t="inlineStr">
        <is>
          <t>Compliant</t>
        </is>
      </c>
      <c r="G3" s="16" t="inlineStr">
        <is>
          <t>All application communication channels documented in Documentation/CommunicationMatrix.md. Lists 5 external connections (PostgreSQL, SFTP/SSH, ClamAV, HaveIBeenPwned k-anonymity API, RAWG future) and 5 internal Docker connections (nginx-&gt;app, app-&gt;Keycloak, Keycloak-&gt;DB, inbound HTTPS, inbound HTTP redirect). Each entry documents: direction, protocol, port, authentication method, data sensitivity level (L1-L4), TLS status, and source file reference. TLS posture summary and required actions included.</t>
        </is>
      </c>
      <c r="H3" s="16" t="inlineStr">
        <is>
          <t>Documentation/CommunicationMatrix.md</t>
        </is>
      </c>
    </row>
    <row r="4" ht="30" customHeight="1" s="33">
      <c r="A4" s="19" t="inlineStr">
        <is>
          <t>V13.1</t>
        </is>
      </c>
      <c r="B4" s="19" t="inlineStr">
        <is>
          <t>Configuration Documentation</t>
        </is>
      </c>
      <c r="C4" s="20" t="inlineStr">
        <is>
          <t>V13.1.2</t>
        </is>
      </c>
      <c r="D4" s="21" t="inlineStr">
        <is>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is>
      </c>
      <c r="E4" s="23" t="n">
        <v>3</v>
      </c>
      <c r="F4" s="18" t="inlineStr">
        <is>
          <t>Not Applicable</t>
        </is>
      </c>
      <c r="G4" s="21" t="n"/>
      <c r="H4" s="21" t="n"/>
    </row>
    <row r="5" ht="30" customHeight="1" s="33">
      <c r="A5" s="14" t="inlineStr">
        <is>
          <t>V13.1</t>
        </is>
      </c>
      <c r="B5" s="14" t="inlineStr">
        <is>
          <t>Configuration Documentation</t>
        </is>
      </c>
      <c r="C5" s="15" t="inlineStr">
        <is>
          <t>V13.1.3</t>
        </is>
      </c>
      <c r="D5" s="16" t="inlineStr">
        <is>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is>
      </c>
      <c r="E5" s="23" t="n">
        <v>3</v>
      </c>
      <c r="F5" s="18" t="inlineStr">
        <is>
          <t>Not Applicable</t>
        </is>
      </c>
      <c r="G5" s="16" t="n"/>
      <c r="H5" s="16" t="n"/>
    </row>
    <row r="6" ht="30" customHeight="1" s="33">
      <c r="A6" s="19" t="inlineStr">
        <is>
          <t>V13.1</t>
        </is>
      </c>
      <c r="B6" s="19" t="inlineStr">
        <is>
          <t>Configuration Documentation</t>
        </is>
      </c>
      <c r="C6" s="20" t="inlineStr">
        <is>
          <t>V13.1.4</t>
        </is>
      </c>
      <c r="D6" s="21" t="inlineStr">
        <is>
          <t>Verify that the application's documentation defines the secrets that are critical for the security of the application and a schedule for rotating them, based on the organization's threat model and business requirements.</t>
        </is>
      </c>
      <c r="E6" s="23" t="n">
        <v>3</v>
      </c>
      <c r="F6" s="18" t="inlineStr">
        <is>
          <t>Not Applicable</t>
        </is>
      </c>
      <c r="G6" s="21" t="n"/>
      <c r="H6" s="21" t="n"/>
    </row>
    <row r="7" ht="18" customHeight="1" s="33">
      <c r="A7" s="13" t="inlineStr">
        <is>
          <t>V13.2</t>
        </is>
      </c>
      <c r="B7" s="13" t="inlineStr">
        <is>
          <t>Backend Communication Configuration</t>
        </is>
      </c>
      <c r="C7" s="13" t="n"/>
      <c r="D7" s="13" t="n"/>
      <c r="E7" s="13" t="n"/>
      <c r="F7" s="13" t="n"/>
      <c r="G7" s="13" t="n"/>
      <c r="H7" s="13" t="n"/>
    </row>
    <row r="8" ht="30" customHeight="1" s="33">
      <c r="A8" s="14" t="inlineStr">
        <is>
          <t>V13.2</t>
        </is>
      </c>
      <c r="B8" s="14" t="inlineStr">
        <is>
          <t>Backend Communication Configuration</t>
        </is>
      </c>
      <c r="C8" s="15" t="inlineStr">
        <is>
          <t>V13.2.1</t>
        </is>
      </c>
      <c r="D8" s="16" t="inlineStr">
        <is>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is>
      </c>
      <c r="E8" s="17" t="n">
        <v>2</v>
      </c>
      <c r="F8" s="18" t="inlineStr">
        <is>
          <t>Not Started</t>
        </is>
      </c>
      <c r="G8" s="16" t="n"/>
      <c r="H8" s="16" t="n"/>
    </row>
    <row r="9" ht="30" customHeight="1" s="33">
      <c r="A9" s="19" t="inlineStr">
        <is>
          <t>V13.2</t>
        </is>
      </c>
      <c r="B9" s="19" t="inlineStr">
        <is>
          <t>Backend Communication Configuration</t>
        </is>
      </c>
      <c r="C9" s="20" t="inlineStr">
        <is>
          <t>V13.2.2</t>
        </is>
      </c>
      <c r="D9" s="21" t="inlineStr">
        <is>
          <t>Verify that communications between backend application components, including local or operating system services, APIs, middleware, and data layers, are performed with accounts assigned the least necessary privileges.</t>
        </is>
      </c>
      <c r="E9" s="17" t="n">
        <v>2</v>
      </c>
      <c r="F9" s="18" t="inlineStr">
        <is>
          <t>Not Started</t>
        </is>
      </c>
      <c r="G9" s="21" t="n"/>
      <c r="H9" s="21" t="n"/>
    </row>
    <row r="10" ht="30" customHeight="1" s="33">
      <c r="A10" s="14" t="inlineStr">
        <is>
          <t>V13.2</t>
        </is>
      </c>
      <c r="B10" s="14" t="inlineStr">
        <is>
          <t>Backend Communication Configuration</t>
        </is>
      </c>
      <c r="C10" s="15" t="inlineStr">
        <is>
          <t>V13.2.3</t>
        </is>
      </c>
      <c r="D10" s="16" t="inlineStr">
        <is>
          <t>Verify that if a credential has to be used for service authentication, the credential being used by the consumer is not a default credential (e.g., root/root or admin/admin).</t>
        </is>
      </c>
      <c r="E10" s="17" t="n">
        <v>2</v>
      </c>
      <c r="F10" s="18" t="inlineStr">
        <is>
          <t>Not Applicable</t>
        </is>
      </c>
      <c r="G10" s="16" t="inlineStr">
        <is>
          <t>No default credentials are used in the system. All environments rely on explicit configuration via environment variables</t>
        </is>
      </c>
      <c r="H10" s="16" t="n"/>
    </row>
    <row r="11" ht="30" customHeight="1" s="33">
      <c r="A11" s="19" t="inlineStr">
        <is>
          <t>V13.2</t>
        </is>
      </c>
      <c r="B11" s="19" t="inlineStr">
        <is>
          <t>Backend Communication Configuration</t>
        </is>
      </c>
      <c r="C11" s="20" t="inlineStr">
        <is>
          <t>V13.2.4</t>
        </is>
      </c>
      <c r="D11" s="21" t="inlineStr">
        <is>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is>
      </c>
      <c r="E11" s="17" t="n">
        <v>2</v>
      </c>
      <c r="F11" s="18" t="inlineStr">
        <is>
          <t>In Progress</t>
        </is>
      </c>
      <c r="G11" s="21" t="inlineStr">
        <is>
          <t>All external base URLs are hardcoded constants (not injectable): RAWG https://api.rawg.io/api, HIBP api.pwnedpasswords.com, Keycloak validated via allowlist. Permitted egress documented in docker-compose.yml. Remaining gap: no network-layer enforcement — Docker bridge allows all outbound. Full enforcement requires Docker network rules or service mesh.</t>
        </is>
      </c>
      <c r="H11" s="21" t="n"/>
    </row>
    <row r="12" ht="30" customHeight="1" s="33">
      <c r="A12" s="14" t="inlineStr">
        <is>
          <t>V13.2</t>
        </is>
      </c>
      <c r="B12" s="14" t="inlineStr">
        <is>
          <t>Backend Communication Configuration</t>
        </is>
      </c>
      <c r="C12" s="15" t="inlineStr">
        <is>
          <t>V13.2.5</t>
        </is>
      </c>
      <c r="D12" s="16" t="inlineStr">
        <is>
          <t>Verify that the web or application server is configured with an allowlist of resources or systems to which the server can send requests or load data or files from.</t>
        </is>
      </c>
      <c r="E12" s="17" t="n">
        <v>2</v>
      </c>
      <c r="F12" s="18" t="inlineStr">
        <is>
          <t>Not Applicable</t>
        </is>
      </c>
      <c r="G12" s="16" t="inlineStr">
        <is>
          <t>ArcadeHeaven does not dynamically load external resources</t>
        </is>
      </c>
      <c r="H12" s="16" t="n"/>
    </row>
    <row r="13" ht="30" customHeight="1" s="33">
      <c r="A13" s="19" t="inlineStr">
        <is>
          <t>V13.2</t>
        </is>
      </c>
      <c r="B13" s="19" t="inlineStr">
        <is>
          <t>Backend Communication Configuration</t>
        </is>
      </c>
      <c r="C13" s="20" t="inlineStr">
        <is>
          <t>V13.2.6</t>
        </is>
      </c>
      <c r="D13" s="21" t="inlineStr">
        <is>
          <t>Verify that where the application connects to separate services, it follows the documented configuration for each connection, such as maximum parallel connections, behavior when maximum allowed connections is reached, connection timeouts, and retry strategies.</t>
        </is>
      </c>
      <c r="E13" s="23" t="n">
        <v>3</v>
      </c>
      <c r="F13" s="18" t="inlineStr">
        <is>
          <t>Not Applicable</t>
        </is>
      </c>
      <c r="G13" s="21" t="n"/>
      <c r="H13" s="21" t="n"/>
    </row>
    <row r="14" ht="18" customHeight="1" s="33">
      <c r="A14" s="13" t="inlineStr">
        <is>
          <t>V13.3</t>
        </is>
      </c>
      <c r="B14" s="13" t="inlineStr">
        <is>
          <t>Secret Management</t>
        </is>
      </c>
      <c r="C14" s="13" t="n"/>
      <c r="D14" s="13" t="n"/>
      <c r="E14" s="13" t="n"/>
      <c r="F14" s="13" t="n"/>
      <c r="G14" s="13" t="n"/>
      <c r="H14" s="13" t="n"/>
    </row>
    <row r="15" ht="30" customHeight="1" s="33">
      <c r="A15" s="14" t="inlineStr">
        <is>
          <t>V13.3</t>
        </is>
      </c>
      <c r="B15" s="14" t="inlineStr">
        <is>
          <t>Secret Management</t>
        </is>
      </c>
      <c r="C15" s="15" t="inlineStr">
        <is>
          <t>V13.3.1</t>
        </is>
      </c>
      <c r="D15" s="16" t="inlineStr">
        <is>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is>
      </c>
      <c r="E15" s="17" t="n">
        <v>2</v>
      </c>
      <c r="F15" s="18" t="inlineStr">
        <is>
          <t>Not Started</t>
        </is>
      </c>
      <c r="G15" s="16" t="n"/>
      <c r="H15" s="16" t="n"/>
    </row>
    <row r="16" ht="30" customHeight="1" s="33">
      <c r="A16" s="19" t="inlineStr">
        <is>
          <t>V13.3</t>
        </is>
      </c>
      <c r="B16" s="19" t="inlineStr">
        <is>
          <t>Secret Management</t>
        </is>
      </c>
      <c r="C16" s="20" t="inlineStr">
        <is>
          <t>V13.3.2</t>
        </is>
      </c>
      <c r="D16" s="21" t="inlineStr">
        <is>
          <t>Verify that access to secret assets adheres to the principle of least privilege.</t>
        </is>
      </c>
      <c r="E16" s="17" t="n">
        <v>2</v>
      </c>
      <c r="F16" s="18" t="inlineStr">
        <is>
          <t>Not Started</t>
        </is>
      </c>
      <c r="G16" s="21" t="n"/>
      <c r="H16" s="21" t="n"/>
    </row>
    <row r="17" ht="30" customHeight="1" s="33">
      <c r="A17" s="14" t="inlineStr">
        <is>
          <t>V13.3</t>
        </is>
      </c>
      <c r="B17" s="14" t="inlineStr">
        <is>
          <t>Secret Management</t>
        </is>
      </c>
      <c r="C17" s="15" t="inlineStr">
        <is>
          <t>V13.3.3</t>
        </is>
      </c>
      <c r="D17" s="16" t="inlineStr">
        <is>
          <t>Verify that all cryptographic operations are performed using an isolated security module (such as a vault or hardware security module) to securely manage and protect key material from exposure outside of the security module.</t>
        </is>
      </c>
      <c r="E17" s="23" t="n">
        <v>3</v>
      </c>
      <c r="F17" s="18" t="inlineStr">
        <is>
          <t>Not Applicable</t>
        </is>
      </c>
      <c r="G17" s="16" t="n"/>
      <c r="H17" s="16" t="n"/>
    </row>
    <row r="18" ht="30" customHeight="1" s="33">
      <c r="A18" s="19" t="inlineStr">
        <is>
          <t>V13.3</t>
        </is>
      </c>
      <c r="B18" s="19" t="inlineStr">
        <is>
          <t>Secret Management</t>
        </is>
      </c>
      <c r="C18" s="20" t="inlineStr">
        <is>
          <t>V13.3.4</t>
        </is>
      </c>
      <c r="D18" s="21" t="inlineStr">
        <is>
          <t>Verify that secrets are configured to expire and be rotated based on the application's documentation.</t>
        </is>
      </c>
      <c r="E18" s="23" t="n">
        <v>3</v>
      </c>
      <c r="F18" s="18" t="inlineStr">
        <is>
          <t>Not Applicable</t>
        </is>
      </c>
      <c r="G18" s="21" t="n"/>
      <c r="H18" s="21" t="n"/>
    </row>
    <row r="19" ht="18" customHeight="1" s="33">
      <c r="A19" s="13" t="inlineStr">
        <is>
          <t>V13.4</t>
        </is>
      </c>
      <c r="B19" s="13" t="inlineStr">
        <is>
          <t>Unintended Information Leakage</t>
        </is>
      </c>
      <c r="C19" s="13" t="n"/>
      <c r="D19" s="13" t="n"/>
      <c r="E19" s="13" t="n"/>
      <c r="F19" s="13" t="n"/>
      <c r="G19" s="13" t="n"/>
      <c r="H19" s="13" t="n"/>
    </row>
    <row r="20" ht="30" customHeight="1" s="33">
      <c r="A20" s="14" t="inlineStr">
        <is>
          <t>V13.4</t>
        </is>
      </c>
      <c r="B20" s="14" t="inlineStr">
        <is>
          <t>Unintended Information Leakage</t>
        </is>
      </c>
      <c r="C20" s="15" t="inlineStr">
        <is>
          <t>V13.4.1</t>
        </is>
      </c>
      <c r="D20" s="16" t="inlineStr">
        <is>
          <t>Verify that the application is deployed either without any source control metadata, including the .git or .svn folders, or in a way that these folders are inaccessible both externally and to the application itself.</t>
        </is>
      </c>
      <c r="E20" s="22" t="n">
        <v>1</v>
      </c>
      <c r="F20" s="18" t="inlineStr">
        <is>
          <t>Compliant</t>
        </is>
      </c>
      <c r="G20" s="16" t="inlineStr">
        <is>
          <t>Created Api/.dockerignore excluding .git, .env, .env.*, target/, logs/, .github/, Documentation/, Deliverables/, .idea/ and other non-runtime artefacts. Prevents source-control metadata and secrets from being baked into the Docker image (ASVS V13.4.1).</t>
        </is>
      </c>
      <c r="H20" s="16" t="inlineStr">
        <is>
          <t>Api/.dockerignore</t>
        </is>
      </c>
    </row>
    <row r="21" ht="30" customHeight="1" s="33">
      <c r="A21" s="19" t="inlineStr">
        <is>
          <t>V13.4</t>
        </is>
      </c>
      <c r="B21" s="19" t="inlineStr">
        <is>
          <t>Unintended Information Leakage</t>
        </is>
      </c>
      <c r="C21" s="20" t="inlineStr">
        <is>
          <t>V13.4.2</t>
        </is>
      </c>
      <c r="D21" s="21" t="inlineStr">
        <is>
          <t>Verify that debug modes are disabled for all components in production environments to prevent exposure of debugging features and information leakage.</t>
        </is>
      </c>
      <c r="E21" s="17" t="n">
        <v>2</v>
      </c>
      <c r="F21" s="18" t="inlineStr">
        <is>
          <t>Compliant</t>
        </is>
      </c>
      <c r="G21" s="21" t="inlineStr">
        <is>
          <t>spring.jpa.show-sql=false (already set). No Spring Boot DevTools in pom.xml. Actuator limited to /actuator/health only via management.endpoints.web.exposure.include=health and management.endpoint.health.show-details=never. No H2 console configured.</t>
        </is>
      </c>
      <c r="H21" s="21" t="inlineStr">
        <is>
          <t>Api/src/main/resources/application.properties (management.* properties); Api/src/main/java/isep/desosfs/arcadehaven/Security/SecurityConfig.java</t>
        </is>
      </c>
    </row>
    <row r="22" ht="30" customHeight="1" s="33">
      <c r="A22" s="14" t="inlineStr">
        <is>
          <t>V13.4</t>
        </is>
      </c>
      <c r="B22" s="14" t="inlineStr">
        <is>
          <t>Unintended Information Leakage</t>
        </is>
      </c>
      <c r="C22" s="15" t="inlineStr">
        <is>
          <t>V13.4.3</t>
        </is>
      </c>
      <c r="D22" s="16" t="inlineStr">
        <is>
          <t>Verify that web servers do not expose directory listings to clients unless explicitly intended.</t>
        </is>
      </c>
      <c r="E22" s="17" t="n">
        <v>2</v>
      </c>
      <c r="F22" s="18" t="inlineStr">
        <is>
          <t>Not Applicable</t>
        </is>
      </c>
      <c r="G22" s="16" t="inlineStr">
        <is>
          <t>Directory listing is not enabled</t>
        </is>
      </c>
      <c r="H22" s="16" t="n"/>
    </row>
    <row r="23" ht="45" customHeight="1" s="33">
      <c r="A23" s="19" t="inlineStr">
        <is>
          <t>V13.4</t>
        </is>
      </c>
      <c r="B23" s="19" t="inlineStr">
        <is>
          <t>Unintended Information Leakage</t>
        </is>
      </c>
      <c r="C23" s="20" t="inlineStr">
        <is>
          <t>V13.4.4</t>
        </is>
      </c>
      <c r="D23" s="21" t="inlineStr">
        <is>
          <t>Verify that using the HTTP TRACE method is not supported in production environments, to avoid potential information leakage.</t>
        </is>
      </c>
      <c r="E23" s="17" t="n">
        <v>2</v>
      </c>
      <c r="F23" s="18" t="inlineStr">
        <is>
          <t>Compliant</t>
        </is>
      </c>
      <c r="G23" s="21" t="inlineStr">
        <is>
          <t>HTTP TRACE denied globally via .requestMatchers(HttpMethod.TRACE, "/**").denyAll() in SecurityConfig.filterChain(). Prevents Cross-Site Tracing (XST) attacks on all paths.</t>
        </is>
      </c>
      <c r="H23" s="21" t="inlineStr">
        <is>
          <t>Api/src/main/java/isep/desosfs/arcadehaven/Security/SecurityConfig.java:54</t>
        </is>
      </c>
    </row>
    <row r="24" ht="30" customHeight="1" s="33">
      <c r="A24" s="14" t="inlineStr">
        <is>
          <t>V13.4</t>
        </is>
      </c>
      <c r="B24" s="14" t="inlineStr">
        <is>
          <t>Unintended Information Leakage</t>
        </is>
      </c>
      <c r="C24" s="15" t="inlineStr">
        <is>
          <t>V13.4.5</t>
        </is>
      </c>
      <c r="D24" s="16" t="inlineStr">
        <is>
          <t>Verify that documentation (such as for internal APIs) and monitoring endpoints are not exposed unless explicitly intended.</t>
        </is>
      </c>
      <c r="E24" s="17" t="n">
        <v>2</v>
      </c>
      <c r="F24" s="18" t="inlineStr">
        <is>
          <t>Compliant</t>
        </is>
      </c>
      <c r="G24" s="16" t="inlineStr">
        <is>
          <t>Swagger UI (/swagger-ui/**) and API docs (/v3/api-docs/**) now require authentication (changed from permitAll() to authenticated()). Actuator exposes only /actuator/health with show-details=never. No unauthenticated access to monitoring or documentation endpoints.</t>
        </is>
      </c>
      <c r="H24" s="16" t="inlineStr">
        <is>
          <t>Api/src/main/java/isep/desosfs/arcadehaven/Security/SecurityConfig.java:60-65; Api/src/main/resources/application.properties (management.endpoints.*)</t>
        </is>
      </c>
    </row>
    <row r="25" ht="30" customHeight="1" s="33">
      <c r="A25" s="19" t="inlineStr">
        <is>
          <t>V13.4</t>
        </is>
      </c>
      <c r="B25" s="19" t="inlineStr">
        <is>
          <t>Unintended Information Leakage</t>
        </is>
      </c>
      <c r="C25" s="20" t="inlineStr">
        <is>
          <t>V13.4.6</t>
        </is>
      </c>
      <c r="D25" s="21" t="inlineStr">
        <is>
          <t>Verify that the application does not expose detailed version information of backend components.</t>
        </is>
      </c>
      <c r="E25" s="23" t="n">
        <v>3</v>
      </c>
      <c r="F25" s="18" t="inlineStr">
        <is>
          <t>Not Applicable</t>
        </is>
      </c>
      <c r="G25" s="21" t="n"/>
      <c r="H25" s="21" t="n"/>
    </row>
    <row r="26" ht="30" customHeight="1" s="33">
      <c r="A26" s="14" t="inlineStr">
        <is>
          <t>V13.4</t>
        </is>
      </c>
      <c r="B26" s="14" t="inlineStr">
        <is>
          <t>Unintended Information Leakage</t>
        </is>
      </c>
      <c r="C26" s="15" t="inlineStr">
        <is>
          <t>V13.4.7</t>
        </is>
      </c>
      <c r="D26" s="16" t="inlineStr">
        <is>
          <t>Verify that the web tier is configured to only serve files with specific file extensions to prevent unintentional information, configuration, and source code leakage.</t>
        </is>
      </c>
      <c r="E26" s="23" t="n">
        <v>3</v>
      </c>
      <c r="F26" s="18" t="inlineStr">
        <is>
          <t>Not Applicable</t>
        </is>
      </c>
      <c r="G26" s="16" t="inlineStr">
        <is>
          <t>The web tier does not serve static files directly</t>
        </is>
      </c>
      <c r="H26" s="16" t="n"/>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5.xml><?xml version="1.0" encoding="utf-8"?>
<worksheet xmlns="http://schemas.openxmlformats.org/spreadsheetml/2006/main">
  <sheetPr>
    <outlinePr summaryBelow="1" summaryRight="1"/>
    <pageSetUpPr/>
  </sheetPr>
  <dimension ref="A1:H17"/>
  <sheetViews>
    <sheetView zoomScale="70" zoomScaleNormal="70" workbookViewId="0">
      <pane ySplit="1" topLeftCell="A2" activePane="bottomLeft" state="frozen"/>
      <selection pane="bottomLeft" activeCell="F8" sqref="F8"/>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8.5703125"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V14.1</t>
        </is>
      </c>
      <c r="B2" s="13" t="inlineStr">
        <is>
          <t>Data Protection Documentation</t>
        </is>
      </c>
      <c r="C2" s="13" t="n"/>
      <c r="D2" s="13" t="n"/>
      <c r="E2" s="13" t="n"/>
      <c r="F2" s="13" t="n"/>
      <c r="G2" s="13" t="n"/>
      <c r="H2" s="13" t="n"/>
    </row>
    <row r="3" ht="120" customHeight="1" s="33">
      <c r="A3" s="14" t="inlineStr">
        <is>
          <t>V14.1</t>
        </is>
      </c>
      <c r="B3" s="14" t="inlineStr">
        <is>
          <t>Data Protection Documentation</t>
        </is>
      </c>
      <c r="C3" s="15" t="inlineStr">
        <is>
          <t>V14.1.1</t>
        </is>
      </c>
      <c r="D3" s="16" t="inlineStr">
        <is>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is>
      </c>
      <c r="E3" s="17" t="n">
        <v>2</v>
      </c>
      <c r="F3" s="18" t="inlineStr">
        <is>
          <t>Compliant</t>
        </is>
      </c>
      <c r="G3" s="16" t="inlineStr">
        <is>
          <t>Formal data classification document created: Documentation/DataClassificationPolicy.md. Defines 4 levels (L1 Public, L2 Internal, L3 Confidential, L4 Restricted). Maps all ArcadeHaven data types: game metadata (L1), audit logs (L2), user PII / JWT tokens / activation keys / orders (L3), password hashes / client secrets / DB credentials (L4). Specifies controls per level (access control, logging restrictions, transport, storage, retention). Includes retention schedule: audit logs 30 days, JWT access 5 min, refresh 30 days, user data until deletion.</t>
        </is>
      </c>
      <c r="H3" s="16" t="inlineStr">
        <is>
          <t>Documentation/DataClassificationPolicy.md</t>
        </is>
      </c>
    </row>
    <row r="4" ht="105.4" customHeight="1" s="33">
      <c r="A4" s="19" t="inlineStr">
        <is>
          <t>V14.1</t>
        </is>
      </c>
      <c r="B4" s="19" t="inlineStr">
        <is>
          <t>Data Protection Documentation</t>
        </is>
      </c>
      <c r="C4" s="20" t="inlineStr">
        <is>
          <t>V14.1.2</t>
        </is>
      </c>
      <c r="D4" s="21" t="inlineStr">
        <is>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is>
      </c>
      <c r="E4" s="17" t="n">
        <v>2</v>
      </c>
      <c r="F4" s="18" t="inlineStr">
        <is>
          <t>Not Applicable</t>
        </is>
      </c>
      <c r="G4" s="21" t="inlineStr">
        <is>
          <t>Due to the academic scope of this project, this requirement is considered out of scope and is therefore not implemented.</t>
        </is>
      </c>
      <c r="H4" s="21" t="n"/>
    </row>
    <row r="5" ht="18" customHeight="1" s="33">
      <c r="A5" s="13" t="inlineStr">
        <is>
          <t>V14.2</t>
        </is>
      </c>
      <c r="B5" s="13" t="inlineStr">
        <is>
          <t>General Data Protection</t>
        </is>
      </c>
      <c r="C5" s="13" t="n"/>
      <c r="D5" s="13" t="n"/>
      <c r="E5" s="13" t="n"/>
      <c r="F5" s="13" t="n"/>
      <c r="G5" s="13" t="n"/>
      <c r="H5" s="13" t="n"/>
    </row>
    <row r="6" ht="90" customHeight="1" s="33">
      <c r="A6" s="14" t="inlineStr">
        <is>
          <t>V14.2</t>
        </is>
      </c>
      <c r="B6" s="14" t="inlineStr">
        <is>
          <t>General Data Protection</t>
        </is>
      </c>
      <c r="C6" s="15" t="inlineStr">
        <is>
          <t>V14.2.1</t>
        </is>
      </c>
      <c r="D6" s="16" t="inlineStr">
        <is>
          <t>Verify that sensitive data is only sent to the server in the HTTP message body or header fields, and that the URL and query string do not contain sensitive information, such as an API key or session token.</t>
        </is>
      </c>
      <c r="E6" s="22" t="n">
        <v>1</v>
      </c>
      <c r="F6" s="18" t="inlineStr">
        <is>
          <t>Compliant</t>
        </is>
      </c>
      <c r="G6" s="16" t="inlineStr">
        <is>
          <t>ArcadeHaven API will never include sensitive data (API keys, tokens, passwords) in URL query strings. All sensitive data will be transmitted in the HTTP request body (POST/PUT) or in the Authorization header. Enforced by API design guidelines and validated in code reviews.</t>
        </is>
      </c>
      <c r="H6" s="16" t="inlineStr">
        <is>
          <t>Api/src/main/.../Controller/AuthController.java; Dto/Request/RegisterRequest.java</t>
        </is>
      </c>
    </row>
    <row r="7" ht="50.45" customHeight="1" s="33">
      <c r="A7" s="19" t="inlineStr">
        <is>
          <t>V14.2</t>
        </is>
      </c>
      <c r="B7" s="19" t="inlineStr">
        <is>
          <t>General Data Protection</t>
        </is>
      </c>
      <c r="C7" s="20" t="inlineStr">
        <is>
          <t>V14.2.2</t>
        </is>
      </c>
      <c r="D7" s="21" t="inlineStr">
        <is>
          <t>Verify that the application prevents sensitive data from being cached in server components, such as load balancers and application caches, or ensures that the data is securely purged after use.</t>
        </is>
      </c>
      <c r="E7" s="17" t="n">
        <v>2</v>
      </c>
      <c r="F7" s="18" t="inlineStr">
        <is>
          <t>Compliant</t>
        </is>
      </c>
      <c r="G7" s="21" t="inlineStr">
        <is>
          <t>SecurityConfig.java sets Cache-Control: no-cache, no-store, max-age=0, must-revalidate and Pragma: no-cache on all API responses via .cacheControl(Customizer.withDefaults()), preventing intermediary caching of sensitive data. Verified by SecurityHeadersTest.</t>
        </is>
      </c>
      <c r="H7" s="21" t="inlineStr">
        <is>
          <t>Api/src/main/java/.../Security/SecurityConfig.java; Api/src/test/.../Security/SecurityHeadersTest.java</t>
        </is>
      </c>
    </row>
    <row r="8" ht="68.65000000000001" customHeight="1" s="33">
      <c r="A8" s="14" t="inlineStr">
        <is>
          <t>V14.2</t>
        </is>
      </c>
      <c r="B8" s="14" t="inlineStr">
        <is>
          <t>General Data Protection</t>
        </is>
      </c>
      <c r="C8" s="15" t="inlineStr">
        <is>
          <t>V14.2.3</t>
        </is>
      </c>
      <c r="D8" s="16" t="inlineStr">
        <is>
          <t>Verify that defined sensitive data is not sent to untrusted parties (e.g., user trackers) to prevent unwanted collection of data outside of the application's control.</t>
        </is>
      </c>
      <c r="E8" s="17" t="n">
        <v>2</v>
      </c>
      <c r="F8" s="18" t="inlineStr">
        <is>
          <t>Compliant</t>
        </is>
      </c>
      <c r="G8" s="16" t="inlineStr">
        <is>
          <t>ArcadeHaven does not integrate any third-party trackers or analytics services. The only external service calls are to RAWG API (game metadata, no user data sent). No user data is shared with untrusted parties.</t>
        </is>
      </c>
      <c r="H8" s="16" t="inlineStr">
        <is>
          <t>Api/src/main/.../Service/PasswordPolicyService.java (HIBP 5-char prefix only)</t>
        </is>
      </c>
    </row>
    <row r="9" ht="90" customHeight="1" s="33">
      <c r="A9" s="19" t="inlineStr">
        <is>
          <t>V14.2</t>
        </is>
      </c>
      <c r="B9" s="19" t="inlineStr">
        <is>
          <t>General Data Protection</t>
        </is>
      </c>
      <c r="C9" s="20" t="inlineStr">
        <is>
          <t>V14.2.4</t>
        </is>
      </c>
      <c r="D9" s="21" t="inlineStr">
        <is>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is>
      </c>
      <c r="E9" s="17" t="n">
        <v>2</v>
      </c>
      <c r="F9" s="18" t="inlineStr">
        <is>
          <t>In Progress</t>
        </is>
      </c>
      <c r="G9" s="21" t="inlineStr">
        <is>
          <t>BCrypt hashing (via Keycloak) ✅. Log redaction enforced: SecurityAuditService.json() automatically redacts any field whose key matches SENSITIVE_KEY_PATTERN (password/secret/credential/private_key/client_secret); sanitize() also strips form-encoded credentials (password=value). Data retention formally documented in DataClassificationPolicy.md §4 (logs 30d, JWT 5min, refresh 30d). Remaining gap: DB TLS (sslmode=require) pending on remote PostgreSQL server TLS enablement. 7 new unit tests in SecurityAuditServiceTest validate redaction behaviour.</t>
        </is>
      </c>
      <c r="H9" s="21" t="inlineStr">
        <is>
          <t>Api/src/main/java/.../Security/SecurityAuditService.java (SENSITIVE_KEY_PATTERN); Documentation/DataClassificationPolicy.md; Api/src/test/.../Security/SecurityAuditServiceTest.java</t>
        </is>
      </c>
    </row>
    <row r="10" ht="30" customHeight="1" s="33">
      <c r="A10" s="14" t="inlineStr">
        <is>
          <t>V14.2</t>
        </is>
      </c>
      <c r="B10" s="14" t="inlineStr">
        <is>
          <t>General Data Protection</t>
        </is>
      </c>
      <c r="C10" s="15" t="inlineStr">
        <is>
          <t>V14.2.5</t>
        </is>
      </c>
      <c r="D10" s="16" t="inlineStr">
        <is>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is>
      </c>
      <c r="E10" s="23" t="n">
        <v>3</v>
      </c>
      <c r="F10" s="18" t="inlineStr">
        <is>
          <t>Not Applicable</t>
        </is>
      </c>
      <c r="G10" s="16" t="n"/>
      <c r="H10" s="16" t="n"/>
    </row>
    <row r="11" ht="30" customHeight="1" s="33">
      <c r="A11" s="19" t="inlineStr">
        <is>
          <t>V14.2</t>
        </is>
      </c>
      <c r="B11" s="19" t="inlineStr">
        <is>
          <t>General Data Protection</t>
        </is>
      </c>
      <c r="C11" s="20" t="inlineStr">
        <is>
          <t>V14.2.6</t>
        </is>
      </c>
      <c r="D11" s="21" t="inlineStr">
        <is>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is>
      </c>
      <c r="E11" s="23" t="n">
        <v>3</v>
      </c>
      <c r="F11" s="18" t="inlineStr">
        <is>
          <t>Not Applicable</t>
        </is>
      </c>
      <c r="G11" s="21" t="n"/>
      <c r="H11" s="21" t="n"/>
    </row>
    <row r="12" ht="30" customHeight="1" s="33">
      <c r="A12" s="14" t="inlineStr">
        <is>
          <t>V14.2</t>
        </is>
      </c>
      <c r="B12" s="14" t="inlineStr">
        <is>
          <t>General Data Protection</t>
        </is>
      </c>
      <c r="C12" s="15" t="inlineStr">
        <is>
          <t>V14.2.7</t>
        </is>
      </c>
      <c r="D12" s="16" t="inlineStr">
        <is>
          <t>Verify that sensitive information is subject to data retention classification, ensuring that outdated or unnecessary data is deleted automatically, on a defined schedule, or as the situation requires.</t>
        </is>
      </c>
      <c r="E12" s="23" t="n">
        <v>3</v>
      </c>
      <c r="F12" s="18" t="inlineStr">
        <is>
          <t>Not Applicable</t>
        </is>
      </c>
      <c r="G12" s="16" t="n"/>
      <c r="H12" s="16" t="n"/>
    </row>
    <row r="13" ht="30" customHeight="1" s="33">
      <c r="A13" s="19" t="inlineStr">
        <is>
          <t>V14.2</t>
        </is>
      </c>
      <c r="B13" s="19" t="inlineStr">
        <is>
          <t>General Data Protection</t>
        </is>
      </c>
      <c r="C13" s="20" t="inlineStr">
        <is>
          <t>V14.2.8</t>
        </is>
      </c>
      <c r="D13" s="21" t="inlineStr">
        <is>
          <t>Verify that sensitive information is removed from the metadata of user-submitted files unless storage is consented to by the user.</t>
        </is>
      </c>
      <c r="E13" s="23" t="n">
        <v>3</v>
      </c>
      <c r="F13" s="18" t="inlineStr">
        <is>
          <t>Not Applicable</t>
        </is>
      </c>
      <c r="G13" s="21" t="n"/>
      <c r="H13" s="21" t="n"/>
    </row>
    <row r="14" ht="18" customHeight="1" s="33">
      <c r="A14" s="13" t="inlineStr">
        <is>
          <t>V14.3</t>
        </is>
      </c>
      <c r="B14" s="13" t="inlineStr">
        <is>
          <t>Client-side Data Protection</t>
        </is>
      </c>
      <c r="C14" s="13" t="n"/>
      <c r="D14" s="13" t="n"/>
      <c r="E14" s="13" t="n"/>
      <c r="F14" s="13" t="n"/>
      <c r="G14" s="13" t="n"/>
      <c r="H14" s="13" t="n"/>
    </row>
    <row r="15" ht="30" customHeight="1" s="33">
      <c r="A15" s="14" t="inlineStr">
        <is>
          <t>V14.3</t>
        </is>
      </c>
      <c r="B15" s="14" t="inlineStr">
        <is>
          <t>Client-side Data Protection</t>
        </is>
      </c>
      <c r="C15" s="15" t="inlineStr">
        <is>
          <t>V14.3.1</t>
        </is>
      </c>
      <c r="D15" s="16" t="inlineStr">
        <is>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is>
      </c>
      <c r="E15" s="22" t="n">
        <v>1</v>
      </c>
      <c r="F15" s="18" t="inlineStr">
        <is>
          <t>Not Applicable</t>
        </is>
      </c>
      <c r="G15" s="16" t="inlineStr">
        <is>
          <t>ArcadeHaven is a back-end REST API with no browser-facing front-end. Client-side storage clearing and Clear-Site-Data headers are not applicable in the current scope.</t>
        </is>
      </c>
      <c r="H15" s="16" t="n"/>
    </row>
    <row r="16" ht="45" customHeight="1" s="33">
      <c r="A16" s="19" t="inlineStr">
        <is>
          <t>V14.3</t>
        </is>
      </c>
      <c r="B16" s="19" t="inlineStr">
        <is>
          <t>Client-side Data Protection</t>
        </is>
      </c>
      <c r="C16" s="20" t="inlineStr">
        <is>
          <t>V14.3.2</t>
        </is>
      </c>
      <c r="D16" s="21" t="inlineStr">
        <is>
          <t>Verify that the application sets sufficient anti-caching HTTP response header fields (i.e., Cache-Control: no-store) so that sensitive data is not cached in browsers.</t>
        </is>
      </c>
      <c r="E16" s="17" t="n">
        <v>2</v>
      </c>
      <c r="F16" s="18" t="inlineStr">
        <is>
          <t>Compliant</t>
        </is>
      </c>
      <c r="G16" s="21" t="inlineStr">
        <is>
          <t>Same Cache-Control implementation as V14.2.2: SecurityConfig.java applies no-store, no-cache headers globally via cacheControl(Customizer.withDefaults()), preventing browser caching of tokens, user data, and activation keys. Verified by SecurityHeadersTest.</t>
        </is>
      </c>
      <c r="H16" s="21" t="inlineStr">
        <is>
          <t>Api/src/main/java/.../Security/SecurityConfig.java; Api/src/test/.../Security/SecurityHeadersTest.java</t>
        </is>
      </c>
    </row>
    <row r="17" ht="45" customHeight="1" s="33">
      <c r="A17" s="14" t="inlineStr">
        <is>
          <t>V14.3</t>
        </is>
      </c>
      <c r="B17" s="14" t="inlineStr">
        <is>
          <t>Client-side Data Protection</t>
        </is>
      </c>
      <c r="C17" s="15" t="inlineStr">
        <is>
          <t>V14.3.3</t>
        </is>
      </c>
      <c r="D17" s="16" t="inlineStr">
        <is>
          <t>Verify that data stored in browser storage (such as localStorage, sessionStorage, IndexedDB, or cookies) does not contain sensitive data, with the exception of session tokens.</t>
        </is>
      </c>
      <c r="E17" s="17" t="n">
        <v>2</v>
      </c>
      <c r="F17" s="18" t="inlineStr">
        <is>
          <t>Not Applicable</t>
        </is>
      </c>
      <c r="G17" s="16" t="inlineStr">
        <is>
          <t>Authentication uses JWT Bearer tokens passed in the Authorization header, managed entirely by the API consumer.</t>
        </is>
      </c>
      <c r="H17" s="16" t="n"/>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7"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6.xml><?xml version="1.0" encoding="utf-8"?>
<worksheet xmlns="http://schemas.openxmlformats.org/spreadsheetml/2006/main">
  <sheetPr>
    <outlinePr summaryBelow="1" summaryRight="1"/>
    <pageSetUpPr/>
  </sheetPr>
  <dimension ref="A1:H26"/>
  <sheetViews>
    <sheetView zoomScale="75" zoomScaleNormal="75" workbookViewId="0">
      <pane ySplit="1" topLeftCell="A20" activePane="bottomLeft" state="frozen"/>
      <selection pane="bottomLeft" activeCell="F21" sqref="F21"/>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V15.1</t>
        </is>
      </c>
      <c r="B2" s="13" t="inlineStr">
        <is>
          <t>Secure Coding and Architecture Documentation</t>
        </is>
      </c>
      <c r="C2" s="13" t="n"/>
      <c r="D2" s="13" t="n"/>
      <c r="E2" s="13" t="n"/>
      <c r="F2" s="13" t="n"/>
      <c r="G2" s="13" t="n"/>
      <c r="H2" s="13" t="n"/>
    </row>
    <row r="3" ht="105" customHeight="1" s="33">
      <c r="A3" s="14" t="inlineStr">
        <is>
          <t>V15.1</t>
        </is>
      </c>
      <c r="B3" s="14" t="inlineStr">
        <is>
          <t>Secure Coding and Architecture Documentation</t>
        </is>
      </c>
      <c r="C3" s="15" t="inlineStr">
        <is>
          <t>V15.1.1</t>
        </is>
      </c>
      <c r="D3" s="16" t="inlineStr">
        <is>
          <t>Verify that application documentation defines risk based remediation time frames for 3rd party component versions with vulnerabilities and for updating libraries in general, to minimize the risk from these components.</t>
        </is>
      </c>
      <c r="E3" s="22" t="n">
        <v>1</v>
      </c>
      <c r="F3" s="18" t="inlineStr">
        <is>
          <t>Compliant</t>
        </is>
      </c>
      <c r="G3" s="16" t="inlineStr">
        <is>
          <t>Formal SLA documented: Critical CVEs &lt;=7 days, High &lt;=30 days, Medium &lt;=90 days, Low next release. OWASP Dependency Check runs on every CI execution (sca-dependency-check.yml). False-positive suppression procedure defined.</t>
        </is>
      </c>
      <c r="H3" s="16" t="inlineStr">
        <is>
          <t>Documentation/VulnerabilityRemediationPolicy.md §1; .github/workflows/sca-dependency-check.yml</t>
        </is>
      </c>
    </row>
    <row r="4" ht="120" customHeight="1" s="33">
      <c r="A4" s="19" t="inlineStr">
        <is>
          <t>V15.1</t>
        </is>
      </c>
      <c r="B4" s="19" t="inlineStr">
        <is>
          <t>Secure Coding and Architecture Documentation</t>
        </is>
      </c>
      <c r="C4" s="20" t="inlineStr">
        <is>
          <t>V15.1.2</t>
        </is>
      </c>
      <c r="D4" s="21" t="inlineStr">
        <is>
          <t>Verify that an inventory catalog, such as software bill of materials (SBOM), is maintained of all third-party libraries in use, including verifying that components come from pre-defined, trusted, and continually maintained repositories.</t>
        </is>
      </c>
      <c r="E4" s="17" t="n">
        <v>2</v>
      </c>
      <c r="F4" s="18" t="inlineStr">
        <is>
          <t>Compliant</t>
        </is>
      </c>
      <c r="G4" s="21" t="inlineStr">
        <is>
          <t>CycloneDX SBOM generated on every build (cyclonedx:makeAggregateBom, build.yml). bom.xml and bom.json uploaded as report-build-test artifact. All dependencies from Maven Central (trusted repository).</t>
        </is>
      </c>
      <c r="H4" s="21" t="inlineStr">
        <is>
          <t>Api/pom.xml (cyclonedx-maven-plugin 2.9.0); .github/workflows/build.yml</t>
        </is>
      </c>
    </row>
    <row r="5" ht="150" customHeight="1" s="33">
      <c r="A5" s="14" t="inlineStr">
        <is>
          <t>V15.1</t>
        </is>
      </c>
      <c r="B5" s="14" t="inlineStr">
        <is>
          <t>Secure Coding and Architecture Documentation</t>
        </is>
      </c>
      <c r="C5" s="15" t="inlineStr">
        <is>
          <t>V15.1.3</t>
        </is>
      </c>
      <c r="D5" s="16" t="inlineStr">
        <is>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is>
      </c>
      <c r="E5" s="17" t="n">
        <v>2</v>
      </c>
      <c r="F5" s="18" t="inlineStr">
        <is>
          <t>Compliant</t>
        </is>
      </c>
      <c r="G5" s="16" t="inlineStr">
        <is>
          <t>Resource-demanding functionality formally documented: file uploads (25 MB cap, Tika MIME check), SFTP operations (SSH host-key verification), HIBP check (fail-open), invoice/key-card generation, Keycloak Admin API calls, DB game-listing (composite indexes). Each entry lists risk and mitigations.</t>
        </is>
      </c>
      <c r="H5" s="16" t="inlineStr">
        <is>
          <t>Documentation/VulnerabilityRemediationPolicy.md §2</t>
        </is>
      </c>
    </row>
    <row r="6" ht="30" customHeight="1" s="33">
      <c r="A6" s="19" t="inlineStr">
        <is>
          <t>V15.1</t>
        </is>
      </c>
      <c r="B6" s="19" t="inlineStr">
        <is>
          <t>Secure Coding and Architecture Documentation</t>
        </is>
      </c>
      <c r="C6" s="20" t="inlineStr">
        <is>
          <t>V15.1.4</t>
        </is>
      </c>
      <c r="D6" s="21" t="inlineStr">
        <is>
          <t>Verify that application documentation highlights third-party libraries which are considered to be "risky components".</t>
        </is>
      </c>
      <c r="E6" s="23" t="n">
        <v>3</v>
      </c>
      <c r="F6" s="18" t="inlineStr">
        <is>
          <t>Not Applicable</t>
        </is>
      </c>
      <c r="G6" s="21" t="n"/>
      <c r="H6" s="21" t="n"/>
    </row>
    <row r="7" ht="255" customHeight="1" s="33">
      <c r="A7" s="14" t="inlineStr">
        <is>
          <t>V15.1</t>
        </is>
      </c>
      <c r="B7" s="14" t="inlineStr">
        <is>
          <t>Secure Coding and Architecture Documentation</t>
        </is>
      </c>
      <c r="C7" s="15" t="inlineStr">
        <is>
          <t>V15.1.5</t>
        </is>
      </c>
      <c r="D7" s="16" t="inlineStr">
        <is>
          <t>Verify that application documentation highlights parts of the application where "dangerous functionality" is being used.</t>
        </is>
      </c>
      <c r="E7" s="23" t="n">
        <v>3</v>
      </c>
      <c r="F7" s="18" t="inlineStr">
        <is>
          <t>Compliant</t>
        </is>
      </c>
      <c r="G7" s="16" t="inlineStr">
        <is>
          <t>8 dangerous features formally labelled with risk category and mitigations: file upload (path traversal, MIME spoofing), RAWG SSRF adjacency, Keycloak Admin API, ROPC grant, admin initialisation, JWT signing keys, SFTP host-key, activation keys.</t>
        </is>
      </c>
      <c r="H7" s="16" t="inlineStr">
        <is>
          <t>Documentation/VulnerabilityRemediationPolicy.md §3</t>
        </is>
      </c>
    </row>
    <row r="8">
      <c r="A8" s="13" t="inlineStr">
        <is>
          <t>V15.2</t>
        </is>
      </c>
      <c r="B8" s="13" t="inlineStr">
        <is>
          <t>Security Architecture and Dependencies</t>
        </is>
      </c>
      <c r="C8" s="13" t="n"/>
      <c r="D8" s="13" t="n"/>
      <c r="E8" s="13" t="n"/>
      <c r="F8" s="13" t="n"/>
      <c r="G8" s="13" t="n"/>
      <c r="H8" s="13" t="n"/>
    </row>
    <row r="9" ht="150" customHeight="1" s="33">
      <c r="A9" s="14" t="inlineStr">
        <is>
          <t>V15.2</t>
        </is>
      </c>
      <c r="B9" s="14" t="inlineStr">
        <is>
          <t>Security Architecture and Dependencies</t>
        </is>
      </c>
      <c r="C9" s="15" t="inlineStr">
        <is>
          <t>V15.2.1</t>
        </is>
      </c>
      <c r="D9" s="16" t="inlineStr">
        <is>
          <t>Verify that the application only contains components which have not breached the documented update and remediation time frames.</t>
        </is>
      </c>
      <c r="E9" s="22" t="n">
        <v>1</v>
      </c>
      <c r="F9" s="18" t="inlineStr">
        <is>
          <t>Compliant</t>
        </is>
      </c>
      <c r="G9" s="16" t="inlineStr">
        <is>
          <t>OWASP Dependency Check (dependency-check-maven 12.1.3) runs on every CI execution against NVD database with NVD_API_KEY secret. Build fails on CVE threshold breach. Report uploaded as report-sca artifact. Remediation SLA enforces no components past timeframe in production.</t>
        </is>
      </c>
      <c r="H9" s="16" t="inlineStr">
        <is>
          <t>.github/workflows/sca-dependency-check.yml; Api/pom.xml; Documentation/VulnerabilityRemediationPolicy.md §1</t>
        </is>
      </c>
    </row>
    <row r="10" ht="165" customHeight="1" s="33">
      <c r="A10" s="19" t="inlineStr">
        <is>
          <t>V15.2</t>
        </is>
      </c>
      <c r="B10" s="19" t="inlineStr">
        <is>
          <t>Security Architecture and Dependencies</t>
        </is>
      </c>
      <c r="C10" s="20" t="inlineStr">
        <is>
          <t>V15.2.2</t>
        </is>
      </c>
      <c r="D10" s="21" t="inlineStr">
        <is>
          <t>Verify that the application has implemented defenses against loss of availability due to functionality which is time-consuming or resource-demanding, based on the documented security decisions and strategies for this.</t>
        </is>
      </c>
      <c r="E10" s="17" t="n">
        <v>2</v>
      </c>
      <c r="F10" s="18" t="inlineStr">
        <is>
          <t>Compliant</t>
        </is>
      </c>
      <c r="G10" s="21" t="inlineStr">
        <is>
          <t>Defenses implemented: maximum file size enforced at the Spring multipart layer (FO-001), MIME type validation rejects unexpected content (FO-002), HTTP client timeout configured for RAWG API calls (RNF-16), local metadata fallback when RAWG is unavailable, and rate limiting (AC-006, RNF-09) on all security-sensitive and high-volume endpoints to prevent repeated triggering of resource-intensive operations.</t>
        </is>
      </c>
      <c r="H10" s="21" t="inlineStr">
        <is>
          <t>Api/src/main/.../Security/RateLimitFilter.java; Exception/GlobalExceptionHandler.java; application.properties</t>
        </is>
      </c>
    </row>
    <row r="11" ht="150" customHeight="1" s="33">
      <c r="A11" s="14" t="inlineStr">
        <is>
          <t>V15.2</t>
        </is>
      </c>
      <c r="B11" s="14" t="inlineStr">
        <is>
          <t>Security Architecture and Dependencies</t>
        </is>
      </c>
      <c r="C11" s="15" t="inlineStr">
        <is>
          <t>V15.2.3</t>
        </is>
      </c>
      <c r="D11" s="16" t="inlineStr">
        <is>
          <t>Verify that the production environment only includes functionality that is required for the application to function, and does not expose extraneous functionality such as test code, sample snippets, and development functionality.</t>
        </is>
      </c>
      <c r="E11" s="17" t="n">
        <v>2</v>
      </c>
      <c r="F11" s="18" t="inlineStr">
        <is>
          <t>Compliant</t>
        </is>
      </c>
      <c r="G11" s="16" t="inlineStr">
        <is>
          <t>Production environment hygiene verified: spring.jpa.show-sql=false, management.endpoints.web.exposure.include=health, management.endpoint.health.show-details=never, Swagger requires authentication, no H2 console, no DevTools dependency. springdoc-openapi present but gated behind JWT authentication in SecurityConfig.</t>
        </is>
      </c>
      <c r="H11" s="16" t="inlineStr">
        <is>
          <t>Api/src/main/resources/application.properties; Api/src/main/java/isep/desosfs/arcadehaven/Security/SecurityConfig.java</t>
        </is>
      </c>
    </row>
    <row r="12" ht="60" customHeight="1" s="33">
      <c r="A12" s="19" t="inlineStr">
        <is>
          <t>V15.2</t>
        </is>
      </c>
      <c r="B12" s="19" t="inlineStr">
        <is>
          <t>Security Architecture and Dependencies</t>
        </is>
      </c>
      <c r="C12" s="20" t="inlineStr">
        <is>
          <t>V15.2.4</t>
        </is>
      </c>
      <c r="D12" s="21" t="inlineStr">
        <is>
          <t>Verify that third-party components and all of their transitive dependencies are included from the expected repository, whether internally owned or an external source, and that there is no risk of a dependency confusion attack.</t>
        </is>
      </c>
      <c r="E12" s="23" t="n">
        <v>3</v>
      </c>
      <c r="F12" s="18" t="inlineStr">
        <is>
          <t>Not Applicable</t>
        </is>
      </c>
      <c r="G12" s="21" t="n"/>
      <c r="H12" s="21" t="n"/>
    </row>
    <row r="13" ht="285" customHeight="1" s="33">
      <c r="A13" s="14" t="inlineStr">
        <is>
          <t>V15.2</t>
        </is>
      </c>
      <c r="B13" s="14" t="inlineStr">
        <is>
          <t>Security Architecture and Dependencies</t>
        </is>
      </c>
      <c r="C13" s="15" t="inlineStr">
        <is>
          <t>V15.2.5</t>
        </is>
      </c>
      <c r="D13" s="16" t="inlineStr">
        <is>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is>
      </c>
      <c r="E13" s="23" t="n">
        <v>3</v>
      </c>
      <c r="F13" s="18" t="inlineStr">
        <is>
          <t>Compliant</t>
        </is>
      </c>
      <c r="G13" s="16" t="inlineStr">
        <is>
          <t>Although a Level 3 requirement, ArcadeHaven's Docker containerisation directly satisfies the requirement's explicit examples: containerization and network-level isolation. The entire application — including the iText PDF generation component, the RAWG API HTTP client, and the file upload handler — runs inside a Docker container with no host-level access. The database is isolated in a separate container with network-level access restricted to the application container. No process can escape the container boundary without explicit Docker configuration. Additional sandboxing beyond Docker (e.g., seccomp profiles, AppArmor) is being evaluated as part of the deployment hardening specification.</t>
        </is>
      </c>
      <c r="H13" s="16" t="inlineStr">
        <is>
          <t>Api/docker-compose.yml (separate containers, network isolation)</t>
        </is>
      </c>
    </row>
    <row r="14">
      <c r="A14" s="13" t="inlineStr">
        <is>
          <t>V15.3</t>
        </is>
      </c>
      <c r="B14" s="13" t="inlineStr">
        <is>
          <t>Defensive Coding</t>
        </is>
      </c>
      <c r="C14" s="13" t="n"/>
      <c r="D14" s="13" t="n"/>
      <c r="E14" s="13" t="n"/>
      <c r="F14" s="13" t="n"/>
      <c r="G14" s="13" t="n"/>
      <c r="H14" s="13" t="n"/>
    </row>
    <row r="15" ht="165" customHeight="1" s="33">
      <c r="A15" s="14" t="inlineStr">
        <is>
          <t>V15.3</t>
        </is>
      </c>
      <c r="B15" s="14" t="inlineStr">
        <is>
          <t>Defensive Coding</t>
        </is>
      </c>
      <c r="C15" s="15" t="inlineStr">
        <is>
          <t>V15.3.1</t>
        </is>
      </c>
      <c r="D15" s="16" t="inlineStr">
        <is>
          <t>Verify that the application only returns the required subset of fields from a data object. For example, it should not return an entire data object, as some individual fields should not be accessible to users.</t>
        </is>
      </c>
      <c r="E15" s="22" t="n">
        <v>1</v>
      </c>
      <c r="F15" s="18" t="inlineStr">
        <is>
          <t>Compliant</t>
        </is>
      </c>
      <c r="G15" s="16" t="inlineStr">
        <is>
          <t>ArcadeHaven uses dedicated response DTO classes for all API responses. Entity classes (User, Game, Order, ActivationKey) are never directly serialised into responses. The UserResponseDTO never includes passwordHash; OrderResponseDTO excludes activation key values except in the explicit library endpoint for authenticated buyers; GameResponseDTO excludes internal metadata fields.</t>
        </is>
      </c>
      <c r="H15" s="16" t="inlineStr">
        <is>
          <t>Api/src/main/.../Dto/Response/UserResponse.java; Dto/Response/GameResponse.java; Dto/Response/OrderResponse.java; Dto/Response/LibraryEntryResponse.java</t>
        </is>
      </c>
    </row>
    <row r="16" ht="135" customHeight="1" s="33">
      <c r="A16" s="19" t="inlineStr">
        <is>
          <t>V15.3</t>
        </is>
      </c>
      <c r="B16" s="19" t="inlineStr">
        <is>
          <t>Defensive Coding</t>
        </is>
      </c>
      <c r="C16" s="20" t="inlineStr">
        <is>
          <t>V15.3.2</t>
        </is>
      </c>
      <c r="D16" s="21" t="inlineStr">
        <is>
          <t>Verify that where the application backend makes calls to external URLs, it is configured to not follow redirects unless it is intended functionality.</t>
        </is>
      </c>
      <c r="E16" s="17" t="n">
        <v>2</v>
      </c>
      <c r="F16" s="18" t="inlineStr">
        <is>
          <t>Compliant</t>
        </is>
      </c>
      <c r="G16" s="21" t="inlineStr">
        <is>
          <t>RestTemplate bean configured with anonymous SimpleClientHttpRequestFactory subclass that overrides prepareConnection() calling connection.setInstanceFollowRedirects(false). Applied to all outbound HTTP calls: AuthService (ROPC login/logout) and ProfileService (current-password verification). Future RAWG client inherits this bean.</t>
        </is>
      </c>
      <c r="H16" s="21" t="inlineStr">
        <is>
          <t>Api/src/main/java/isep/desosfs/arcadehaven/Config/KeycloakAdminConfig.java</t>
        </is>
      </c>
    </row>
    <row r="17" ht="165" customHeight="1" s="33">
      <c r="A17" s="14" t="inlineStr">
        <is>
          <t>V15.3</t>
        </is>
      </c>
      <c r="B17" s="14" t="inlineStr">
        <is>
          <t>Defensive Coding</t>
        </is>
      </c>
      <c r="C17" s="15" t="inlineStr">
        <is>
          <t>V15.3.3</t>
        </is>
      </c>
      <c r="D17" s="16" t="inlineStr">
        <is>
          <t>Verify that the application has countermeasures to protect against mass assignment attacks by limiting allowed fields per controller and action, e.g., it is not possible to insert or update a field value when it was not intended to be part of that action.</t>
        </is>
      </c>
      <c r="E17" s="17" t="n">
        <v>2</v>
      </c>
      <c r="F17" s="18" t="inlineStr">
        <is>
          <t>Compliant</t>
        </is>
      </c>
      <c r="G17" s="16" t="inlineStr">
        <is>
          <t>Spring Boot uses dedicated request DTO classes for each endpoint operation. JPA entities are never directly bound to request bodies. Fields that must not be modifiable by users — role, userId, createdAt, isApproved, activationKeyValue — are absent from request DTOs. Role assignment is performed exclusively through the administrator role-management endpoint (RF-07) with explicit authorization checks (AC-004).</t>
        </is>
      </c>
      <c r="H17" s="16" t="inlineStr">
        <is>
          <t>Api/src/main/.../Dto/Request/RegisterRequest.java; Dto/Request/CreateGameRequest.java; Dto/Request/UpdateProfileRequest.java; Dto/Request/AddOrderItemRequest.java</t>
        </is>
      </c>
    </row>
    <row r="18" ht="165" customHeight="1" s="33">
      <c r="A18" s="19" t="inlineStr">
        <is>
          <t>V15.3</t>
        </is>
      </c>
      <c r="B18" s="19" t="inlineStr">
        <is>
          <t>Defensive Coding</t>
        </is>
      </c>
      <c r="C18" s="20" t="inlineStr">
        <is>
          <t>V15.3.4</t>
        </is>
      </c>
      <c r="D18" s="21" t="inlineStr">
        <is>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is>
      </c>
      <c r="E18" s="17" t="n">
        <v>2</v>
      </c>
      <c r="F18" s="18" t="inlineStr">
        <is>
          <t>Compliant</t>
        </is>
      </c>
      <c r="G18" s="21" t="inlineStr">
        <is>
          <t>server.forward-headers-strategy=NATIVE activates Tomcat RemoteIpFilter. server.tomcat.remoteip.trusted-proxies restricts trust to RFC-1918 ranges (Docker networks). Client-supplied X-Forwarded-For headers are stripped. RateLimitFilter and SecurityEventHandler use request.getRemoteAddr() directly.</t>
        </is>
      </c>
      <c r="H18" s="21" t="inlineStr">
        <is>
          <t>Api/src/main/resources/application.properties; Api/src/main/java/isep/desosfs/arcadehaven/Security/RateLimitFilter.java; SecurityEventHandler.java</t>
        </is>
      </c>
    </row>
    <row r="19" ht="135" customHeight="1" s="33">
      <c r="A19" s="14" t="inlineStr">
        <is>
          <t>V15.3</t>
        </is>
      </c>
      <c r="B19" s="14" t="inlineStr">
        <is>
          <t>Defensive Coding</t>
        </is>
      </c>
      <c r="C19" s="15" t="inlineStr">
        <is>
          <t>V15.3.5</t>
        </is>
      </c>
      <c r="D19" s="16" t="inlineStr">
        <is>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is>
      </c>
      <c r="E19" s="17" t="n">
        <v>2</v>
      </c>
      <c r="F19" s="18" t="inlineStr">
        <is>
          <t>Compliant</t>
        </is>
      </c>
      <c r="G19" s="16" t="inlineStr">
        <is>
          <t>Java is a statically and strongly typed language with no implicit type coercion. All API inputs are declared as typed DTO fields annotated with Bean Validation constraints (@NotNull, @Positive, @Email, @Size). Jackson's deserialiser rejects type mismatches with a 400 Bad Request before reaching business logic. There is no type juggling equivalent in Java.</t>
        </is>
      </c>
      <c r="H19" s="16" t="inlineStr">
        <is>
          <t>Api/src/main/.../Dto/Request/ (all request DTOs — Java static typing + Bean Validation)</t>
        </is>
      </c>
    </row>
    <row r="20" ht="105" customHeight="1" s="33">
      <c r="A20" s="19" t="inlineStr">
        <is>
          <t>V15.3</t>
        </is>
      </c>
      <c r="B20" s="19" t="inlineStr">
        <is>
          <t>Defensive Coding</t>
        </is>
      </c>
      <c r="C20" s="20" t="inlineStr">
        <is>
          <t>V15.3.6</t>
        </is>
      </c>
      <c r="D20" s="21" t="inlineStr">
        <is>
          <t>Verify that JavaScript code is written in a way that prevents prototype pollution, for example, by using Set() or Map() instead of object literals.</t>
        </is>
      </c>
      <c r="E20" s="17" t="n">
        <v>2</v>
      </c>
      <c r="F20" s="18" t="inlineStr">
        <is>
          <t>Not Applicable</t>
        </is>
      </c>
      <c r="G20" s="21" t="inlineStr">
        <is>
          <t>Prototype pollution is a vulnerability class specific to JavaScript/Node.js environments. ArcadeHaven is a Java/Spring Boot backend with no JavaScript runtime component. This vulnerability class is architecturally inapplicable.</t>
        </is>
      </c>
      <c r="H20" s="21" t="n"/>
    </row>
    <row r="21" ht="165" customHeight="1" s="33">
      <c r="A21" s="14" t="inlineStr">
        <is>
          <t>V15.3</t>
        </is>
      </c>
      <c r="B21" s="14" t="inlineStr">
        <is>
          <t>Defensive Coding</t>
        </is>
      </c>
      <c r="C21" s="15" t="inlineStr">
        <is>
          <t>V15.3.7</t>
        </is>
      </c>
      <c r="D21" s="16" t="inlineStr">
        <is>
          <t>Verify that the application has defenses against HTTP parameter pollution attacks, particularly if the application framework makes no distinction about the source of request parameters (query string, body parameters, cookies, or header fields).</t>
        </is>
      </c>
      <c r="E21" s="17" t="n">
        <v>2</v>
      </c>
      <c r="F21" s="18" t="inlineStr">
        <is>
          <t>Compliant</t>
        </is>
      </c>
      <c r="G21" s="16" t="inlineStr">
        <is>
          <t>Spring MVC processes query parameters, request body, and header fields through separate and explicit binding mechanisms (@RequestParam, @RequestBody, @RequestHeader). Duplicate query parameters for a single-value field produce a 400 Bad Request via Spring's typed binding. Input validation (IV-001) applies whitelist validation to all parameters before they reach business logic.</t>
        </is>
      </c>
      <c r="H21" s="16" t="inlineStr">
        <is>
          <t>Api/src/main/.../Security/SecurityConfig.java; all controllers (@RequestParam/@RequestBody separate binding)</t>
        </is>
      </c>
    </row>
    <row r="22">
      <c r="A22" s="13" t="inlineStr">
        <is>
          <t>V15.4</t>
        </is>
      </c>
      <c r="B22" s="13" t="inlineStr">
        <is>
          <t>Safe Concurrency</t>
        </is>
      </c>
      <c r="C22" s="13" t="n"/>
      <c r="D22" s="13" t="n"/>
      <c r="E22" s="13" t="n"/>
      <c r="F22" s="13" t="n"/>
      <c r="G22" s="13" t="n"/>
      <c r="H22" s="13" t="n"/>
    </row>
    <row r="23" ht="75" customHeight="1" s="33">
      <c r="A23" s="14" t="inlineStr">
        <is>
          <t>V15.4</t>
        </is>
      </c>
      <c r="B23" s="14" t="inlineStr">
        <is>
          <t>Safe Concurrency</t>
        </is>
      </c>
      <c r="C23" s="15" t="inlineStr">
        <is>
          <t>V15.4.1</t>
        </is>
      </c>
      <c r="D23" s="16" t="inlineStr">
        <is>
          <t>Verify that shared objects in multi-threaded code (such as caches, files, or in-memory objects accessed by multiple threads) are accessed safely by using thread-safe types and synchronization mechanisms like locks or semaphores to avoid race conditions and data corruption.</t>
        </is>
      </c>
      <c r="E23" s="23" t="n">
        <v>3</v>
      </c>
      <c r="F23" s="18" t="inlineStr">
        <is>
          <t>Not Applicable</t>
        </is>
      </c>
      <c r="G23" s="16" t="n"/>
      <c r="H23" s="16" t="n"/>
    </row>
    <row r="24" ht="90" customHeight="1" s="33">
      <c r="A24" s="19" t="inlineStr">
        <is>
          <t>V15.4</t>
        </is>
      </c>
      <c r="B24" s="19" t="inlineStr">
        <is>
          <t>Safe Concurrency</t>
        </is>
      </c>
      <c r="C24" s="20" t="inlineStr">
        <is>
          <t>V15.4.2</t>
        </is>
      </c>
      <c r="D24" s="21" t="inlineStr">
        <is>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is>
      </c>
      <c r="E24" s="23" t="n">
        <v>3</v>
      </c>
      <c r="F24" s="18" t="inlineStr">
        <is>
          <t>Not Applicable</t>
        </is>
      </c>
      <c r="G24" s="21" t="n"/>
      <c r="H24" s="21" t="n"/>
    </row>
    <row r="25" ht="75" customHeight="1" s="33">
      <c r="A25" s="14" t="inlineStr">
        <is>
          <t>V15.4</t>
        </is>
      </c>
      <c r="B25" s="14" t="inlineStr">
        <is>
          <t>Safe Concurrency</t>
        </is>
      </c>
      <c r="C25" s="15" t="inlineStr">
        <is>
          <t>V15.4.3</t>
        </is>
      </c>
      <c r="D25" s="16" t="inlineStr">
        <is>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is>
      </c>
      <c r="E25" s="23" t="n">
        <v>3</v>
      </c>
      <c r="F25" s="18" t="inlineStr">
        <is>
          <t>Not Applicable</t>
        </is>
      </c>
      <c r="G25" s="16" t="n"/>
      <c r="H25" s="16" t="n"/>
    </row>
    <row r="26" ht="60" customHeight="1" s="33">
      <c r="A26" s="19" t="inlineStr">
        <is>
          <t>V15.4</t>
        </is>
      </c>
      <c r="B26" s="19" t="inlineStr">
        <is>
          <t>Safe Concurrency</t>
        </is>
      </c>
      <c r="C26" s="20" t="inlineStr">
        <is>
          <t>V15.4.4</t>
        </is>
      </c>
      <c r="D26" s="21" t="inlineStr">
        <is>
          <t>Verify that resource allocation policies prevent thread starvation by ensuring fair access to resources, such as by leveraging thread pools, allowing lower-priority threads to proceed within a reasonable timeframe.</t>
        </is>
      </c>
      <c r="E26" s="23" t="n">
        <v>3</v>
      </c>
      <c r="F26" s="18" t="inlineStr">
        <is>
          <t>Not Applicable</t>
        </is>
      </c>
      <c r="G26" s="21" t="n"/>
      <c r="H26" s="21" t="n"/>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7.xml><?xml version="1.0" encoding="utf-8"?>
<worksheet xmlns="http://schemas.openxmlformats.org/spreadsheetml/2006/main">
  <sheetPr>
    <outlinePr summaryBelow="1" summaryRight="1"/>
    <pageSetUpPr/>
  </sheetPr>
  <dimension ref="A1:H23"/>
  <sheetViews>
    <sheetView zoomScale="75" zoomScaleNormal="75" workbookViewId="0">
      <pane ySplit="1" topLeftCell="A20" activePane="bottomLeft" state="frozen"/>
      <selection pane="bottomLeft" activeCell="F23" sqref="F23"/>
    </sheetView>
  </sheetViews>
  <sheetFormatPr baseColWidth="8" defaultColWidth="8.5703125" defaultRowHeight="15"/>
  <cols>
    <col width="15.42578125"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9"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V16.1</t>
        </is>
      </c>
      <c r="B2" s="13" t="inlineStr">
        <is>
          <t>Security Logging Documentation</t>
        </is>
      </c>
      <c r="C2" s="13" t="n"/>
      <c r="D2" s="13" t="n"/>
      <c r="E2" s="13" t="n"/>
      <c r="F2" s="13" t="n"/>
      <c r="G2" s="13" t="n"/>
      <c r="H2" s="13" t="n"/>
    </row>
    <row r="3" ht="195" customHeight="1" s="33">
      <c r="A3" s="14" t="inlineStr">
        <is>
          <t>V16.1</t>
        </is>
      </c>
      <c r="B3" s="14" t="inlineStr">
        <is>
          <t>Security Logging Documentation</t>
        </is>
      </c>
      <c r="C3" s="15" t="inlineStr">
        <is>
          <t>V16.1.1</t>
        </is>
      </c>
      <c r="D3" s="16" t="inlineStr">
        <is>
          <t>Verify that an inventory exists documenting the logging performed at each layer of the application's technology stack, what events are being logged, log formats, where that logging is stored, how it is used, how access to it is controlled, and for how long logs are kept.</t>
        </is>
      </c>
      <c r="E3" s="17" t="n">
        <v>2</v>
      </c>
      <c r="F3" s="18" t="inlineStr">
        <is>
          <t>Compliant</t>
        </is>
      </c>
      <c r="G3" s="16" t="inlineStr">
        <is>
          <t>Formal logging inventory documented in Documentation/LoggingInventory.md. Covers all 8 security event types (LOGIN_SUCCESS, REGISTRATION_SUCCESS, REGISTRATION_FAILURE, UNAUTHORIZED, ACCESS_DENIED, RATE_LIMIT_EXCEEDED, VALIDATION_FAILURE, ADMIN_ACTION, THRESHOLD_EXCEEDED), structured JSON format spec with all fields, dual-destination architecture (console + rolling file), access controls (appuser:appgroup, chmod 750), 30-day retention policy, explicit list of what is NOT logged (JWTs, activation keys, request bodies), and SIEM integration guidance.</t>
        </is>
      </c>
      <c r="H3" s="16" t="inlineStr">
        <is>
          <t>Documentation/LoggingInventory.md; Api/src/main/java/isep/desosfs/arcadehaven/Security/SecurityAuditService.java; Api/src/main/resources/logback-spring.xml</t>
        </is>
      </c>
    </row>
    <row r="4">
      <c r="A4" s="13" t="inlineStr">
        <is>
          <t>V16.2</t>
        </is>
      </c>
      <c r="B4" s="13" t="inlineStr">
        <is>
          <t>General Logging</t>
        </is>
      </c>
      <c r="C4" s="13" t="n"/>
      <c r="D4" s="13" t="n"/>
      <c r="E4" s="13" t="n"/>
      <c r="F4" s="13" t="n"/>
      <c r="G4" s="13" t="n"/>
      <c r="H4" s="13" t="n"/>
    </row>
    <row r="5" ht="150" customHeight="1" s="33">
      <c r="A5" s="14" t="inlineStr">
        <is>
          <t>V16.2</t>
        </is>
      </c>
      <c r="B5" s="14" t="inlineStr">
        <is>
          <t>General Logging</t>
        </is>
      </c>
      <c r="C5" s="15" t="inlineStr">
        <is>
          <t>V16.2.1</t>
        </is>
      </c>
      <c r="D5" s="16" t="inlineStr">
        <is>
          <t>Verify that each log entry includes necessary metadata (such as when, where, who, what) that would allow for a detailed investigation of the timeline when an event happens.</t>
        </is>
      </c>
      <c r="E5" s="17" t="n">
        <v>2</v>
      </c>
      <c r="F5" s="18" t="inlineStr">
        <is>
          <t>Compliant</t>
        </is>
      </c>
      <c r="G5" s="16" t="inlineStr">
        <is>
          <t>All SecurityAuditService events now include: ts (ISO-8601 UTC timestamp), ip, user, method, path, event type in structured JSON. Admin actions logged with admin username, action, and target entity. Rate-limit hits and validation failures include IP and path. ASVS V16.2.1 who/what/when fully covered.</t>
        </is>
      </c>
      <c r="H5" s="16" t="inlineStr">
        <is>
          <t>Api/src/main/java/isep/desosfs/arcadehaven/Security/SecurityAuditService.java</t>
        </is>
      </c>
    </row>
    <row r="6" ht="180" customHeight="1" s="33">
      <c r="A6" s="19" t="inlineStr">
        <is>
          <t>V16.2</t>
        </is>
      </c>
      <c r="B6" s="19" t="inlineStr">
        <is>
          <t>General Logging</t>
        </is>
      </c>
      <c r="C6" s="20" t="inlineStr">
        <is>
          <t>V16.2.2</t>
        </is>
      </c>
      <c r="D6" s="21" t="inlineStr">
        <is>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is>
      </c>
      <c r="E6" s="17" t="n">
        <v>2</v>
      </c>
      <c r="F6" s="18" t="inlineStr">
        <is>
          <t>Compliant</t>
        </is>
      </c>
      <c r="G6" s="21" t="inlineStr">
        <is>
          <t>LM-001 mandates UTC timestamps for all log entries. The application generates UTC timestamps using the JVM's Instant.now(), which reads from the system clock. Time source synchronisation across all Docker containers (application and database) is ensured by the host system NTP configuration, being defined as part of the Docker deployment specification (RNF-21/22). The application itself does not depend on local wall-clock time for any security decisions.</t>
        </is>
      </c>
      <c r="H6" s="21" t="inlineStr">
        <is>
          <t>Api/src/main/.../Security/SecurityAuditService.java (Instant.now() UTC); Security/SecurityEventHandler.java</t>
        </is>
      </c>
    </row>
    <row r="7" ht="135" customHeight="1" s="33">
      <c r="A7" s="14" t="inlineStr">
        <is>
          <t>V16.2</t>
        </is>
      </c>
      <c r="B7" s="14" t="inlineStr">
        <is>
          <t>General Logging</t>
        </is>
      </c>
      <c r="C7" s="15" t="inlineStr">
        <is>
          <t>V16.2.3</t>
        </is>
      </c>
      <c r="D7" s="16" t="inlineStr">
        <is>
          <t>Verify that the application only stores or broadcasts logs to the files and services that are documented in the log inventory.</t>
        </is>
      </c>
      <c r="E7" s="17" t="n">
        <v>2</v>
      </c>
      <c r="F7" s="18" t="inlineStr">
        <is>
          <t>Compliant</t>
        </is>
      </c>
      <c r="G7" s="16" t="inlineStr">
        <is>
          <t>ArcadeHaven logs exclusively to stdout within the Docker container. No third-party logging services, external log collectors, or additional file destinations are integrated at the application level. All log destinations are identified in the V16 logging inventory (V16.1.1). Any future integration with a SIEM or log forwarder will be added to the inventory before use.</t>
        </is>
      </c>
      <c r="H7" s="16" t="inlineStr">
        <is>
          <t>Api/src/main/.../Security/SecurityAuditService.java (SECURITY_AUDIT logger, stdout + logs/arcadehaven.log)</t>
        </is>
      </c>
    </row>
    <row r="8" ht="165" customHeight="1" s="33">
      <c r="A8" s="19" t="inlineStr">
        <is>
          <t>V16.2</t>
        </is>
      </c>
      <c r="B8" s="19" t="inlineStr">
        <is>
          <t>General Logging</t>
        </is>
      </c>
      <c r="C8" s="20" t="inlineStr">
        <is>
          <t>V16.2.4</t>
        </is>
      </c>
      <c r="D8" s="21" t="inlineStr">
        <is>
          <t>Verify that logs can be read and correlated by the log processor that is in use, preferably by using a common logging format.</t>
        </is>
      </c>
      <c r="E8" s="17" t="n">
        <v>2</v>
      </c>
      <c r="F8" s="18" t="inlineStr">
        <is>
          <t>Compliant</t>
        </is>
      </c>
      <c r="G8" s="21" t="inlineStr">
        <is>
          <t>SecurityAuditService.json() helper emits all events as structured JSON: {"event":"SECURITY_EVENT","ts":"&lt;iso&gt;","type":"...","ip":"...","user":"..."}. Parseable by ELK, Splunk, Datadog, and any standard log processor without custom parsing.</t>
        </is>
      </c>
      <c r="H8" s="21" t="inlineStr">
        <is>
          <t>Api/src/main/java/isep/desosfs/arcadehaven/Security/SecurityAuditService.java:json()</t>
        </is>
      </c>
    </row>
    <row r="9" ht="210" customHeight="1" s="33">
      <c r="A9" s="14" t="inlineStr">
        <is>
          <t>V16.2</t>
        </is>
      </c>
      <c r="B9" s="14" t="inlineStr">
        <is>
          <t>General Logging</t>
        </is>
      </c>
      <c r="C9" s="15" t="inlineStr">
        <is>
          <t>V16.2.5</t>
        </is>
      </c>
      <c r="D9" s="16" t="inlineStr">
        <is>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is>
      </c>
      <c r="E9" s="17" t="n">
        <v>2</v>
      </c>
      <c r="F9" s="18" t="inlineStr">
        <is>
          <t>Compliant</t>
        </is>
      </c>
      <c r="G9" s="16" t="inlineStr">
        <is>
          <t>SecurityAuditService.sanitize() now applies two regex patterns before any value is embedded in a log line: JWT_PATTERN replaces full JWT tokens (eyJ... format) with [JWT_REDACTED]; ACTIVATION_KEY_PATTERN replaces 32-char uppercase hex strings with [KEY_REDACTED]. Both patterns are applied automatically to every key/value pair via the json() helper. Passwords and request bodies are never passed to logging methods. Field names (not values) appear in the details field of VALIDATION_FAILURE events.</t>
        </is>
      </c>
      <c r="H9" s="16" t="inlineStr">
        <is>
          <t>Api/src/main/java/isep/desosfs/arcadehaven/Security/SecurityAuditService.java:sanitize() (JWT_PATTERN, ACTIVATION_KEY_PATTERN)</t>
        </is>
      </c>
    </row>
    <row r="10">
      <c r="A10" s="13" t="inlineStr">
        <is>
          <t>V16.3</t>
        </is>
      </c>
      <c r="B10" s="13" t="inlineStr">
        <is>
          <t>Security Events</t>
        </is>
      </c>
      <c r="C10" s="13" t="n"/>
      <c r="D10" s="13" t="n"/>
      <c r="E10" s="13" t="n"/>
      <c r="F10" s="13" t="n"/>
      <c r="G10" s="13" t="n"/>
      <c r="H10" s="13" t="n"/>
    </row>
    <row r="11" ht="210" customHeight="1" s="33">
      <c r="A11" s="14" t="inlineStr">
        <is>
          <t>V16.3</t>
        </is>
      </c>
      <c r="B11" s="14" t="inlineStr">
        <is>
          <t>Security Events</t>
        </is>
      </c>
      <c r="C11" s="15" t="inlineStr">
        <is>
          <t>V16.3.1</t>
        </is>
      </c>
      <c r="D11" s="16" t="inlineStr">
        <is>
          <t>Verify that all authentication operations are logged, including successful and unsuccessful attempts. Additional metadata, such as the type of authentication or factors used, should also be collected.</t>
        </is>
      </c>
      <c r="E11" s="17" t="n">
        <v>2</v>
      </c>
      <c r="F11" s="18" t="inlineStr">
        <is>
          <t>Compliant</t>
        </is>
      </c>
      <c r="G11" s="16" t="inlineStr">
        <is>
          <t>AuthService.login() calls auditService.recordLoginSuccess(username) on success. AuthService.register() calls auditService.recordRegistrationSuccess(username) on success. Login failures trigger recordUnauthorized() via GlobalExceptionHandler (BadCredentialsException). IP resolved from current request context (X-Forwarded-For or remoteAddr).</t>
        </is>
      </c>
      <c r="H11" s="16" t="inlineStr">
        <is>
          <t>Api/src/main/java/isep/desosfs/arcadehaven/Service/AuthService.java:80,104; Api/src/main/java/isep/desosfs/arcadehaven/Security/SecurityAuditService.java:recordLoginSuccess()</t>
        </is>
      </c>
    </row>
    <row r="12" ht="180" customHeight="1" s="33">
      <c r="A12" s="19" t="inlineStr">
        <is>
          <t>V16.3</t>
        </is>
      </c>
      <c r="B12" s="19" t="inlineStr">
        <is>
          <t>Security Events</t>
        </is>
      </c>
      <c r="C12" s="20" t="inlineStr">
        <is>
          <t>V16.3.2</t>
        </is>
      </c>
      <c r="D12" s="21" t="inlineStr">
        <is>
          <t>Verify that failed authorization attempts are logged. For L3, this must include logging all authorization decisions, including logging when sensitive data is accessed (without logging the sensitive data itself).</t>
        </is>
      </c>
      <c r="E12" s="17" t="n">
        <v>2</v>
      </c>
      <c r="F12" s="18" t="inlineStr">
        <is>
          <t>Compliant</t>
        </is>
      </c>
      <c r="G12" s="21" t="inlineStr">
        <is>
          <t>LM-002 requires logging of all authorization failures with user identity, role at time of request, target resource, and outcome. ArcadeHaven enforces three role levels (administrator, publisher, buyer) via RNF-04 and AC-004. Authorization failures include: a buyer attempting to access publisher-only game management routes (AC-11), any user attempting to access admin approval endpoints (AC-12), and a buyer attempting to cancel another buyer's order (AC-16).</t>
        </is>
      </c>
      <c r="H12" s="21" t="inlineStr">
        <is>
          <t>Api/src/main/.../Security/SecurityAuditService.java (recordAccessDenied); Security/SecurityEventHandler.java</t>
        </is>
      </c>
    </row>
    <row r="13" ht="165" customHeight="1" s="33">
      <c r="A13" s="14" t="inlineStr">
        <is>
          <t>V16.3</t>
        </is>
      </c>
      <c r="B13" s="14" t="inlineStr">
        <is>
          <t>Security Events</t>
        </is>
      </c>
      <c r="C13" s="15" t="inlineStr">
        <is>
          <t>V16.3.3</t>
        </is>
      </c>
      <c r="D13" s="16" t="inlineStr">
        <is>
          <t>Verify that the application logs the security events that are defined in the documentation and also logs attempts to bypass the security controls, such as input validation, business logic, and anti-automation.</t>
        </is>
      </c>
      <c r="E13" s="17" t="n">
        <v>2</v>
      </c>
      <c r="F13" s="18" t="inlineStr">
        <is>
          <t>Compliant</t>
        </is>
      </c>
      <c r="G13" s="16" t="inlineStr">
        <is>
          <t>RateLimitFilter calls recordRateLimitExceeded(ip, path) on every 429 response. GlobalExceptionHandler calls recordValidationFailure(ip, path, fields) for MethodArgumentNotValidException and ConstraintViolationException. AdminService calls recordAdminAction(admin, action, target) for all privileged operations (deactivate/activate user, change role, suspend/revoke library entry) — fixes RNF-13 gap.</t>
        </is>
      </c>
      <c r="H13" s="16" t="inlineStr">
        <is>
          <t>Api/src/main/java/isep/desosfs/arcadehaven/Security/RateLimitFilter.java:53; Api/src/main/java/isep/desosfs/arcadehaven/Exception/GlobalExceptionHandler.java:70-78; Api/src/main/java/isep/desosfs/arcadehaven/Service/AdminService.java</t>
        </is>
      </c>
    </row>
    <row r="14" ht="180" customHeight="1" s="33">
      <c r="A14" s="19" t="inlineStr">
        <is>
          <t>V16.3</t>
        </is>
      </c>
      <c r="B14" s="19" t="inlineStr">
        <is>
          <t>Security Events</t>
        </is>
      </c>
      <c r="C14" s="20" t="inlineStr">
        <is>
          <t>V16.3.4</t>
        </is>
      </c>
      <c r="D14" s="21" t="inlineStr">
        <is>
          <t>Verify that the application logs unexpected errors and security control failures such as backend TLS failures.</t>
        </is>
      </c>
      <c r="E14" s="17" t="n">
        <v>2</v>
      </c>
      <c r="F14" s="18" t="inlineStr">
        <is>
          <t>Not Applicable</t>
        </is>
      </c>
      <c r="G14" s="21" t="inlineStr">
        <is>
          <t>ArcadeHaven integrates with the RAWG API over HTTPS (RF-12). Any TLS failure, connection timeout, or unexpected HTTP error code from an external call is treated as a security-relevant event and logged at ERROR level with the target URL, failure type, and timestamp. Unhandled application exceptions are caught by a global exception handler (ER-02) which logs the full exception detail — including stack trace and correlation ID — before returning a generic response to the client.</t>
        </is>
      </c>
      <c r="H14" s="21" t="n"/>
    </row>
    <row r="15">
      <c r="A15" s="13" t="inlineStr">
        <is>
          <t>V16.4</t>
        </is>
      </c>
      <c r="B15" s="13" t="inlineStr">
        <is>
          <t>Log Protection</t>
        </is>
      </c>
      <c r="C15" s="13" t="n"/>
      <c r="D15" s="13" t="n"/>
      <c r="E15" s="13" t="n"/>
      <c r="F15" s="13" t="n"/>
      <c r="G15" s="13" t="n"/>
      <c r="H15" s="13" t="n"/>
    </row>
    <row r="16" ht="195" customHeight="1" s="33">
      <c r="A16" s="14" t="inlineStr">
        <is>
          <t>V16.4</t>
        </is>
      </c>
      <c r="B16" s="14" t="inlineStr">
        <is>
          <t>Log Protection</t>
        </is>
      </c>
      <c r="C16" s="15" t="inlineStr">
        <is>
          <t>V16.4.1</t>
        </is>
      </c>
      <c r="D16" s="16" t="inlineStr">
        <is>
          <t>Verify that all logging components appropriately encode data to prevent log injection.</t>
        </is>
      </c>
      <c r="E16" s="17" t="n">
        <v>2</v>
      </c>
      <c r="F16" s="18" t="inlineStr">
        <is>
          <t>Compliant</t>
        </is>
      </c>
      <c r="G16" s="16" t="inlineStr">
        <is>
          <t>SecurityAuditService.sanitize() strips CR (
), LF (
) and TAB (	) and escapes double quotes from all values before embedding them in JSON log entries. Applied to all key/value pairs via the json() helper method (SLF4J {} placeholders already prevent format-string injection for standard log calls).</t>
        </is>
      </c>
      <c r="H16" s="16" t="inlineStr">
        <is>
          <t>Api/src/main/java/isep/desosfs/arcadehaven/Security/SecurityAuditService.java:sanitize()</t>
        </is>
      </c>
    </row>
    <row r="17" ht="165" customHeight="1" s="33">
      <c r="A17" s="19" t="inlineStr">
        <is>
          <t>V16.4</t>
        </is>
      </c>
      <c r="B17" s="19" t="inlineStr">
        <is>
          <t>Log Protection</t>
        </is>
      </c>
      <c r="C17" s="20" t="inlineStr">
        <is>
          <t>V16.4.2</t>
        </is>
      </c>
      <c r="D17" s="21" t="inlineStr">
        <is>
          <t>Verify that logs are protected from unauthorized access and cannot be modified.</t>
        </is>
      </c>
      <c r="E17" s="17" t="n">
        <v>2</v>
      </c>
      <c r="F17" s="18" t="inlineStr">
        <is>
          <t>Compliant</t>
        </is>
      </c>
      <c r="G17" s="21" t="inlineStr">
        <is>
          <t>Log directory /app/logs created in Dockerfile with chmod 750 and owned by appuser:appgroup (non-root container user). Only the application process can write logs; group and world have no write access. logback-spring.xml configures rolling file appender to /app/logs/arcadehaven.log with daily rotation, 30-day retention and 500 MB total cap. Container isolation prevents other processes from accessing the log volume.</t>
        </is>
      </c>
      <c r="H17" s="21" t="inlineStr">
        <is>
          <t>Api/Dockerfile (mkdir /app/logs, chmod 750); Api/src/main/resources/logback-spring.xml (RollingFileAppender)</t>
        </is>
      </c>
    </row>
    <row r="18" ht="150" customHeight="1" s="33">
      <c r="A18" s="14" t="inlineStr">
        <is>
          <t>V16.4</t>
        </is>
      </c>
      <c r="B18" s="14" t="inlineStr">
        <is>
          <t>Log Protection</t>
        </is>
      </c>
      <c r="C18" s="15" t="inlineStr">
        <is>
          <t>V16.4.3</t>
        </is>
      </c>
      <c r="D18" s="16" t="inlineStr">
        <is>
          <t>Verify that logs are securely transmitted to a logically separate system for analysis, detection, alerting, and escalation. The aim is to ensure that if the application is breached, the logs are not compromised.</t>
        </is>
      </c>
      <c r="E18" s="17" t="n">
        <v>2</v>
      </c>
      <c r="F18" s="18" t="inlineStr">
        <is>
          <t>Not Applicable</t>
        </is>
      </c>
      <c r="G18" s="16" t="inlineStr">
        <is>
          <t>ArcadeHaven is a REST API application containerised with Docker (RNF-21, RNF-22). The application emits structured JSON logs to stdout; collection, forwarding, and storage in a logically separate system is an infrastructure responsibility outside the application layer. Log forwarding to a SIEM or log management service will be configured at deployment time and does not require changes to application code.</t>
        </is>
      </c>
      <c r="H18" s="16" t="n"/>
    </row>
    <row r="19">
      <c r="A19" s="13" t="inlineStr">
        <is>
          <t>V16.5</t>
        </is>
      </c>
      <c r="B19" s="13" t="inlineStr">
        <is>
          <t>Error Handling</t>
        </is>
      </c>
      <c r="C19" s="13" t="n"/>
      <c r="D19" s="13" t="n"/>
      <c r="E19" s="13" t="n"/>
      <c r="F19" s="13" t="n"/>
      <c r="G19" s="13" t="n"/>
      <c r="H19" s="13" t="n"/>
    </row>
    <row r="20" ht="180" customHeight="1" s="33">
      <c r="A20" s="14" t="inlineStr">
        <is>
          <t>V16.5</t>
        </is>
      </c>
      <c r="B20" s="14" t="inlineStr">
        <is>
          <t>Error Handling</t>
        </is>
      </c>
      <c r="C20" s="15" t="inlineStr">
        <is>
          <t>V16.5.1</t>
        </is>
      </c>
      <c r="D20" s="16" t="inlineStr">
        <is>
          <t>Verify that a generic message is returned to the consumer when an unexpected or security-sensitive error occurs, ensuring no exposure of sensitive internal system data such as stack traces, queries, secret keys, and tokens.</t>
        </is>
      </c>
      <c r="E20" s="17" t="n">
        <v>2</v>
      </c>
      <c r="F20" s="18" t="inlineStr">
        <is>
          <t>Compliant</t>
        </is>
      </c>
      <c r="G20" s="16" t="inlineStr">
        <is>
          <t>ArcadeHaven exposes a REST API with four trust levels (unauthenticated, buyer, publisher, administrator). Any unhandled exception or security-sensitive error must return a generic response body — for example, {"error": "An unexpected error occurred", "ref": "&lt;correlation-id&gt;"} — regardless of the internal cause. Stack traces, SQL error messages, internal file paths, and exception class names must never appear in HTTP responses. Defined as ER-01 and verified by ST-017.</t>
        </is>
      </c>
      <c r="H20" s="16" t="inlineStr">
        <is>
          <t>Api/src/main/.../Exception/GlobalExceptionHandler.java (generic error messages, no stack traces)</t>
        </is>
      </c>
    </row>
    <row r="21" ht="195" customHeight="1" s="33">
      <c r="A21" s="19" t="inlineStr">
        <is>
          <t>V16.5</t>
        </is>
      </c>
      <c r="B21" s="19" t="inlineStr">
        <is>
          <t>Error Handling</t>
        </is>
      </c>
      <c r="C21" s="20" t="inlineStr">
        <is>
          <t>V16.5.2</t>
        </is>
      </c>
      <c r="D21" s="21" t="inlineStr">
        <is>
          <t>Verify that the application continues to operate securely when external resource access fails, for example, by using patterns such as circuit breakers or graceful degradation.</t>
        </is>
      </c>
      <c r="E21" s="17" t="n">
        <v>2</v>
      </c>
      <c r="F21" s="18" t="inlineStr">
        <is>
          <t>Compliant</t>
        </is>
      </c>
      <c r="G21" s="21" t="inlineStr">
        <is>
          <t>logback-spring.xml configures dual-destination logging: CONSOLE appender (stdout, always available) and FILE appender (rolling file) with &lt;prudent&gt;true&lt;/prudent&gt;. If the file appender fails (disk full, permission error), Logback suppresses the error internally and the application continues operating via the console appender. Both appenders are attached to the root logger and the dedicated SECURITY_AUDIT logger, so security events are never silently lost.</t>
        </is>
      </c>
      <c r="H21" s="21" t="inlineStr">
        <is>
          <t>Api/src/main/resources/logback-spring.xml (&lt;prudent&gt;true&lt;/prudent&gt; on RollingFileAppender, dual CONSOLE+FILE destinations)</t>
        </is>
      </c>
    </row>
    <row r="22" ht="195" customHeight="1" s="33">
      <c r="A22" s="14" t="inlineStr">
        <is>
          <t>V16.5</t>
        </is>
      </c>
      <c r="B22" s="14" t="inlineStr">
        <is>
          <t>Error Handling</t>
        </is>
      </c>
      <c r="C22" s="15" t="inlineStr">
        <is>
          <t>V16.5.3</t>
        </is>
      </c>
      <c r="D22" s="16" t="inlineStr">
        <is>
          <t>Verify that the application fails gracefully and securely, including when an exception occurs, preventing fail-open conditions such as processing a transaction despite errors resulting from validation logic.</t>
        </is>
      </c>
      <c r="E22" s="17" t="n">
        <v>2</v>
      </c>
      <c r="F22" s="18" t="inlineStr">
        <is>
          <t>Compliant</t>
        </is>
      </c>
      <c r="G22" s="16" t="inlineStr">
        <is>
          <t>ArcadeHaven's authorization model (RNF-04, AC-004) is designed to deny by default: any exception thrown during an authorization check must result in access being denied, not granted. A fail-open condition — where an authorization check throws an exception and the request is allowed through — is explicitly prohibited. The global exception handler (ER-02) catches all unhandled exceptions and returns a generic error response, ensuring incomplete request processing never results in partial authorization.</t>
        </is>
      </c>
      <c r="H22" s="16" t="inlineStr">
        <is>
          <t>Api/src/main/.../Exception/GlobalExceptionHandler.java; Security/SecurityConfig.java (deny-all default)</t>
        </is>
      </c>
    </row>
    <row r="23" ht="225" customHeight="1" s="33">
      <c r="A23" s="19" t="inlineStr">
        <is>
          <t>V16.5</t>
        </is>
      </c>
      <c r="B23" s="19" t="inlineStr">
        <is>
          <t>Error Handling</t>
        </is>
      </c>
      <c r="C23" s="20" t="inlineStr">
        <is>
          <t>V16.5.4</t>
        </is>
      </c>
      <c r="D23" s="21" t="inlineStr">
        <is>
          <t>Verify that a "last resort" error handler is defined which will catch all unhandled exceptions. This is both to avoid losing error details that must go to log files and to ensure that an error does not take down the entire application process, leading to a loss of availability.</t>
        </is>
      </c>
      <c r="E23" s="23" t="n">
        <v>3</v>
      </c>
      <c r="F23" s="18" t="inlineStr">
        <is>
          <t>Compliant</t>
        </is>
      </c>
      <c r="G23" s="21" t="inlineStr">
        <is>
          <t>Although a Level 3 requirement, ArcadeHaven's ER-02 control already defines the global exception handler: a Spring @ControllerAdvice / @ExceptionHandler(Exception.class) that intercepts all unhandled exceptions, logs the full detail (stack trace, correlation ID) internally, and returns a generic client response. This handler functions as a last resort handler by design. A formally verified implementation — confirming that no exception class hierarchy escapes the catch-all handler — is being completed as part of the ER-02 implementation review.</t>
        </is>
      </c>
      <c r="H23" s="21" t="inlineStr">
        <is>
          <t>Api/src/main/.../Exception/GlobalExceptionHandler.java (@ExceptionHandler(Exception.class) catch-all)</t>
        </is>
      </c>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3"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8.xml><?xml version="1.0" encoding="utf-8"?>
<worksheet xmlns="http://schemas.openxmlformats.org/spreadsheetml/2006/main">
  <sheetPr>
    <outlinePr summaryBelow="1" summaryRight="1"/>
    <pageSetUpPr/>
  </sheetPr>
  <dimension ref="A1:H16"/>
  <sheetViews>
    <sheetView zoomScale="75" zoomScaleNormal="75" workbookViewId="0">
      <pane ySplit="1" topLeftCell="A2" activePane="bottomLeft" state="frozen"/>
      <selection pane="bottomLeft" activeCell="G17" sqref="G17"/>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9.4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V17.1</t>
        </is>
      </c>
      <c r="B2" s="13" t="inlineStr">
        <is>
          <t>TURN Server</t>
        </is>
      </c>
      <c r="C2" s="13" t="n"/>
      <c r="D2" s="13" t="n"/>
      <c r="E2" s="13" t="n"/>
      <c r="F2" s="13" t="n"/>
      <c r="G2" s="13" t="n"/>
      <c r="H2" s="13" t="n"/>
    </row>
    <row r="3" ht="60" customHeight="1" s="33">
      <c r="A3" s="14" t="inlineStr">
        <is>
          <t>V17.1</t>
        </is>
      </c>
      <c r="B3" s="14" t="inlineStr">
        <is>
          <t>TURN Server</t>
        </is>
      </c>
      <c r="C3" s="15" t="inlineStr">
        <is>
          <t>V17.1.1</t>
        </is>
      </c>
      <c r="D3" s="16" t="inlineStr">
        <is>
          <t>Verify that the Traversal Using Relays around NAT (TURN) service only allows access to IP addresses that are not reserved for special purposes (e.g., internal networks, broadcast, loopback). Note that this applies to both IPv4 and IPv6 addresses.</t>
        </is>
      </c>
      <c r="E3" s="17" t="n">
        <v>2</v>
      </c>
      <c r="F3" s="18" t="inlineStr">
        <is>
          <t>Not Applicable</t>
        </is>
      </c>
      <c r="G3" s="16" t="inlineStr">
        <is>
          <t>ArcadeHaven does not implement a TURN server or any NAT traversal mechanism. No real-time peer-to-peer communication is used.</t>
        </is>
      </c>
      <c r="H3" s="16" t="n"/>
    </row>
    <row r="4" ht="45" customHeight="1" s="33">
      <c r="A4" s="19" t="inlineStr">
        <is>
          <t>V17.1</t>
        </is>
      </c>
      <c r="B4" s="19" t="inlineStr">
        <is>
          <t>TURN Server</t>
        </is>
      </c>
      <c r="C4" s="20" t="inlineStr">
        <is>
          <t>V17.1.2</t>
        </is>
      </c>
      <c r="D4" s="21" t="inlineStr">
        <is>
          <t>Verify that the Traversal Using Relays around NAT (TURN) service is not susceptible to resource exhaustion when legitimate users attempt to open a large number of ports on the TURN server.</t>
        </is>
      </c>
      <c r="E4" s="23" t="n">
        <v>3</v>
      </c>
      <c r="F4" s="18" t="inlineStr">
        <is>
          <t>Not Applicable</t>
        </is>
      </c>
      <c r="G4" s="21" t="inlineStr">
        <is>
          <t>No TURN server is used. Resource exhaustion via TURN port allocation is not applicable.</t>
        </is>
      </c>
      <c r="H4" s="21" t="n"/>
    </row>
    <row r="5">
      <c r="A5" s="13" t="inlineStr">
        <is>
          <t>V17.2</t>
        </is>
      </c>
      <c r="B5" s="13" t="inlineStr">
        <is>
          <t>Media</t>
        </is>
      </c>
      <c r="C5" s="13" t="n"/>
      <c r="D5" s="13" t="n"/>
      <c r="E5" s="13" t="n"/>
      <c r="F5" s="13" t="n"/>
      <c r="G5" s="13" t="n"/>
      <c r="H5" s="13" t="n"/>
    </row>
    <row r="6" ht="60" customHeight="1" s="33">
      <c r="A6" s="14" t="inlineStr">
        <is>
          <t>V17.2</t>
        </is>
      </c>
      <c r="B6" s="14" t="inlineStr">
        <is>
          <t>Media</t>
        </is>
      </c>
      <c r="C6" s="15" t="inlineStr">
        <is>
          <t>V17.2.1</t>
        </is>
      </c>
      <c r="D6" s="16" t="inlineStr">
        <is>
          <t>Verify that the key for the Datagram Transport Layer Security (DTLS) certificate is managed and protected based on the documented policy for management of cryptographic keys.</t>
        </is>
      </c>
      <c r="E6" s="17" t="n">
        <v>2</v>
      </c>
      <c r="F6" s="18" t="inlineStr">
        <is>
          <t>Not Applicable</t>
        </is>
      </c>
      <c r="G6" s="16" t="inlineStr">
        <is>
          <t>ArcadeHaven does not use DTLS or any media server. No cryptographic key management for media transport is required.</t>
        </is>
      </c>
      <c r="H6" s="16" t="n"/>
    </row>
    <row r="7" ht="75" customHeight="1" s="33">
      <c r="A7" s="19" t="inlineStr">
        <is>
          <t>V17.2</t>
        </is>
      </c>
      <c r="B7" s="19" t="inlineStr">
        <is>
          <t>Media</t>
        </is>
      </c>
      <c r="C7" s="20" t="inlineStr">
        <is>
          <t>V17.2.2</t>
        </is>
      </c>
      <c r="D7" s="21" t="inlineStr">
        <is>
          <t>Verify that the media server is configured to use and support approved Datagram Transport Layer Security (DTLS) cipher suites and a secure protection profile for the DTLS Extension for establishing keys for the Secure Real-time Transport Protocol (DTLS-SRTP).</t>
        </is>
      </c>
      <c r="E7" s="17" t="n">
        <v>2</v>
      </c>
      <c r="F7" s="18" t="inlineStr">
        <is>
          <t>Not Applicable</t>
        </is>
      </c>
      <c r="G7" s="21" t="inlineStr">
        <is>
          <t>No media server or DTLS-SRTP is used. Not applicable to the current project scope.</t>
        </is>
      </c>
      <c r="H7" s="21" t="n"/>
    </row>
    <row r="8" ht="75" customHeight="1" s="33">
      <c r="A8" s="14" t="inlineStr">
        <is>
          <t>V17.2</t>
        </is>
      </c>
      <c r="B8" s="14" t="inlineStr">
        <is>
          <t>Media</t>
        </is>
      </c>
      <c r="C8" s="15" t="inlineStr">
        <is>
          <t>V17.2.3</t>
        </is>
      </c>
      <c r="D8" s="16" t="inlineStr">
        <is>
          <t>Verify that Secure Real-time Transport Protocol (SRTP) authentication is checked at the media server to prevent Real-time Transport Protocol (RTP) injection attacks from leading to either a Denial of Service condition or audio or video media insertion into media streams.</t>
        </is>
      </c>
      <c r="E8" s="17" t="n">
        <v>2</v>
      </c>
      <c r="F8" s="18" t="inlineStr">
        <is>
          <t>Not Applicable</t>
        </is>
      </c>
      <c r="G8" s="16" t="inlineStr">
        <is>
          <t>No SRTP or RTP media streams are used. Not applicable to the current project scope.</t>
        </is>
      </c>
      <c r="H8" s="16" t="n"/>
    </row>
    <row r="9" ht="45" customHeight="1" s="33">
      <c r="A9" s="19" t="inlineStr">
        <is>
          <t>V17.2</t>
        </is>
      </c>
      <c r="B9" s="19" t="inlineStr">
        <is>
          <t>Media</t>
        </is>
      </c>
      <c r="C9" s="20" t="inlineStr">
        <is>
          <t>V17.2.4</t>
        </is>
      </c>
      <c r="D9" s="21" t="inlineStr">
        <is>
          <t>Verify that the media server is able to continue processing incoming media traffic when encountering malformed Secure Real-time Transport Protocol (SRTP) packets.</t>
        </is>
      </c>
      <c r="E9" s="17" t="n">
        <v>2</v>
      </c>
      <c r="F9" s="18" t="inlineStr">
        <is>
          <t>Not Applicable</t>
        </is>
      </c>
      <c r="G9" s="21" t="inlineStr">
        <is>
          <t>No media server is implemented. Not applicable to the current project scope.</t>
        </is>
      </c>
      <c r="H9" s="21" t="n"/>
    </row>
    <row r="10" ht="45" customHeight="1" s="33">
      <c r="A10" s="14" t="inlineStr">
        <is>
          <t>V17.2</t>
        </is>
      </c>
      <c r="B10" s="14" t="inlineStr">
        <is>
          <t>Media</t>
        </is>
      </c>
      <c r="C10" s="15" t="inlineStr">
        <is>
          <t>V17.2.5</t>
        </is>
      </c>
      <c r="D10" s="16" t="inlineStr">
        <is>
          <t>Verify that the media server is able to continue processing incoming media traffic during a flood of Secure Real-time Transport Protocol (SRTP) packets from legitimate users.</t>
        </is>
      </c>
      <c r="E10" s="23" t="n">
        <v>3</v>
      </c>
      <c r="F10" s="18" t="inlineStr">
        <is>
          <t>Not Applicable</t>
        </is>
      </c>
      <c r="G10" s="16" t="inlineStr">
        <is>
          <t>No media server or SRTP traffic is used. Not applicable to the current project scope.</t>
        </is>
      </c>
      <c r="H10" s="16" t="n"/>
    </row>
    <row r="11" ht="60" customHeight="1" s="33">
      <c r="A11" s="19" t="inlineStr">
        <is>
          <t>V17.2</t>
        </is>
      </c>
      <c r="B11" s="19" t="inlineStr">
        <is>
          <t>Media</t>
        </is>
      </c>
      <c r="C11" s="20" t="inlineStr">
        <is>
          <t>V17.2.6</t>
        </is>
      </c>
      <c r="D11" s="21" t="inlineStr">
        <is>
          <t>Verify that the media server is not susceptible to the "ClientHello" Race Condition vulnerability in Datagram Transport Layer Security (DTLS) by checking if the media server is publicly known to be vulnerable or by performing the race condition test.</t>
        </is>
      </c>
      <c r="E11" s="23" t="n">
        <v>3</v>
      </c>
      <c r="F11" s="18" t="inlineStr">
        <is>
          <t>Not Applicable</t>
        </is>
      </c>
      <c r="G11" s="21" t="inlineStr">
        <is>
          <t>No DTLS implementation is used. ClientHello race condition is not applicable.</t>
        </is>
      </c>
      <c r="H11" s="21" t="n"/>
    </row>
    <row r="12" ht="60" customHeight="1" s="33">
      <c r="A12" s="14" t="inlineStr">
        <is>
          <t>V17.2</t>
        </is>
      </c>
      <c r="B12" s="14" t="inlineStr">
        <is>
          <t>Media</t>
        </is>
      </c>
      <c r="C12" s="15" t="inlineStr">
        <is>
          <t>V17.2.7</t>
        </is>
      </c>
      <c r="D12" s="16" t="inlineStr">
        <is>
          <t>Verify that any audio or video recording mechanisms associated with the media server are able to continue processing incoming media traffic during a flood of Secure Real-time Transport Protocol (SRTP) packets from legitimate users.</t>
        </is>
      </c>
      <c r="E12" s="23" t="n">
        <v>3</v>
      </c>
      <c r="F12" s="18" t="inlineStr">
        <is>
          <t>Not Applicable</t>
        </is>
      </c>
      <c r="G12" s="16" t="inlineStr">
        <is>
          <t xml:space="preserve">	No audio or video recording mechanisms are used. Not applicable to the current project scope.</t>
        </is>
      </c>
      <c r="H12" s="16" t="n"/>
    </row>
    <row r="13" ht="60" customHeight="1" s="33">
      <c r="A13" s="19" t="inlineStr">
        <is>
          <t>V17.2</t>
        </is>
      </c>
      <c r="B13" s="19" t="inlineStr">
        <is>
          <t>Media</t>
        </is>
      </c>
      <c r="C13" s="20" t="inlineStr">
        <is>
          <t>V17.2.8</t>
        </is>
      </c>
      <c r="D13" s="21" t="inlineStr">
        <is>
          <t>Verify that the Datagram Transport Layer Security (DTLS) certificate is checked against the Session Description Protocol (SDP) fingerprint attribute, terminating the media stream if the check fails, to ensure the authenticity of the media stream.</t>
        </is>
      </c>
      <c r="E13" s="23" t="n">
        <v>3</v>
      </c>
      <c r="F13" s="18" t="inlineStr">
        <is>
          <t>Not Applicable</t>
        </is>
      </c>
      <c r="G13" s="21" t="inlineStr">
        <is>
          <t>No DTLS certificates or SDP fingerprint validation is used. Not applicable to the current project scope.</t>
        </is>
      </c>
      <c r="H13" s="21" t="n"/>
    </row>
    <row r="14">
      <c r="A14" s="13" t="inlineStr">
        <is>
          <t>V17.3</t>
        </is>
      </c>
      <c r="B14" s="13" t="inlineStr">
        <is>
          <t>Signaling</t>
        </is>
      </c>
      <c r="C14" s="13" t="n"/>
      <c r="D14" s="13" t="n"/>
      <c r="E14" s="13" t="n"/>
      <c r="F14" s="13" t="n"/>
      <c r="G14" s="13" t="n"/>
      <c r="H14" s="13" t="n"/>
    </row>
    <row r="15" ht="60" customHeight="1" s="33">
      <c r="A15" s="14" t="inlineStr">
        <is>
          <t>V17.3</t>
        </is>
      </c>
      <c r="B15" s="14" t="inlineStr">
        <is>
          <t>Signaling</t>
        </is>
      </c>
      <c r="C15" s="15" t="inlineStr">
        <is>
          <t>V17.3.1</t>
        </is>
      </c>
      <c r="D15" s="16" t="inlineStr">
        <is>
          <t>Verify that the signaling server is able to continue processing legitimate incoming signaling messages during a flood attack. This should be achieved by implementing rate limiting at the signaling level.</t>
        </is>
      </c>
      <c r="E15" s="17" t="n">
        <v>2</v>
      </c>
      <c r="F15" s="18" t="inlineStr">
        <is>
          <t>Not Applicable</t>
        </is>
      </c>
      <c r="G15" s="16" t="inlineStr">
        <is>
          <t>ArcadeHaven does not implement a signaling server or any WebRTC signaling mechanism. Not applicable to the current project scope.</t>
        </is>
      </c>
      <c r="H15" s="16" t="n"/>
    </row>
    <row r="16" ht="90" customHeight="1" s="33">
      <c r="A16" s="19" t="inlineStr">
        <is>
          <t>V17.3</t>
        </is>
      </c>
      <c r="B16" s="19" t="inlineStr">
        <is>
          <t>Signaling</t>
        </is>
      </c>
      <c r="C16" s="20" t="inlineStr">
        <is>
          <t>V17.3.2</t>
        </is>
      </c>
      <c r="D16" s="21" t="inlineStr">
        <is>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is>
      </c>
      <c r="E16" s="17" t="n">
        <v>2</v>
      </c>
      <c r="F16" s="18" t="inlineStr">
        <is>
          <t>Not Applicable</t>
        </is>
      </c>
      <c r="G16" s="21" t="inlineStr">
        <is>
          <t>No signaling server is used. Malformed signaling message handling is not applicable to the current project scope.</t>
        </is>
      </c>
      <c r="H16" s="21" t="n"/>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sqref="F2:F101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pt-PT</dc:language>
  <dcterms:created xsi:type="dcterms:W3CDTF">2026-03-04T10:14:28Z</dcterms:created>
  <dcterms:modified xsi:type="dcterms:W3CDTF">2026-06-16T09:25:30Z</dcterms:modified>
  <cp:lastModifiedBy>Diogo Jose Moreira De Sousa</cp:lastModifiedBy>
  <cp:revision>3</cp:revision>
  <cp:lastPrinted>2026-04-15T19:56:57Z</cp:lastPrinted>
</cp:coreProperties>
</file>

<file path=docProps/custom.xml><?xml version="1.0" encoding="utf-8"?>
<Properties xmlns:vt="http://schemas.openxmlformats.org/officeDocument/2006/docPropsVTypes" xmlns="http://schemas.openxmlformats.org/officeDocument/2006/custom-properties">
  <property name="AppVersion" fmtid="{D5CDD505-2E9C-101B-9397-08002B2CF9AE}" pid="2">
    <vt:lpwstr>3.1</vt:lpwstr>
  </property>
</Properties>
</file>