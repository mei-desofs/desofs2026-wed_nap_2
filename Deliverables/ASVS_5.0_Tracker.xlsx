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BF4419B5-B5BB-4926-B095-967C16B198F9}" xr6:coauthVersionLast="47" xr6:coauthVersionMax="47" xr10:uidLastSave="{00000000-0000-0000-0000-000000000000}"/>
  <bookViews>
    <workbookView xWindow="-120" yWindow="-120" windowWidth="29040" windowHeight="15720" tabRatio="500"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<sst xmlns="http://schemas.openxmlformats.org/spreadsheetml/2006/main" count="2310" uniqueCount="1146">
  <si>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</si>
  <si>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</si>
  <si>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</si>
  <si>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</si>
  <si>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</si>
  <si>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</si>
  <si>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</si>
  <si>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</si>
  <si>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</si>
  <si>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</si>
  <si>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</si>
  <si>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</si>
  <si>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</si>
  <si>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</si>
  <si>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</si>
  <si>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</si>
  <si>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</si>
  <si>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</si>
  <si>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</si>
  <si>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</si>
  <si>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</si>
  <si>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</si>
  <si>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</si>
  <si>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</si>
  <si>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</si>
  <si>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</si>
  <si>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</si>
  <si>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</si>
  <si>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</si>
  <si>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</si>
  <si>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</si>
  <si>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</si>
  <si>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</si>
  <si>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</si>
  <si>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</si>
  <si>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</si>
  <si>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</si>
  <si>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</si>
  <si>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</si>
  <si>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</si>
  <si>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</si>
  <si>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</si>
  <si>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</si>
  <si>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</si>
  <si>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</si>
  <si>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</si>
  <si>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</si>
  <si>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</si>
  <si>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</si>
  <si>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</si>
  <si>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</si>
  <si>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</si>
  <si>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</si>
  <si>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</si>
  <si>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</si>
  <si>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</si>
  <si>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</si>
  <si>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</si>
  <si>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</si>
  <si>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</si>
  <si>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</si>
  <si>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</si>
  <si>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</si>
  <si>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</si>
  <si>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</si>
  <si>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</si>
  <si>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</si>
  <si>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</si>
  <si>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</si>
  <si>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</si>
  <si>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</si>
  <si>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</si>
  <si>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</si>
  <si>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</si>
  <si>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</si>
  <si>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</si>
  <si>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</si>
  <si>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</si>
  <si>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</si>
  <si>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</si>
  <si>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</si>
  <si>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</si>
  <si>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</si>
  <si>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</si>
  <si>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</si>
  <si>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</si>
  <si>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</si>
  <si>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</si>
  <si>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</si>
  <si>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</si>
  <si>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</si>
  <si>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</si>
  <si>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</si>
  <si>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</si>
  <si>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</si>
  <si>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</si>
  <si>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</si>
  <si>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</si>
  <si>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</si>
  <si>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</si>
  <si>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</si>
  <si>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</si>
  <si>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</si>
  <si>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</si>
  <si>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</si>
  <si>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</si>
  <si>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</si>
  <si>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</si>
  <si>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</si>
  <si>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</si>
  <si>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</si>
  <si>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</si>
  <si>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</si>
  <si>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</si>
  <si>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</si>
  <si>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</si>
  <si>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</si>
  <si>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</si>
  <si>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</si>
  <si>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</si>
  <si>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</si>
  <si>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</si>
  <si>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</si>
  <si>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</si>
  <si>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</si>
  <si>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</si>
  <si>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</si>
  <si>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</si>
  <si>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</si>
  <si>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</si>
  <si>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</si>
  <si>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</si>
  <si>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</si>
  <si>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</si>
  <si>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</si>
  <si>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</si>
  <si>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</si>
  <si>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</si>
  <si>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</si>
  <si>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</si>
  <si>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</si>
  <si>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</si>
  <si>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</si>
  <si>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</si>
  <si>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</si>
  <si>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</si>
  <si>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</si>
  <si>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</si>
  <si>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</si>
  <si>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</si>
  <si>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</si>
  <si>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</si>
  <si>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</si>
  <si>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</si>
  <si>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</si>
  <si>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</si>
  <si>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</si>
  <si>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</si>
  <si>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</si>
  <si>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</si>
  <si>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</si>
  <si>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</si>
  <si>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</si>
  <si>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</si>
  <si>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</si>
  <si>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</si>
  <si>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</si>
  <si>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</si>
  <si>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</si>
  <si>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</si>
  <si>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</si>
  <si>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</si>
  <si>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</si>
  <si>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</si>
  <si>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</si>
  <si>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</si>
  <si>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</si>
  <si>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</si>
  <si>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</si>
  <si>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</si>
  <si>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</si>
  <si>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</si>
  <si>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</si>
  <si>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</si>
  <si>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</si>
  <si>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</si>
  <si>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</si>
  <si>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</si>
  <si>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</si>
  <si>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</si>
  <si>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</si>
  <si>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</si>
  <si>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</si>
  <si>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</si>
  <si>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</si>
  <si>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</si>
  <si>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</si>
  <si>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</si>
  <si>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</si>
  <si>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</si>
  <si>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</si>
  <si>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</si>
  <si>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</si>
  <si>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</si>
  <si>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</si>
  <si>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</si>
  <si>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</si>
  <si>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</si>
  <si>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</si>
  <si>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</si>
  <si>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</si>
  <si>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</si>
  <si>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</si>
  <si>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</si>
  <si>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</si>
  <si>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</si>
  <si>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</si>
  <si>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</si>
  <si>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</si>
  <si>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</si>
  <si>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</si>
  <si>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</si>
  <si>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</si>
  <si>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</si>
  <si>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</si>
  <si>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</si>
  <si>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</si>
  <si>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</si>
  <si>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</si>
  <si>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</si>
  <si>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</si>
  <si>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</si>
  <si>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</si>
  <si>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</si>
  <si>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</si>
  <si>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</si>
  <si>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</si>
  <si>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</si>
  <si>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</si>
  <si>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</si>
  <si>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</si>
  <si>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</si>
  <si>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</si>
  <si>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</si>
  <si>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</si>
  <si>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</si>
  <si>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</si>
  <si>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</si>
  <si>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</si>
  <si>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</si>
  <si>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</si>
  <si>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</si>
  <si>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</si>
  <si>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</si>
  <si>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</si>
  <si>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</si>
  <si>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</si>
  <si>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</si>
  <si>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</si>
  <si>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</si>
  <si>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</si>
  <si>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</si>
  <si>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</si>
  <si>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</si>
  <si>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</si>
  <si>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</si>
  <si>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</si>
  <si>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</si>
  <si>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</si>
  <si>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</si>
  <si>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</si>
  <si>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</si>
  <si>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</si>
  <si>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</si>
  <si>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</si>
  <si>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</si>
  <si>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</si>
  <si>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</si>
  <si>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</si>
  <si>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</si>
  <si>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</si>
  <si>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</si>
  <si>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</si>
  <si>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</si>
  <si>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</si>
  <si>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</si>
  <si>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</si>
  <si>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</si>
  <si>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</si>
  <si>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</si>
  <si>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</si>
  <si>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</si>
  <si>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</si>
  <si>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</si>
  <si>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</si>
  <si>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</si>
  <si>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</si>
  <si>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</si>
  <si>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</si>
  <si>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</si>
  <si>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</si>
  <si>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</si>
  <si>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</si>
  <si>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</si>
  <si>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</si>
  <si>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</si>
  <si>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</si>
  <si>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</si>
  <si>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</si>
  <si>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</si>
  <si>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</si>
  <si>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</si>
  <si>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</si>
  <si>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</si>
  <si>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</si>
  <si>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</si>
  <si>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</si>
  <si>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</si>
  <si>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</si>
  <si>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</si>
  <si>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</si>
  <si>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</si>
  <si>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</si>
  <si>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</si>
  <si>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</si>
  <si>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</si>
  <si>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</si>
  <si>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</si>
  <si>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</si>
  <si>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</si>
  <si>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</si>
  <si>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</si>
  <si>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</si>
  <si>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</si>
  <si>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</si>
  <si>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</si>
  <si>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</si>
  <si>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</si>
  <si>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</si>
  <si>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</si>
  <si>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</si>
  <si>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</si>
  <si>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</si>
  <si>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</si>
  <si>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</si>
  <si>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</si>
  <si>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</si>
  <si>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</si>
  <si>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</si>
  <si>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</si>
  <si>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</si>
  <si>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</si>
  <si>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</si>
  <si>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</si>
  <si>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</si>
  <si>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</si>
  <si>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</si>
  <si>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</si>
  <si>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</si>
  <si>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</si>
  <si>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</si>
  <si>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</si>
  <si>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</si>
  <si>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</si>
  <si>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</si>
  <si>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</si>
  <si>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</si>
  <si>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</si>
  <si>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</si>
  <si>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</si>
  <si>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</si>
  <si>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</si>
  <si>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</si>
  <si>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</si>
  <si>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</si>
  <si>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</si>
  <si>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</si>
  <si>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</si>
  <si>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</si>
  <si>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</si>
  <si>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</si>
  <si>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</si>
  <si>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</si>
  <si>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</si>
  <si>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</si>
  <si>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</si>
  <si>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</si>
  <si>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</si>
  <si>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</si>
  <si>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</si>
  <si>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</si>
  <si>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</si>
  <si>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</si>
  <si>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</si>
  <si>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</si>
  <si>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</si>
  <si>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</si>
  <si>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</si>
  <si>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</si>
  <si>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</si>
  <si>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</si>
  <si>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</si>
  <si>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</si>
  <si>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</si>
  <si>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</si>
  <si>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</si>
  <si>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</si>
  <si>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</si>
  <si>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</si>
  <si>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</si>
  <si>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</si>
  <si>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</si>
  <si>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</si>
  <si>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</si>
  <si>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</si>
  <si>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</si>
  <si>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</si>
  <si>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</si>
  <si>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</si>
  <si>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</si>
  <si>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</si>
  <si>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</si>
  <si>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</si>
  <si>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</si>
  <si>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</si>
  <si>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</si>
  <si>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</si>
  <si>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</si>
  <si>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</si>
  <si>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</si>
  <si>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</si>
  <si>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</si>
  <si>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</si>
  <si>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</si>
  <si>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</si>
  <si>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</si>
  <si>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</si>
  <si>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</si>
  <si>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</si>
  <si>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</si>
  <si>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</si>
  <si>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</si>
  <si>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</si>
  <si>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</si>
  <si>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</si>
  <si>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</si>
  <si>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</si>
  <si>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</si>
  <si>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</si>
  <si>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</si>
  <si>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</si>
  <si>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</si>
  <si>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</si>
  <si>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</si>
  <si>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</si>
  <si>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</si>
  <si>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</si>
  <si>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</si>
  <si>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</si>
  <si>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</si>
  <si>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</si>
  <si>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</si>
  <si>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</si>
  <si>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</si>
  <si>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</si>
  <si>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</si>
  <si>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</si>
  <si>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</si>
  <si>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</si>
  <si>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</si>
  <si>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</si>
  <si>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</si>
  <si>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</si>
  <si>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</si>
  <si>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</si>
  <si>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</si>
  <si>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</si>
  <si>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</si>
  <si>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</si>
  <si>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</si>
  <si>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</si>
  <si>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</si>
  <si>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</si>
  <si>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</si>
  <si>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</si>
  <si>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</si>
  <si>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</si>
  <si>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</si>
  <si>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</si>
  <si>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</si>
  <si>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</si>
  <si>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</si>
  <si>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</si>
  <si>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</si>
  <si>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</si>
  <si>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</si>
  <si>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</si>
  <si>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</si>
  <si>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</si>
  <si>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</si>
  <si>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</si>
  <si>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</si>
  <si>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</si>
  <si>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</si>
  <si>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</si>
  <si>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</si>
  <si>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</si>
  <si>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</si>
  <si>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</si>
  <si>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</si>
  <si>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</si>
  <si>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</si>
  <si>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</si>
  <si>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</si>
  <si>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</si>
  <si>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</si>
  <si>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</si>
  <si>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</si>
  <si>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</si>
  <si>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</si>
  <si>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</si>
  <si>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</si>
  <si>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</si>
  <si>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</si>
  <si>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</si>
  <si>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</si>
  <si>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</si>
  <si>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</si>
  <si>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</si>
  <si>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</si>
  <si>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</si>
  <si>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</si>
  <si>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</si>
  <si>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</si>
  <si>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</si>
  <si>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</si>
  <si>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</si>
  <si>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</si>
  <si>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</si>
  <si>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</si>
  <si>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</si>
  <si>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</si>
  <si>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</si>
  <si>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</si>
  <si>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</si>
  <si>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</si>
  <si>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</si>
  <si>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</si>
  <si>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</si>
  <si>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</si>
  <si>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</si>
  <si>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</si>
  <si>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</si>
  <si>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</si>
  <si>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</si>
  <si>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</si>
  <si>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</si>
  <si>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</si>
  <si>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</si>
  <si>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</si>
  <si>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</si>
  <si>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</si>
  <si>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</si>
  <si>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</si>
  <si>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</si>
  <si>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</si>
  <si>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</si>
  <si>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</si>
  <si>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</si>
  <si>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</si>
  <si>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</si>
  <si>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</si>
  <si>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</si>
  <si>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</si>
  <si>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</si>
  <si>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</si>
  <si>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</si>
  <si>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</si>
  <si>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</si>
  <si>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</si>
  <si>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</si>
  <si>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</si>
  <si>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</si>
  <si>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</si>
  <si>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</si>
  <si>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</si>
  <si>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</si>
  <si>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</si>
  <si>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</si>
  <si>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</si>
  <si>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</si>
  <si>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</si>
  <si>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</si>
  <si>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</si>
  <si>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</si>
  <si>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</si>
  <si>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</si>
  <si>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</si>
  <si>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</si>
  <si>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</si>
  <si>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</si>
  <si>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</si>
  <si>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</si>
  <si>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</si>
  <si>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</si>
  <si>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</si>
  <si>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</si>
  <si>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</si>
  <si>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</si>
  <si>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</si>
  <si>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</si>
  <si>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</si>
  <si>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</si>
  <si>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</si>
  <si>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</si>
  <si>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</si>
  <si>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</si>
  <si>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</si>
  <si>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</si>
  <si>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</si>
  <si>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</si>
  <si>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</si>
  <si>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</si>
  <si>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</si>
  <si>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</si>
  <si>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</si>
  <si>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</si>
  <si>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</si>
  <si>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</si>
  <si>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</si>
  <si>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</si>
  <si>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</si>
  <si>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</si>
  <si>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</si>
  <si>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</si>
  <si>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</si>
  <si>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</si>
  <si>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</si>
  <si>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</si>
  <si>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</si>
  <si>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</si>
  <si>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</si>
  <si>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</si>
  <si>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</si>
  <si>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</si>
  <si>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</si>
  <si>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</si>
  <si>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</si>
  <si>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</si>
  <si>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</si>
  <si>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</si>
  <si>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</si>
  <si>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</si>
  <si>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</si>
  <si>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</si>
  <si>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</si>
  <si>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</si>
  <si>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</si>
  <si>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</si>
  <si>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</si>
  <si>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</si>
  <si>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</si>
  <si>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</si>
  <si>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</si>
  <si>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</si>
  <si>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</si>
  <si>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</si>
  <si>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</si>
  <si>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</si>
  <si>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</si>
  <si>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</si>
  <si>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</si>
  <si>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</si>
  <si>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</si>
  <si>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</si>
  <si>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</si>
  <si>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</si>
  <si>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</si>
  <si>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</si>
  <si>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</si>
  <si>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</si>
  <si>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</si>
  <si>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</si>
  <si>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</si>
  <si>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</si>
  <si>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</si>
  <si>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</si>
  <si>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</si>
  <si>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</si>
  <si>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</si>
  <si>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</si>
  <si>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</si>
  <si>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</si>
  <si>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</si>
  <si>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</si>
  <si>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</si>
  <si>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</si>
  <si>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</si>
  <si>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</si>
  <si>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</si>
  <si>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</si>
  <si>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</si>
  <si>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</si>
  <si>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</si>
  <si>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</si>
  <si>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</si>
  <si>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</si>
  <si>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</si>
  <si>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</si>
  <si>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</si>
  <si>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</si>
  <si>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</si>
  <si>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</si>
  <si>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</si>
  <si>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</si>
  <si>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</si>
  <si>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</si>
  <si>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</si>
  <si>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</si>
  <si>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</si>
  <si>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</si>
  <si>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</si>
  <si>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</si>
  <si>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</si>
  <si>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</si>
  <si>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</si>
  <si>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</si>
  <si>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</si>
  <si>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</si>
  <si>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</si>
  <si>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</si>
  <si>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</si>
  <si>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</si>
  <si>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</si>
  <si>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</si>
  <si>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</si>
  <si>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</si>
  <si>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</si>
  <si>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</si>
  <si>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</si>
  <si>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</si>
  <si>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</si>
  <si>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</si>
  <si>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</si>
  <si>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</si>
  <si>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</si>
  <si>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</si>
  <si>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</si>
  <si>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</si>
  <si>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</si>
  <si>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</si>
  <si>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</si>
  <si>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</si>
  <si>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</si>
  <si>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</si>
  <si>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</si>
  <si>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</si>
  <si>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</si>
  <si>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</si>
  <si>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</si>
  <si>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</si>
  <si>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</si>
  <si>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</si>
  <si>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</si>
  <si>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</si>
  <si>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</si>
  <si>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</si>
  <si>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</si>
  <si>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</si>
  <si>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</si>
  <si>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</si>
  <si>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</si>
  <si>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</si>
  <si>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</si>
  <si>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</si>
  <si>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</si>
  <si>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</si>
  <si>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</si>
  <si>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</si>
  <si>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</si>
  <si>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</si>
  <si>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</si>
  <si>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</si>
  <si>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</si>
  <si>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</si>
  <si>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</si>
  <si>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</si>
  <si>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</si>
  <si>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</si>
  <si>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</si>
  <si>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</si>
  <si>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</si>
  <si>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</si>
  <si>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</si>
  <si>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</si>
  <si>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</si>
  <si>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</si>
  <si>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</si>
  <si>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</si>
  <si>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</si>
  <si>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</si>
  <si>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</si>
  <si>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</si>
  <si>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</si>
  <si>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</si>
  <si>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</si>
  <si>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</si>
  <si>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</si>
  <si>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</si>
  <si>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</si>
  <si>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</si>
  <si>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</si>
  <si>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</si>
  <si>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</si>
  <si>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</si>
  <si>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</si>
  <si>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</si>
  <si>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</si>
  <si>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</si>
  <si>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</si>
  <si>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</si>
  <si>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</si>
  <si>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</si>
  <si>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</si>
  <si>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</si>
  <si>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</si>
  <si>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</si>
  <si>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</si>
  <si>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</si>
  <si>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</si>
  <si>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</si>
  <si>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</si>
  <si>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</si>
  <si>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</si>
  <si>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</si>
  <si>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</si>
  <si>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</si>
  <si>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</si>
  <si>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</si>
  <si>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</si>
  <si>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</si>
  <si>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</si>
  <si>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</si>
  <si>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</si>
  <si>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</si>
  <si>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</si>
  <si>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</si>
  <si>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</si>
  <si>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</si>
  <si>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</si>
  <si>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</si>
  <si>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</si>
  <si>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</si>
  <si>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</si>
  <si>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</si>
  <si>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</si>
  <si>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</si>
  <si>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</si>
  <si>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</si>
  <si>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</si>
  <si>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</si>
  <si>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</si>
  <si>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</si>
  <si>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</si>
  <si>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</si>
  <si>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</si>
  <si>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</si>
  <si>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</si>
  <si>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</si>
  <si>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</si>
  <si>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</si>
  <si>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</si>
  <si>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</si>
  <si>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</si>
  <si>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</si>
  <si>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</si>
  <si>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</si>
  <si>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</si>
  <si>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</si>
  <si>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</si>
  <si>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</si>
  <si>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</si>
  <si>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</si>
  <si>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</si>
  <si>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</si>
  <si>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</si>
  <si>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</si>
  <si>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</si>
  <si>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</si>
  <si>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</si>
  <si>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</si>
  <si>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</si>
  <si>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</si>
  <si>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</si>
  <si>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</si>
  <si>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</si>
  <si>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</si>
  <si>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</si>
  <si>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</si>
  <si>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</si>
  <si>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</si>
  <si>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</si>
  <si>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</si>
  <si>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</si>
  <si>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</si>
  <si>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</si>
  <si>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</si>
  <si>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</si>
  <si>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</si>
  <si>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</si>
  <si>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</si>
  <si>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</si>
  <si>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</si>
  <si>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</si>
  <si>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</si>
  <si>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</si>
  <si>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</si>
  <si>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</si>
  <si>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</si>
  <si>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</si>
  <si>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</si>
  <si>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</si>
  <si>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</si>
  <si>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</si>
  <si>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</si>
  <si>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</si>
  <si>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</si>
  <si>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</si>
  <si>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</si>
  <si>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</si>
  <si>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</si>
  <si>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</si>
  <si>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</si>
  <si>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</si>
  <si>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</si>
  <si>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</si>
  <si>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</si>
  <si>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</si>
  <si>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</si>
  <si>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</si>
  <si>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</si>
  <si>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</si>
  <si>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</si>
  <si>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</si>
  <si>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</si>
  <si>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</si>
  <si>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</si>
  <si>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</si>
  <si>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</si>
  <si>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</si>
  <si>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</si>
  <si>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</si>
  <si>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</si>
  <si>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</si>
  <si>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</si>
  <si>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</si>
  <si>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</si>
  <si>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</si>
  <si>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</si>
  <si>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</si>
  <si>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</si>
  <si>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</si>
  <si>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</si>
  <si>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</si>
  <si>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</si>
  <si>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</si>
  <si>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</si>
  <si>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</si>
  <si>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</si>
  <si>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</si>
  <si>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</si>
  <si>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</si>
  <si>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</si>
  <si>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</si>
  <si>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</si>
  <si>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</si>
  <si>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</si>
  <si>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</si>
  <si>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</si>
  <si>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</si>
  <si>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</si>
  <si>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</si>
  <si>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</si>
  <si>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</si>
  <si>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</si>
  <si>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</si>
  <si>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</si>
  <si>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</si>
  <si>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</si>
  <si>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</si>
  <si>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</si>
  <si>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</si>
  <si>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</si>
  <si>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</si>
  <si>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</si>
  <si>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</si>
  <si>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</si>
  <si>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</si>
  <si>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</si>
  <si>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</si>
  <si>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</si>
  <si>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</si>
  <si>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</si>
  <si>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</si>
  <si>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</si>
  <si>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</si>
  <si>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</si>
  <si>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</si>
  <si>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</si>
  <si>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</si>
  <si>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</si>
  <si>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</si>
  <si>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</si>
  <si>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</si>
  <si>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</si>
  <si>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</si>
  <si>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</si>
  <si>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</si>
  <si>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</si>
  <si>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</si>
  <si>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</si>
  <si>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</si>
  <si>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</si>
  <si>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</si>
  <si>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</si>
  <si>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</si>
  <si>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</si>
  <si>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</si>
  <si>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</si>
  <si>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</si>
  <si>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</si>
  <si>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</si>
  <si>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</si>
  <si>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</si>
  <si>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</si>
  <si>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</si>
  <si>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</si>
  <si>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</si>
  <si>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</si>
  <si>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</si>
  <si>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</si>
  <si>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</si>
  <si>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</si>
  <si>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</si>
  <si>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</si>
  <si>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</si>
  <si>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</si>
  <si>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</si>
  <si>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</si>
  <si>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</si>
  <si>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</si>
  <si>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</si>
  <si>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</si>
  <si>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</si>
  <si>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</si>
  <si>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</si>
  <si>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</si>
  <si>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</si>
  <si>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</si>
  <si>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</si>
  <si>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</si>
  <si>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</si>
  <si>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</si>
  <si>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</si>
  <si>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</si>
  <si>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</si>
  <si>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</si>
  <si>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</si>
  <si>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</si>
  <si>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</si>
  <si>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</si>
  <si>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</si>
  <si>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</si>
  <si>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</si>
  <si>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</si>
  <si>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</si>
  <si>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</si>
  <si>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</si>
  <si>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</si>
  <si>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</si>
  <si>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</si>
  <si>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</si>
  <si>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</si>
  <si>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</si>
  <si>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</si>
  <si>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</si>
  <si>
    <t>ArcadeHaven does not implement a TURN server or any NAT traversal mechanism. No real-time peer-to-peer communication is used.</t>
  </si>
  <si>
    <t>No TURN server is used. Resource exhaustion via TURN port allocation is not applicable.</t>
  </si>
  <si>
    <t>ArcadeHaven does not use DTLS or any media server. No cryptographic key management for media transport is required.</t>
  </si>
  <si>
    <t>No media server or DTLS-SRTP is used. Not applicable to the current project scope.</t>
  </si>
  <si>
    <t>No SRTP or RTP media streams are used. Not applicable to the current project scope.</t>
  </si>
  <si>
    <t>No media server is implemented. Not applicable to the current project scope.</t>
  </si>
  <si>
    <t>No media server or SRTP traffic is used. Not applicable to the current project scope.</t>
  </si>
  <si>
    <t>No DTLS implementation is used. ClientHello race condition is not applicable.</t>
  </si>
  <si>
    <t xml:space="preserve">	No audio or video recording mechanisms are used. Not applicable to the current project scope.</t>
  </si>
  <si>
    <t>No DTLS certificates or SDP fingerprint validation is used. Not applicable to the current project scope.</t>
  </si>
  <si>
    <t>ArcadeHaven does not implement a signaling server or any WebRTC signaling mechanism. Not applicable to the current project scope.</t>
  </si>
  <si>
    <t>No signaling server is used. Malformed signaling message handling is not applicable to the current project scope.</t>
  </si>
  <si>
    <t>The frontend communicates with Keycloak directly. No backend-for-frontend token forwarding is used, the Spring Boot backend only validates tokens, never forwards them to other services.</t>
  </si>
  <si>
    <t>Token values are issued exclusively by Keycloak and validated by the Spring Boot resource server using Keycloak's public keys (via JWKS endpoint). No token mixing between different authorization servers occurs.</t>
  </si>
  <si>
    <t>The frontend uses the Authorization Code flow with PKCE (code_challenge / code_verifier). PKCE inherently protects against CSRF-based token request forgery. Additionally, the state parameter will be generated and validated on every authorization request.</t>
  </si>
  <si>
    <t>ArcadeHaven uses a single Keycloak instance as its only authorization server. Mix-up attacks between multiple authorization servers are not applicable in the current scope.</t>
  </si>
  <si>
    <t>The Spring Boot resource server validates the aud claim in every JWT, ensuring only tokens issued for arcadehaven-api are accepted. Tokens issued for other audiences (e.g. Keycloak admin console) will be rejected.</t>
  </si>
  <si>
    <t>Authorization decisions are enforced by Spring Security using @PreAuthorize annotations. The sub, scope, and role claims from the JWT are all evaluated in access control decisions at the method level</t>
  </si>
  <si>
    <t>Users are uniquely identified by the combination of iss (Keycloak issuer URL) and sub (user UUID) claims. This pair is non-reassignable and used as the canonical user identity across the resource server.</t>
  </si>
  <si>
    <t>Standard JWT validation (expiry, signature, audience) is enforced</t>
  </si>
  <si>
    <t>Token theft mitigation relies on short-lived access tokens (15 minutes) and HTTPS enforcement throughout. This may be revisited in a future phase.</t>
  </si>
  <si>
    <t>Keycloak is configured with an explicit allowlist of valid redirect URIs per client, using exact string matching. Wildcard URIs are not permitted.</t>
  </si>
  <si>
    <t>Keycloak enforces single-use authorization codes natively. If a code is reused, Keycloak rejects the request and revokes any previously issued tokens linked to that code.</t>
  </si>
  <si>
    <t>Authorization codes will be configured with a short lifetime (≤ 1 minute) in Keycloak.</t>
  </si>
  <si>
    <t>Only the Authorization Code grant type is enabled for ArcadeHaven clients in Keycloak. Implicit flow (token) and Resource Owner Password Credentials (password) are explicitly disabled.</t>
  </si>
  <si>
    <t>Keycloak will be configured with refresh token rotation, each use of a refresh token issues a new token and invalidates the previous one. If a revoked refresh token is presented, all tokens for that session are revoked immediately</t>
  </si>
  <si>
    <t>PKCE is enforced for all authorization code requests. Keycloak requires a valid code_challenge using S256 method. The plain method is explicitly disallowed. The code_verifier is validated on every token request.</t>
  </si>
  <si>
    <t>Dynamic client registration is not supported in ArcadeHaven. All clients are pre-registered in Keycloak by administrators. No unauthenticated registration endpoint is exposed.</t>
  </si>
  <si>
    <t>Refresh tokens will have an absolute expiration of 7 days, configured in Keycloak. Sliding expiration is disabled to prevent indefinite session extension.</t>
  </si>
  <si>
    <t>Users can revoke sessions and refresh tokens via the Keycloak account management console and via the ArcadeHaven logout endpoint (POST /api/auth/logout), which calls Keycloak's token revocation endpoint.</t>
  </si>
  <si>
    <t>The Spring Boot backend (acting as a confidential client when needed) authenticates to Keycloak using a client_secret. All backend-to-Keycloak calls (token introspection, revocation) use confidential client credentials.</t>
  </si>
  <si>
    <t>Keycloak client configurations will only include the required scopes (openid, profile, email). No unnecessary scopes are assigned to ArcadeHaven clients.</t>
  </si>
  <si>
    <t>Only response_mode=query (default for code flow) is permitted. No other response modes are configured or accepted for ArcadeHaven clients in Keycloak.</t>
  </si>
  <si>
    <t>Pushed Authorization Requests (PAR) are not implemented</t>
  </si>
  <si>
    <t>Sender-constrained access tokens (mTLS or DPoP) are out of scope for Phase 1. Standard bearer tokens are used, protected by HTTPS and short expiry.</t>
  </si>
  <si>
    <t xml:space="preserve">	ArcadeHaven does not use authorization_details (Rich Authorization Requests). Not applicable in the current scope.</t>
  </si>
  <si>
    <t>Strong client authentication via mTLS or private_key_jwt is not implemented.</t>
  </si>
  <si>
    <t xml:space="preserve">	Users are uniquely identified by the sub claim in the ID Token, which maps to the Keycloak user UUID. This value is non-reassignable within the Keycloak identity provider.</t>
  </si>
  <si>
    <t>This will generate a nonce value on every authentication request and validate it against the nonce claim in the returned ID Token, protecting against ID Token replay attacks.</t>
  </si>
  <si>
    <t>The Spring Boot backend validate the iss claim against a pre-configured Keycloak issuer URL. Any token with a different issuer is rejected, preventing authorization server impersonation.</t>
  </si>
  <si>
    <t>The aud claim in the ID Token is validated against the registered client_id of the ArcadeHaven frontend client, ensuring tokens issued for other clients are rejected.</t>
  </si>
  <si>
    <t xml:space="preserve">OIDC back-channel logout is not implemented. Session termination relies on refresh token revocation and short-lived access tokens. </t>
  </si>
  <si>
    <t>Keycloak (acting as the OpenID Provider) is configured to only permit code as the response type for ArcadeHaven clients. Implicit flow (token, id_token token) is explicitly disabled.</t>
  </si>
  <si>
    <t>Keycloak validates the id_token_hint parameter on logout requests and requires explicit user confirmation before terminating sessions. Forced logout DoS is mitigated by Keycloak's built-in logout flow validation.</t>
  </si>
  <si>
    <t>Keycloak is configured to prompt users for consent on every authorization request where the client identity cannot be fully assured. For well-known ArcadeHaven clients, consent may be pre-approved at registration, but this is explicitly configured per client.</t>
  </si>
  <si>
    <t>Keycloak's consent screen presents clear information about the requested scopes, the identity of the authorizing application (ArcadeHaven), and the session lifetime. Users see what they are authorizing before approving.</t>
  </si>
  <si>
    <t>Users can review and revoke active sessions and granted consents via the Keycloak account management console (/realms/arcadehaven/account). The ArcadeHaven logout endpoint also triggers full session revocation via Keycloak.</t>
  </si>
  <si>
    <t>Compliant</t>
  </si>
  <si>
    <t>The entire data access layer uses Spring Data JPA with typed repositories</t>
  </si>
  <si>
    <t>ArcadeHaven does not use SpEL with user input. The @PreAuthorize annotations use SpEL with static expressions (“hasRole(‘ADMIN’)”)</t>
  </si>
  <si>
    <t>Logging uses only SLF4J with parameterized placeholders (log.warn(“message: {}”, value))</t>
  </si>
  <si>
    <t>All request DTOs use Bean Validation</t>
  </si>
  <si>
    <t>All validation is performed server-side using Spring Bean Validation in the controller/service layer. There is no frontend implementation that performs client-side validation, so there is no risk of bypass. The tracker must be updated.</t>
  </si>
  <si>
    <t>The Order uses a state machine (OrderStatus: PENDING → COMPLETED), and the Order.complete() method validates that the status is PENDING before transitioning. The LibraryEntry is only created after the Order is COMPLETED. The game follows the PENDING → APPROVED/REJECTED flow with validation in the AdminService. The tracker must be updated.</t>
  </si>
  <si>
    <t>JWT validation is performed exclusively on the server by the Spring Security JWT decoder, using Keycloak's JWKS endpoint. No tokens are validated on the client side or via frontend logic. The tracker must be updated.</t>
  </si>
  <si>
    <t>ArcadeHaven uses dynamic JWTs issued by Keycloak with exp and iat claims. There are no static API keys for user authentication. The Keycloak Admin Client uses a service account with the client credentials flow—credentials configured via environment variables, not hardcoded. The tracker needs to be updated.</t>
  </si>
  <si>
    <t>Keycloak issues a new JWT access token and refresh token with each successful authentication. Logging out via a POST request to /api/auth/logout revokes all active tokens. Spring Boot does not maintain session state (stateless JWT). The tracker must be updated.</t>
  </si>
  <si>
    <t>POST /api/auth/logout revokes all of the user's active sessions in Keycloak via UserResource.logout() (Keycloak Admin Client). Tokens naturally expire based on the exp claim. The tracker is out of date, this check should be marked as “Compliant” (matches V6.8.3 / V10.4.9, which have already been implemented).</t>
  </si>
  <si>
    <t>The authentication flow requires explicit user action (submitting credentials to Keycloak). Spring Boot does not automatically create sessions, it is stateless. The JWT is only issued after successful authentication. The tracker must be updated.</t>
  </si>
  <si>
    <t xml:space="preserve"> All authorization is server-side: SecurityConfig with rules based on path/role, @PreAuthorize(“hasRole(...)”)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</si>
</sst>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0.25</c:v>
                </c:pt>
                <c:pt idx="1">
                  <c:v>0.75</c:v>
                </c:pt>
                <c:pt idx="2">
                  <c:v>0.375</c:v>
                </c:pt>
                <c:pt idx="3">
                  <c:v>0.5</c:v>
                </c:pt>
                <c:pt idx="4">
                  <c:v>0.25</c:v>
                </c:pt>
                <c:pt idx="5">
                  <c:v>0.30769230769230771</c:v>
                </c:pt>
                <c:pt idx="6">
                  <c:v>0.66666666666666663</c:v>
                </c:pt>
                <c:pt idx="7">
                  <c:v>0.75</c:v>
                </c:pt>
                <c:pt idx="8">
                  <c:v>1</c:v>
                </c:pt>
                <c:pt idx="9">
                  <c:v>0</c:v>
                </c:pt>
                <c:pt idx="10">
                  <c:v>1</c:v>
                </c:pt>
                <c:pt idx="11">
                  <c:v>0</c:v>
                </c:pt>
                <c:pt idx="12">
                  <c:v>0</c:v>
                </c:pt>
                <c:pt idx="13">
                  <c:v>0.5</c:v>
                </c:pt>
                <c:pt idx="14">
                  <c:v>0.33333333333333331</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0.10526315789473684</c:v>
                </c:pt>
                <c:pt idx="1">
                  <c:v>0</c:v>
                </c:pt>
                <c:pt idx="2">
                  <c:v>0</c:v>
                </c:pt>
                <c:pt idx="3">
                  <c:v>0.125</c:v>
                </c:pt>
                <c:pt idx="4">
                  <c:v>0</c:v>
                </c:pt>
                <c:pt idx="5">
                  <c:v>4.5454545454545456E-2</c:v>
                </c:pt>
                <c:pt idx="6">
                  <c:v>8.3333333333333329E-2</c:v>
                </c:pt>
                <c:pt idx="7">
                  <c:v>0.33333333333333331</c:v>
                </c:pt>
                <c:pt idx="8">
                  <c:v>0</c:v>
                </c:pt>
                <c:pt idx="9">
                  <c:v>0.25</c:v>
                </c:pt>
                <c:pt idx="10">
                  <c:v>0.63636363636363635</c:v>
                </c:pt>
                <c:pt idx="11">
                  <c:v>0</c:v>
                </c:pt>
                <c:pt idx="12">
                  <c:v>0</c:v>
                </c:pt>
                <c:pt idx="13">
                  <c:v>0.14285714285714285</c:v>
                </c:pt>
                <c:pt idx="14">
                  <c:v>0.4</c:v>
                </c:pt>
                <c:pt idx="15">
                  <c:v>0.3125</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0.2</c:v>
                </c:pt>
                <c:pt idx="11">
                  <c:v>0</c:v>
                </c:pt>
                <c:pt idx="12">
                  <c:v>0</c:v>
                </c:pt>
                <c:pt idx="13">
                  <c:v>0</c:v>
                </c:pt>
                <c:pt idx="14">
                  <c:v>0.125</c:v>
                </c:pt>
                <c:pt idx="15">
                  <c:v>1</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0.13333333333333333</c:v>
                </c:pt>
                <c:pt idx="1">
                  <c:v>0.23076923076923078</c:v>
                </c:pt>
                <c:pt idx="2">
                  <c:v>9.6774193548387094E-2</c:v>
                </c:pt>
                <c:pt idx="3">
                  <c:v>0.125</c:v>
                </c:pt>
                <c:pt idx="4">
                  <c:v>7.6923076923076927E-2</c:v>
                </c:pt>
                <c:pt idx="5">
                  <c:v>0.10638297872340426</c:v>
                </c:pt>
                <c:pt idx="6">
                  <c:v>0.26315789473684209</c:v>
                </c:pt>
                <c:pt idx="7">
                  <c:v>0.30769230769230771</c:v>
                </c:pt>
                <c:pt idx="8">
                  <c:v>0.5714285714285714</c:v>
                </c:pt>
                <c:pt idx="9">
                  <c:v>0.16666666666666666</c:v>
                </c:pt>
                <c:pt idx="10">
                  <c:v>0.5</c:v>
                </c:pt>
                <c:pt idx="11">
                  <c:v>0</c:v>
                </c:pt>
                <c:pt idx="12">
                  <c:v>0</c:v>
                </c:pt>
                <c:pt idx="13">
                  <c:v>0.15384615384615385</c:v>
                </c:pt>
                <c:pt idx="14">
                  <c:v>0.2857142857142857</c:v>
                </c:pt>
                <c:pt idx="15">
                  <c:v>0.35294117647058826</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tabSelected="1" topLeftCell="A6" zoomScale="80" zoomScaleNormal="80"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2</v>
      </c>
      <c r="E6" s="5">
        <f t="shared" ref="E6:E20" si="0">IF(C6=0,"",D6/C6)</f>
        <v>0.25</v>
      </c>
      <c r="F6" s="4">
        <v>19</v>
      </c>
      <c r="G6" s="4">
        <f>COUNTIFS('V1 - Encoding and Sanitization'!$F$2:$F$36,"Compliant",'V1 - Encoding and Sanitization'!$E$2:$E$36,2)</f>
        <v>2</v>
      </c>
      <c r="H6" s="5">
        <f t="shared" ref="H6:H22" si="1">IF(F6=0,"",G6/F6)</f>
        <v>0.10526315789473684</v>
      </c>
      <c r="I6" s="4">
        <v>3</v>
      </c>
      <c r="J6" s="4">
        <f>COUNTIFS('V1 - Encoding and Sanitization'!$F$2:$F$36,"Compliant",'V1 - Encoding and Sanitization'!$E$2:$E$36,3)</f>
        <v>0</v>
      </c>
      <c r="K6" s="5">
        <f t="shared" ref="K6:K13" si="2">IF(I6=0,"",J6/I6)</f>
        <v>0</v>
      </c>
      <c r="L6" s="4">
        <f>COUNTIF('V1 - Encoding and Sanitization'!$F$2:$F$36,"Compliant")</f>
        <v>4</v>
      </c>
      <c r="M6" s="5">
        <f t="shared" ref="M6:M22" si="3">IF(B6=0,"",L6/B6)</f>
        <v>0.13333333333333333</v>
      </c>
    </row>
    <row r="7" spans="1:16" ht="18" customHeight="1" x14ac:dyDescent="0.25">
      <c r="A7" s="6" t="s">
        <v>15</v>
      </c>
      <c r="B7" s="7">
        <v>13</v>
      </c>
      <c r="C7" s="7">
        <v>4</v>
      </c>
      <c r="D7" s="7">
        <f>COUNTIFS('V2 - Validation and Business Lo'!$F$2:$F$18,"Compliant",'V2 - Validation and Business Lo'!$E$2:$E$18,1)</f>
        <v>3</v>
      </c>
      <c r="E7" s="8">
        <f t="shared" si="0"/>
        <v>0.75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3</v>
      </c>
      <c r="M7" s="8">
        <f t="shared" si="3"/>
        <v>0.23076923076923078</v>
      </c>
    </row>
    <row r="8" spans="1:16" ht="18" customHeight="1" x14ac:dyDescent="0.25">
      <c r="A8" s="3" t="s">
        <v>16</v>
      </c>
      <c r="B8" s="4">
        <v>31</v>
      </c>
      <c r="C8" s="4">
        <v>8</v>
      </c>
      <c r="D8" s="4">
        <f>COUNTIFS('V3 - Web Frontend Security'!$F$2:$F$39,"Compliant",'V3 - Web Frontend Security'!$E$2:$E$39,1)</f>
        <v>3</v>
      </c>
      <c r="E8" s="5">
        <f t="shared" si="0"/>
        <v>0.375</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3</v>
      </c>
      <c r="M8" s="5">
        <f t="shared" si="3"/>
        <v>9.6774193548387094E-2</v>
      </c>
    </row>
    <row r="9" spans="1:16" ht="18" customHeight="1" x14ac:dyDescent="0.25">
      <c r="A9" s="6" t="s">
        <v>17</v>
      </c>
      <c r="B9" s="7">
        <v>16</v>
      </c>
      <c r="C9" s="7">
        <v>2</v>
      </c>
      <c r="D9" s="7">
        <f>COUNTIFS('V4 - API and Web Service'!$F$2:$F$21,"Compliant",'V4 - API and Web Service'!$E$2:$E$21,1)</f>
        <v>1</v>
      </c>
      <c r="E9" s="8">
        <f t="shared" si="0"/>
        <v>0.5</v>
      </c>
      <c r="F9" s="7">
        <v>8</v>
      </c>
      <c r="G9" s="7">
        <f>COUNTIFS('V4 - API and Web Service'!$F$2:$F$21,"Compliant",'V4 - API and Web Service'!$E$2:$E$21,2)</f>
        <v>1</v>
      </c>
      <c r="H9" s="8">
        <f t="shared" si="1"/>
        <v>0.125</v>
      </c>
      <c r="I9" s="7">
        <v>6</v>
      </c>
      <c r="J9" s="7">
        <f>COUNTIFS('V4 - API and Web Service'!$F$2:$F$21,"Compliant",'V4 - API and Web Service'!$E$2:$E$21,3)</f>
        <v>0</v>
      </c>
      <c r="K9" s="8">
        <f t="shared" si="2"/>
        <v>0</v>
      </c>
      <c r="L9" s="7">
        <f>COUNTIF('V4 - API and Web Service'!$F$2:$F$21,"Compliant")</f>
        <v>2</v>
      </c>
      <c r="M9" s="8">
        <f t="shared" si="3"/>
        <v>0.125</v>
      </c>
    </row>
    <row r="10" spans="1:16" ht="18" customHeight="1" x14ac:dyDescent="0.25">
      <c r="A10" s="3" t="s">
        <v>18</v>
      </c>
      <c r="B10" s="4">
        <v>13</v>
      </c>
      <c r="C10" s="4">
        <v>4</v>
      </c>
      <c r="D10" s="4">
        <f>COUNTIFS('V5 - File Handling'!$F$2:$F$18,"Compliant",'V5 - File Handling'!$E$2:$E$18,1)</f>
        <v>1</v>
      </c>
      <c r="E10" s="5">
        <f t="shared" si="0"/>
        <v>0.25</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1</v>
      </c>
      <c r="M10" s="5">
        <f t="shared" si="3"/>
        <v>7.6923076923076927E-2</v>
      </c>
    </row>
    <row r="11" spans="1:16" ht="18" customHeight="1" x14ac:dyDescent="0.25">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1</v>
      </c>
      <c r="H11" s="8">
        <f t="shared" si="1"/>
        <v>4.5454545454545456E-2</v>
      </c>
      <c r="I11" s="7">
        <v>12</v>
      </c>
      <c r="J11" s="7">
        <f>COUNTIFS('V6 - Authentication'!$F$2:$F$56,"Compliant",'V6 - Authentication'!$E$2:$E$56,3)</f>
        <v>0</v>
      </c>
      <c r="K11" s="8">
        <f t="shared" si="2"/>
        <v>0</v>
      </c>
      <c r="L11" s="7">
        <f>COUNTIF('V6 - Authentication'!$F$2:$F$56,"Compliant")</f>
        <v>5</v>
      </c>
      <c r="M11" s="8">
        <f t="shared" si="3"/>
        <v>0.10638297872340426</v>
      </c>
    </row>
    <row r="12" spans="1:16" ht="18" customHeight="1" x14ac:dyDescent="0.25">
      <c r="A12" s="3" t="s">
        <v>20</v>
      </c>
      <c r="B12" s="4">
        <v>19</v>
      </c>
      <c r="C12" s="4">
        <v>6</v>
      </c>
      <c r="D12" s="4">
        <f>COUNTIFS('V7 - Session Management'!$F$2:$F$26,"Compliant",'V7 - Session Management'!$E$2:$E$26,1)</f>
        <v>4</v>
      </c>
      <c r="E12" s="5">
        <f t="shared" si="0"/>
        <v>0.66666666666666663</v>
      </c>
      <c r="F12" s="4">
        <v>12</v>
      </c>
      <c r="G12" s="4">
        <f>COUNTIFS('V7 - Session Management'!$F$2:$F$26,"Compliant",'V7 - Session Management'!$E$2:$E$26,2)</f>
        <v>1</v>
      </c>
      <c r="H12" s="5">
        <f t="shared" si="1"/>
        <v>8.3333333333333329E-2</v>
      </c>
      <c r="I12" s="4">
        <v>1</v>
      </c>
      <c r="J12" s="4">
        <f>COUNTIFS('V7 - Session Management'!$F$2:$F$26,"Compliant",'V7 - Session Management'!$E$2:$E$26,3)</f>
        <v>0</v>
      </c>
      <c r="K12" s="5">
        <f t="shared" si="2"/>
        <v>0</v>
      </c>
      <c r="L12" s="4">
        <f>COUNTIF('V7 - Session Management'!$F$2:$F$26,"Compliant")</f>
        <v>5</v>
      </c>
      <c r="M12" s="5">
        <f t="shared" si="3"/>
        <v>0.26315789473684209</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1</v>
      </c>
      <c r="H13" s="8">
        <f t="shared" si="1"/>
        <v>0.33333333333333331</v>
      </c>
      <c r="I13" s="7">
        <v>6</v>
      </c>
      <c r="J13" s="7">
        <f>COUNTIFS('V8 - Authorization'!$F$2:$F$18,"Compliant",'V8 - Authorization'!$E$2:$E$18,3)</f>
        <v>0</v>
      </c>
      <c r="K13" s="8">
        <f t="shared" si="2"/>
        <v>0</v>
      </c>
      <c r="L13" s="7">
        <f>COUNTIF('V8 - Authorization'!$F$2:$F$18,"Compliant")</f>
        <v>4</v>
      </c>
      <c r="M13" s="8">
        <f t="shared" si="3"/>
        <v>0.30769230769230771</v>
      </c>
    </row>
    <row r="14" spans="1:16" ht="18" customHeight="1" x14ac:dyDescent="0.25">
      <c r="A14" s="3" t="s">
        <v>22</v>
      </c>
      <c r="B14" s="4">
        <v>7</v>
      </c>
      <c r="C14" s="4">
        <v>4</v>
      </c>
      <c r="D14" s="4">
        <f>COUNTIFS('V9 - Self-contained Tokens'!$F$2:$F$10,"Compliant",'V9 - Self-contained Tokens'!$E$2:$E$10,1)</f>
        <v>4</v>
      </c>
      <c r="E14" s="5">
        <f t="shared" si="0"/>
        <v>1</v>
      </c>
      <c r="F14" s="4">
        <v>3</v>
      </c>
      <c r="G14" s="4">
        <f>COUNTIFS('V9 - Self-contained Tokens'!$F$2:$F$10,"Compliant",'V9 - Self-contained Tokens'!$E$2:$E$10,2)</f>
        <v>0</v>
      </c>
      <c r="H14" s="5">
        <f t="shared" si="1"/>
        <v>0</v>
      </c>
      <c r="I14" s="4">
        <v>0</v>
      </c>
      <c r="J14" s="4" t="s">
        <v>23</v>
      </c>
      <c r="K14" s="4" t="s">
        <v>23</v>
      </c>
      <c r="L14" s="4">
        <f>COUNTIF('V9 - Self-contained Tokens'!$F$2:$F$10,"Compliant")</f>
        <v>4</v>
      </c>
      <c r="M14" s="5">
        <f t="shared" si="3"/>
        <v>0.5714285714285714</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6</v>
      </c>
      <c r="H15" s="8">
        <f t="shared" si="1"/>
        <v>0.25</v>
      </c>
      <c r="I15" s="7">
        <v>7</v>
      </c>
      <c r="J15" s="7">
        <f>COUNTIFS('V10 - OAuth and OIDC'!$F$2:$F$44,"Compliant",'V10 - OAuth and OIDC'!$E$2:$E$44,3)</f>
        <v>0</v>
      </c>
      <c r="K15" s="8">
        <f t="shared" ref="K15:K22" si="4">IF(I15=0,"",J15/I15)</f>
        <v>0</v>
      </c>
      <c r="L15" s="7">
        <f>COUNTIF('V10 - OAuth and OIDC'!$F$2:$F$44,"Compliant")</f>
        <v>6</v>
      </c>
      <c r="M15" s="8">
        <f t="shared" si="3"/>
        <v>0.16666666666666666</v>
      </c>
    </row>
    <row r="16" spans="1:16" ht="18" customHeight="1" x14ac:dyDescent="0.25">
      <c r="A16" s="3" t="s">
        <v>25</v>
      </c>
      <c r="B16" s="4">
        <v>24</v>
      </c>
      <c r="C16" s="4">
        <v>3</v>
      </c>
      <c r="D16" s="4">
        <f>COUNTIFS('V11 - Cryptography'!$F$2:$F$32,"Compliant",'V11 - Cryptography'!$E$2:$E$32,1)</f>
        <v>3</v>
      </c>
      <c r="E16" s="5">
        <f t="shared" si="0"/>
        <v>1</v>
      </c>
      <c r="F16" s="4">
        <v>11</v>
      </c>
      <c r="G16" s="4">
        <f>COUNTIFS('V11 - Cryptography'!$F$2:$F$32,"Compliant",'V11 - Cryptography'!$E$2:$E$32,2)</f>
        <v>7</v>
      </c>
      <c r="H16" s="5">
        <f t="shared" si="1"/>
        <v>0.63636363636363635</v>
      </c>
      <c r="I16" s="4">
        <v>10</v>
      </c>
      <c r="J16" s="4">
        <f>COUNTIFS('V11 - Cryptography'!$F$2:$F$32,"Compliant",'V11 - Cryptography'!$E$2:$E$32,3)</f>
        <v>2</v>
      </c>
      <c r="K16" s="5">
        <f t="shared" si="4"/>
        <v>0.2</v>
      </c>
      <c r="L16" s="4">
        <f>COUNTIF('V11 - Cryptography'!$F$2:$F$32,"Compliant")</f>
        <v>12</v>
      </c>
      <c r="M16" s="5">
        <f t="shared" si="3"/>
        <v>0.5</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1</v>
      </c>
      <c r="H19" s="8">
        <f t="shared" si="1"/>
        <v>0.14285714285714285</v>
      </c>
      <c r="I19" s="7">
        <v>4</v>
      </c>
      <c r="J19" s="7">
        <f>COUNTIFS('V14 - Data Protection'!$F$2:$F$17,"Compliant",'V14 - Data Protection'!$E$2:$E$17,3)</f>
        <v>0</v>
      </c>
      <c r="K19" s="8">
        <f t="shared" si="4"/>
        <v>0</v>
      </c>
      <c r="L19" s="7">
        <f>COUNTIF('V14 - Data Protection'!$F$2:$F$17,"Compliant")</f>
        <v>2</v>
      </c>
      <c r="M19" s="8">
        <f t="shared" si="3"/>
        <v>0.15384615384615385</v>
      </c>
    </row>
    <row r="20" spans="1:13" ht="18" customHeight="1" x14ac:dyDescent="0.25">
      <c r="A20" s="3" t="s">
        <v>29</v>
      </c>
      <c r="B20" s="4">
        <v>21</v>
      </c>
      <c r="C20" s="4">
        <v>3</v>
      </c>
      <c r="D20" s="4">
        <f>COUNTIFS('V15 - Secure Coding and Archite'!$F$2:$F$26,"Compliant",'V15 - Secure Coding and Archite'!$E$2:$E$26,1)</f>
        <v>1</v>
      </c>
      <c r="E20" s="5">
        <f t="shared" si="0"/>
        <v>0.33333333333333331</v>
      </c>
      <c r="F20" s="4">
        <v>10</v>
      </c>
      <c r="G20" s="4">
        <f>COUNTIFS('V15 - Secure Coding and Archite'!$F$2:$F$26,"Compliant",'V15 - Secure Coding and Archite'!$E$2:$E$26,2)</f>
        <v>4</v>
      </c>
      <c r="H20" s="5">
        <f t="shared" si="1"/>
        <v>0.4</v>
      </c>
      <c r="I20" s="4">
        <v>8</v>
      </c>
      <c r="J20" s="4">
        <f>COUNTIFS('V15 - Secure Coding and Archite'!$F$2:$F$26,"Compliant",'V15 - Secure Coding and Archite'!$E$2:$E$26,3)</f>
        <v>1</v>
      </c>
      <c r="K20" s="5">
        <f t="shared" si="4"/>
        <v>0.125</v>
      </c>
      <c r="L20" s="4">
        <f>COUNTIF('V15 - Secure Coding and Archite'!$F$2:$F$26,"Compliant")</f>
        <v>6</v>
      </c>
      <c r="M20" s="5">
        <f t="shared" si="3"/>
        <v>0.2857142857142857</v>
      </c>
    </row>
    <row r="21" spans="1:13" ht="18" customHeight="1" x14ac:dyDescent="0.25">
      <c r="A21" s="6" t="s">
        <v>30</v>
      </c>
      <c r="B21" s="7">
        <v>17</v>
      </c>
      <c r="C21" s="7">
        <v>0</v>
      </c>
      <c r="D21" s="7" t="s">
        <v>23</v>
      </c>
      <c r="E21" s="7" t="s">
        <v>23</v>
      </c>
      <c r="F21" s="7">
        <v>16</v>
      </c>
      <c r="G21" s="7">
        <f>COUNTIFS('V16 - Security Logging and Erro'!$F$2:$F$23,"Compliant",'V16 - Security Logging and Erro'!$E$2:$E$23,2)</f>
        <v>5</v>
      </c>
      <c r="H21" s="8">
        <f t="shared" si="1"/>
        <v>0.3125</v>
      </c>
      <c r="I21" s="7">
        <v>1</v>
      </c>
      <c r="J21" s="7">
        <f>COUNTIFS('V16 - Security Logging and Erro'!$F$2:$F$23,"Compliant",'V16 - Security Logging and Erro'!$E$2:$E$23,3)</f>
        <v>1</v>
      </c>
      <c r="K21" s="8">
        <f t="shared" si="4"/>
        <v>1</v>
      </c>
      <c r="L21" s="7">
        <f>COUNTIF('V16 - Security Logging and Erro'!$F$2:$F$23,"Compliant")</f>
        <v>6</v>
      </c>
      <c r="M21" s="8">
        <f t="shared" si="3"/>
        <v>0.35294117647058826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30</v>
      </c>
      <c r="E23" s="11">
        <f>IFERROR(AVERAGE(E6:E22),"")</f>
        <v>0.44551282051282048</v>
      </c>
      <c r="F23" s="10">
        <f>SUM(F6:F22)</f>
        <v>183</v>
      </c>
      <c r="G23" s="10">
        <f>SUM(G6:G22)</f>
        <v>29</v>
      </c>
      <c r="H23" s="11">
        <f>IFERROR(AVERAGE(H6:H22),"")</f>
        <v>0.1431826558374546</v>
      </c>
      <c r="I23" s="10">
        <f>SUM(I6:I22)</f>
        <v>92</v>
      </c>
      <c r="J23" s="10">
        <f>SUM(J6:J22)</f>
        <v>4</v>
      </c>
      <c r="K23" s="11">
        <f>IFERROR(AVERAGE(K6:K22),"")</f>
        <v>8.2812499999999997E-2</v>
      </c>
      <c r="L23" s="10">
        <f>SUM(L6:L22)</f>
        <v>63</v>
      </c>
      <c r="M23" s="11">
        <f>IFERROR(AVERAGE(M6:M22),"")</f>
        <v>0.19827234528546164</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16" activePane="bottomLeft" state="frozen"/>
      <selection pane="bottomLeft" activeCell="F34" sqref="F3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1133</v>
      </c>
      <c r="G3" s="29" t="s">
        <v>1000</v>
      </c>
      <c r="H3" s="16"/>
    </row>
    <row r="4" spans="1:8" ht="30" customHeight="1" x14ac:dyDescent="0.25">
      <c r="A4" s="19" t="s">
        <v>41</v>
      </c>
      <c r="B4" s="19" t="s">
        <v>42</v>
      </c>
      <c r="C4" s="20" t="s">
        <v>46</v>
      </c>
      <c r="D4" s="21" t="s">
        <v>47</v>
      </c>
      <c r="E4" s="17">
        <v>2</v>
      </c>
      <c r="F4" s="28" t="s">
        <v>892</v>
      </c>
      <c r="G4" s="30" t="s">
        <v>986</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987</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893</v>
      </c>
      <c r="G8" s="29"/>
      <c r="H8" s="16"/>
    </row>
    <row r="9" spans="1:8" ht="30" customHeight="1" x14ac:dyDescent="0.25">
      <c r="A9" s="19" t="s">
        <v>48</v>
      </c>
      <c r="B9" s="19" t="s">
        <v>49</v>
      </c>
      <c r="C9" s="20" t="s">
        <v>56</v>
      </c>
      <c r="D9" s="21" t="s">
        <v>57</v>
      </c>
      <c r="E9" s="22">
        <v>1</v>
      </c>
      <c r="F9" s="28" t="s">
        <v>1133</v>
      </c>
      <c r="G9" s="30" t="s">
        <v>1134</v>
      </c>
      <c r="H9" s="21"/>
    </row>
    <row r="10" spans="1:8" ht="30" customHeight="1" x14ac:dyDescent="0.25">
      <c r="A10" s="14" t="s">
        <v>48</v>
      </c>
      <c r="B10" s="14" t="s">
        <v>49</v>
      </c>
      <c r="C10" s="15" t="s">
        <v>58</v>
      </c>
      <c r="D10" s="16" t="s">
        <v>59</v>
      </c>
      <c r="E10" s="22">
        <v>1</v>
      </c>
      <c r="F10" s="28" t="s">
        <v>893</v>
      </c>
      <c r="G10" s="29" t="s">
        <v>988</v>
      </c>
      <c r="H10" s="16"/>
    </row>
    <row r="11" spans="1:8" ht="30" customHeight="1" x14ac:dyDescent="0.25">
      <c r="A11" s="19" t="s">
        <v>48</v>
      </c>
      <c r="B11" s="19" t="s">
        <v>49</v>
      </c>
      <c r="C11" s="20" t="s">
        <v>60</v>
      </c>
      <c r="D11" s="21" t="s">
        <v>61</v>
      </c>
      <c r="E11" s="17">
        <v>2</v>
      </c>
      <c r="F11" s="28" t="s">
        <v>893</v>
      </c>
      <c r="G11" s="30" t="s">
        <v>989</v>
      </c>
      <c r="H11" s="21"/>
    </row>
    <row r="12" spans="1:8" ht="30" customHeight="1" x14ac:dyDescent="0.25">
      <c r="A12" s="14" t="s">
        <v>48</v>
      </c>
      <c r="B12" s="14" t="s">
        <v>49</v>
      </c>
      <c r="C12" s="15" t="s">
        <v>62</v>
      </c>
      <c r="D12" s="16" t="s">
        <v>63</v>
      </c>
      <c r="E12" s="17">
        <v>2</v>
      </c>
      <c r="F12" s="28" t="s">
        <v>893</v>
      </c>
      <c r="G12" s="29" t="s">
        <v>990</v>
      </c>
      <c r="H12" s="16"/>
    </row>
    <row r="13" spans="1:8" ht="30" customHeight="1" x14ac:dyDescent="0.25">
      <c r="A13" s="19" t="s">
        <v>48</v>
      </c>
      <c r="B13" s="19" t="s">
        <v>49</v>
      </c>
      <c r="C13" s="20" t="s">
        <v>64</v>
      </c>
      <c r="D13" s="21" t="s">
        <v>65</v>
      </c>
      <c r="E13" s="17">
        <v>2</v>
      </c>
      <c r="F13" s="28" t="s">
        <v>893</v>
      </c>
      <c r="G13" s="30" t="s">
        <v>991</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992</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993</v>
      </c>
      <c r="H17" s="16"/>
    </row>
    <row r="18" spans="1:8" ht="30" customHeight="1" x14ac:dyDescent="0.25">
      <c r="A18" s="19" t="s">
        <v>70</v>
      </c>
      <c r="B18" s="19" t="s">
        <v>71</v>
      </c>
      <c r="C18" s="20" t="s">
        <v>74</v>
      </c>
      <c r="D18" s="21" t="s">
        <v>75</v>
      </c>
      <c r="E18" s="22">
        <v>1</v>
      </c>
      <c r="F18" s="28" t="s">
        <v>1133</v>
      </c>
      <c r="G18" s="30" t="s">
        <v>1135</v>
      </c>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994</v>
      </c>
      <c r="H20" s="21"/>
    </row>
    <row r="21" spans="1:8" ht="30" customHeight="1" x14ac:dyDescent="0.25">
      <c r="A21" s="14" t="s">
        <v>70</v>
      </c>
      <c r="B21" s="14" t="s">
        <v>71</v>
      </c>
      <c r="C21" s="15" t="s">
        <v>80</v>
      </c>
      <c r="D21" s="16" t="s">
        <v>81</v>
      </c>
      <c r="E21" s="17">
        <v>2</v>
      </c>
      <c r="F21" s="28" t="s">
        <v>893</v>
      </c>
      <c r="G21" s="29" t="s">
        <v>995</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893</v>
      </c>
      <c r="G23" s="29"/>
      <c r="H23" s="16"/>
    </row>
    <row r="24" spans="1:8" ht="30" customHeight="1" x14ac:dyDescent="0.25">
      <c r="A24" s="19" t="s">
        <v>70</v>
      </c>
      <c r="B24" s="19" t="s">
        <v>71</v>
      </c>
      <c r="C24" s="20" t="s">
        <v>86</v>
      </c>
      <c r="D24" s="21" t="s">
        <v>87</v>
      </c>
      <c r="E24" s="17">
        <v>2</v>
      </c>
      <c r="F24" s="28" t="s">
        <v>893</v>
      </c>
      <c r="G24" s="30" t="s">
        <v>996</v>
      </c>
      <c r="H24" s="21"/>
    </row>
    <row r="25" spans="1:8" ht="30" customHeight="1" x14ac:dyDescent="0.25">
      <c r="A25" s="14" t="s">
        <v>70</v>
      </c>
      <c r="B25" s="14" t="s">
        <v>71</v>
      </c>
      <c r="C25" s="15" t="s">
        <v>88</v>
      </c>
      <c r="D25" s="16" t="s">
        <v>89</v>
      </c>
      <c r="E25" s="17">
        <v>2</v>
      </c>
      <c r="F25" s="28" t="s">
        <v>893</v>
      </c>
      <c r="G25" s="29" t="s">
        <v>997</v>
      </c>
      <c r="H25" s="16"/>
    </row>
    <row r="26" spans="1:8" ht="30" customHeight="1" x14ac:dyDescent="0.25">
      <c r="A26" s="19" t="s">
        <v>70</v>
      </c>
      <c r="B26" s="19" t="s">
        <v>71</v>
      </c>
      <c r="C26" s="20" t="s">
        <v>90</v>
      </c>
      <c r="D26" s="21" t="s">
        <v>91</v>
      </c>
      <c r="E26" s="17">
        <v>2</v>
      </c>
      <c r="F26" s="28" t="s">
        <v>1133</v>
      </c>
      <c r="G26" s="30" t="s">
        <v>1136</v>
      </c>
      <c r="H26" s="21"/>
    </row>
    <row r="27" spans="1:8" ht="30" customHeight="1" x14ac:dyDescent="0.25">
      <c r="A27" s="14" t="s">
        <v>70</v>
      </c>
      <c r="B27" s="14" t="s">
        <v>71</v>
      </c>
      <c r="C27" s="15" t="s">
        <v>92</v>
      </c>
      <c r="D27" s="16" t="s">
        <v>93</v>
      </c>
      <c r="E27" s="17">
        <v>2</v>
      </c>
      <c r="F27" s="28" t="s">
        <v>893</v>
      </c>
      <c r="G27" s="29" t="s">
        <v>998</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999</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893</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893</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G11" sqref="G1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1001</v>
      </c>
      <c r="H3" s="16"/>
    </row>
    <row r="4" spans="1:8" ht="45" x14ac:dyDescent="0.25">
      <c r="A4" s="19" t="s">
        <v>112</v>
      </c>
      <c r="B4" s="19" t="s">
        <v>113</v>
      </c>
      <c r="C4" s="20" t="s">
        <v>116</v>
      </c>
      <c r="D4" s="21" t="s">
        <v>117</v>
      </c>
      <c r="E4" s="17">
        <v>2</v>
      </c>
      <c r="F4" s="28" t="s">
        <v>892</v>
      </c>
      <c r="G4" s="30" t="s">
        <v>1002</v>
      </c>
      <c r="H4" s="21"/>
    </row>
    <row r="5" spans="1:8" ht="45" x14ac:dyDescent="0.25">
      <c r="A5" s="14" t="s">
        <v>112</v>
      </c>
      <c r="B5" s="14" t="s">
        <v>113</v>
      </c>
      <c r="C5" s="15" t="s">
        <v>118</v>
      </c>
      <c r="D5" s="16" t="s">
        <v>119</v>
      </c>
      <c r="E5" s="17">
        <v>2</v>
      </c>
      <c r="F5" s="28" t="s">
        <v>892</v>
      </c>
      <c r="G5" s="29" t="s">
        <v>1003</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1133</v>
      </c>
      <c r="G7" s="29" t="s">
        <v>1137</v>
      </c>
      <c r="H7" s="16"/>
    </row>
    <row r="8" spans="1:8" ht="60" x14ac:dyDescent="0.25">
      <c r="A8" s="19" t="s">
        <v>120</v>
      </c>
      <c r="B8" s="19" t="s">
        <v>121</v>
      </c>
      <c r="C8" s="20" t="s">
        <v>124</v>
      </c>
      <c r="D8" s="21" t="s">
        <v>125</v>
      </c>
      <c r="E8" s="22">
        <v>1</v>
      </c>
      <c r="F8" s="28" t="s">
        <v>1133</v>
      </c>
      <c r="G8" s="30" t="s">
        <v>1138</v>
      </c>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75" x14ac:dyDescent="0.25">
      <c r="A11" s="14" t="s">
        <v>128</v>
      </c>
      <c r="B11" s="14" t="s">
        <v>129</v>
      </c>
      <c r="C11" s="15" t="s">
        <v>130</v>
      </c>
      <c r="D11" s="16" t="s">
        <v>131</v>
      </c>
      <c r="E11" s="22">
        <v>1</v>
      </c>
      <c r="F11" s="28" t="s">
        <v>1133</v>
      </c>
      <c r="G11" s="29" t="s">
        <v>1139</v>
      </c>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1004</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29" activePane="bottomLeft" state="frozen"/>
      <selection pane="bottomLeft" activeCell="F36" sqref="F36"/>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81.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1006</v>
      </c>
      <c r="H15" s="16"/>
    </row>
    <row r="16" spans="1:8" ht="104.25" customHeight="1" x14ac:dyDescent="0.25">
      <c r="A16" s="19" t="s">
        <v>170</v>
      </c>
      <c r="B16" s="19" t="s">
        <v>171</v>
      </c>
      <c r="C16" s="20" t="s">
        <v>174</v>
      </c>
      <c r="D16" s="21" t="s">
        <v>175</v>
      </c>
      <c r="E16" s="22">
        <v>1</v>
      </c>
      <c r="F16" s="18" t="s">
        <v>892</v>
      </c>
      <c r="G16" s="26" t="s">
        <v>1007</v>
      </c>
      <c r="H16" s="21"/>
    </row>
    <row r="17" spans="1:8" ht="138" customHeight="1" x14ac:dyDescent="0.25">
      <c r="A17" s="14" t="s">
        <v>170</v>
      </c>
      <c r="B17" s="14" t="s">
        <v>171</v>
      </c>
      <c r="C17" s="15" t="s">
        <v>176</v>
      </c>
      <c r="D17" s="16" t="s">
        <v>177</v>
      </c>
      <c r="E17" s="17">
        <v>2</v>
      </c>
      <c r="F17" s="18" t="s">
        <v>893</v>
      </c>
      <c r="G17" s="25" t="s">
        <v>1008</v>
      </c>
      <c r="H17" s="16"/>
    </row>
    <row r="18" spans="1:8" ht="78" customHeight="1" x14ac:dyDescent="0.25">
      <c r="A18" s="19" t="s">
        <v>170</v>
      </c>
      <c r="B18" s="19" t="s">
        <v>171</v>
      </c>
      <c r="C18" s="20" t="s">
        <v>178</v>
      </c>
      <c r="D18" s="21" t="s">
        <v>179</v>
      </c>
      <c r="E18" s="17">
        <v>2</v>
      </c>
      <c r="F18" s="18" t="s">
        <v>892</v>
      </c>
      <c r="G18" s="26" t="s">
        <v>1009</v>
      </c>
      <c r="H18" s="21"/>
    </row>
    <row r="19" spans="1:8" ht="105" x14ac:dyDescent="0.25">
      <c r="A19" s="14" t="s">
        <v>170</v>
      </c>
      <c r="B19" s="14" t="s">
        <v>171</v>
      </c>
      <c r="C19" s="15" t="s">
        <v>180</v>
      </c>
      <c r="D19" s="16" t="s">
        <v>181</v>
      </c>
      <c r="E19" s="17">
        <v>2</v>
      </c>
      <c r="F19" s="18" t="s">
        <v>893</v>
      </c>
      <c r="G19" s="25" t="s">
        <v>1010</v>
      </c>
      <c r="H19" s="16"/>
    </row>
    <row r="20" spans="1:8" ht="90" x14ac:dyDescent="0.25">
      <c r="A20" s="19" t="s">
        <v>170</v>
      </c>
      <c r="B20" s="19" t="s">
        <v>171</v>
      </c>
      <c r="C20" s="20" t="s">
        <v>182</v>
      </c>
      <c r="D20" s="21" t="s">
        <v>183</v>
      </c>
      <c r="E20" s="17">
        <v>2</v>
      </c>
      <c r="F20" s="18" t="s">
        <v>893</v>
      </c>
      <c r="G20" s="26" t="s">
        <v>1011</v>
      </c>
      <c r="H20" s="21"/>
    </row>
    <row r="21" spans="1:8" ht="72" customHeight="1" x14ac:dyDescent="0.25">
      <c r="A21" s="14" t="s">
        <v>170</v>
      </c>
      <c r="B21" s="14" t="s">
        <v>171</v>
      </c>
      <c r="C21" s="15" t="s">
        <v>184</v>
      </c>
      <c r="D21" s="16" t="s">
        <v>185</v>
      </c>
      <c r="E21" s="23">
        <v>3</v>
      </c>
      <c r="F21" s="18" t="s">
        <v>893</v>
      </c>
      <c r="G21" s="25" t="s">
        <v>1012</v>
      </c>
      <c r="H21" s="16"/>
    </row>
    <row r="22" spans="1:8" ht="90" x14ac:dyDescent="0.25">
      <c r="A22" s="19" t="s">
        <v>170</v>
      </c>
      <c r="B22" s="19" t="s">
        <v>171</v>
      </c>
      <c r="C22" s="20" t="s">
        <v>186</v>
      </c>
      <c r="D22" s="21" t="s">
        <v>187</v>
      </c>
      <c r="E22" s="23">
        <v>3</v>
      </c>
      <c r="F22" s="18" t="s">
        <v>893</v>
      </c>
      <c r="G22" s="26" t="s">
        <v>1013</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1133</v>
      </c>
      <c r="G24" s="25" t="s">
        <v>1014</v>
      </c>
      <c r="H24" s="16"/>
    </row>
    <row r="25" spans="1:8" ht="105" x14ac:dyDescent="0.25">
      <c r="A25" s="19" t="s">
        <v>188</v>
      </c>
      <c r="B25" s="19" t="s">
        <v>189</v>
      </c>
      <c r="C25" s="20" t="s">
        <v>192</v>
      </c>
      <c r="D25" s="21" t="s">
        <v>193</v>
      </c>
      <c r="E25" s="22">
        <v>1</v>
      </c>
      <c r="F25" s="18" t="s">
        <v>1133</v>
      </c>
      <c r="G25" s="26" t="s">
        <v>1015</v>
      </c>
      <c r="H25" s="21"/>
    </row>
    <row r="26" spans="1:8" ht="120" x14ac:dyDescent="0.25">
      <c r="A26" s="14" t="s">
        <v>188</v>
      </c>
      <c r="B26" s="14" t="s">
        <v>189</v>
      </c>
      <c r="C26" s="15" t="s">
        <v>194</v>
      </c>
      <c r="D26" s="16" t="s">
        <v>195</v>
      </c>
      <c r="E26" s="22">
        <v>1</v>
      </c>
      <c r="F26" s="18" t="s">
        <v>1133</v>
      </c>
      <c r="G26" s="25" t="s">
        <v>1016</v>
      </c>
      <c r="H26" s="16"/>
    </row>
    <row r="27" spans="1:8" ht="75" x14ac:dyDescent="0.25">
      <c r="A27" s="19" t="s">
        <v>188</v>
      </c>
      <c r="B27" s="19" t="s">
        <v>189</v>
      </c>
      <c r="C27" s="20" t="s">
        <v>196</v>
      </c>
      <c r="D27" s="21" t="s">
        <v>197</v>
      </c>
      <c r="E27" s="17">
        <v>2</v>
      </c>
      <c r="F27" s="18" t="s">
        <v>893</v>
      </c>
      <c r="G27" s="26" t="s">
        <v>1017</v>
      </c>
      <c r="H27" s="21"/>
    </row>
    <row r="28" spans="1:8" ht="72" customHeight="1" x14ac:dyDescent="0.25">
      <c r="A28" s="14" t="s">
        <v>188</v>
      </c>
      <c r="B28" s="14" t="s">
        <v>189</v>
      </c>
      <c r="C28" s="15" t="s">
        <v>198</v>
      </c>
      <c r="D28" s="16" t="s">
        <v>199</v>
      </c>
      <c r="E28" s="17">
        <v>2</v>
      </c>
      <c r="F28" s="18" t="s">
        <v>893</v>
      </c>
      <c r="G28" s="25" t="s">
        <v>1018</v>
      </c>
      <c r="H28" s="16"/>
    </row>
    <row r="29" spans="1:8" ht="72" customHeight="1" x14ac:dyDescent="0.25">
      <c r="A29" s="19" t="s">
        <v>188</v>
      </c>
      <c r="B29" s="19" t="s">
        <v>189</v>
      </c>
      <c r="C29" s="20" t="s">
        <v>200</v>
      </c>
      <c r="D29" s="21" t="s">
        <v>201</v>
      </c>
      <c r="E29" s="23">
        <v>3</v>
      </c>
      <c r="F29" s="18" t="s">
        <v>893</v>
      </c>
      <c r="G29" s="26" t="s">
        <v>1019</v>
      </c>
      <c r="H29" s="21"/>
    </row>
    <row r="30" spans="1:8" ht="72" customHeight="1" x14ac:dyDescent="0.25">
      <c r="A30" s="14" t="s">
        <v>188</v>
      </c>
      <c r="B30" s="14" t="s">
        <v>189</v>
      </c>
      <c r="C30" s="15" t="s">
        <v>202</v>
      </c>
      <c r="D30" s="16" t="s">
        <v>203</v>
      </c>
      <c r="E30" s="23">
        <v>3</v>
      </c>
      <c r="F30" s="18" t="s">
        <v>893</v>
      </c>
      <c r="G30" s="25" t="s">
        <v>1020</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1005</v>
      </c>
      <c r="H35" s="16"/>
    </row>
    <row r="36" spans="1:8" ht="72" customHeight="1" x14ac:dyDescent="0.25">
      <c r="A36" s="19" t="s">
        <v>210</v>
      </c>
      <c r="B36" s="19" t="s">
        <v>211</v>
      </c>
      <c r="C36" s="20" t="s">
        <v>214</v>
      </c>
      <c r="D36" s="21" t="s">
        <v>215</v>
      </c>
      <c r="E36" s="17">
        <v>2</v>
      </c>
      <c r="F36" s="18" t="s">
        <v>893</v>
      </c>
      <c r="G36" s="26"/>
      <c r="H36" s="21"/>
    </row>
    <row r="37" spans="1:8" ht="72" customHeight="1" x14ac:dyDescent="0.25">
      <c r="A37" s="14" t="s">
        <v>210</v>
      </c>
      <c r="B37" s="14" t="s">
        <v>211</v>
      </c>
      <c r="C37" s="15" t="s">
        <v>216</v>
      </c>
      <c r="D37" s="16" t="s">
        <v>217</v>
      </c>
      <c r="E37" s="23">
        <v>3</v>
      </c>
      <c r="F37" s="18" t="s">
        <v>893</v>
      </c>
      <c r="G37" t="s">
        <v>933</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1133</v>
      </c>
      <c r="G3" s="16" t="s">
        <v>1022</v>
      </c>
      <c r="H3" s="16"/>
    </row>
    <row r="4" spans="1:8" ht="105" x14ac:dyDescent="0.25">
      <c r="A4" s="19" t="s">
        <v>222</v>
      </c>
      <c r="B4" s="19" t="s">
        <v>223</v>
      </c>
      <c r="C4" s="20" t="s">
        <v>226</v>
      </c>
      <c r="D4" s="21" t="s">
        <v>227</v>
      </c>
      <c r="E4" s="17">
        <v>2</v>
      </c>
      <c r="F4" s="18" t="s">
        <v>892</v>
      </c>
      <c r="G4" s="21" t="s">
        <v>1021</v>
      </c>
      <c r="H4" s="21"/>
    </row>
    <row r="5" spans="1:8" ht="75" x14ac:dyDescent="0.25">
      <c r="A5" s="14" t="s">
        <v>222</v>
      </c>
      <c r="B5" s="14" t="s">
        <v>223</v>
      </c>
      <c r="C5" s="15" t="s">
        <v>228</v>
      </c>
      <c r="D5" s="16" t="s">
        <v>229</v>
      </c>
      <c r="E5" s="17">
        <v>2</v>
      </c>
      <c r="F5" s="18" t="s">
        <v>892</v>
      </c>
      <c r="G5" s="16" t="s">
        <v>1023</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1133</v>
      </c>
      <c r="G9" s="16" t="s">
        <v>910</v>
      </c>
      <c r="H9" s="16"/>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F5" sqref="F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932</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1133</v>
      </c>
      <c r="G5" s="16" t="s">
        <v>928</v>
      </c>
      <c r="H5" s="16"/>
    </row>
    <row r="6" spans="1:8" ht="150" x14ac:dyDescent="0.25">
      <c r="A6" s="19" t="s">
        <v>266</v>
      </c>
      <c r="B6" s="19" t="s">
        <v>267</v>
      </c>
      <c r="C6" s="20" t="s">
        <v>270</v>
      </c>
      <c r="D6" s="21" t="s">
        <v>271</v>
      </c>
      <c r="E6" s="22">
        <v>1</v>
      </c>
      <c r="F6" s="18" t="s">
        <v>892</v>
      </c>
      <c r="G6" s="21" t="s">
        <v>929</v>
      </c>
      <c r="H6" s="21"/>
    </row>
    <row r="7" spans="1:8" ht="45" x14ac:dyDescent="0.25">
      <c r="A7" s="14" t="s">
        <v>266</v>
      </c>
      <c r="B7" s="14" t="s">
        <v>267</v>
      </c>
      <c r="C7" s="15" t="s">
        <v>272</v>
      </c>
      <c r="D7" s="16" t="s">
        <v>273</v>
      </c>
      <c r="E7" s="17">
        <v>2</v>
      </c>
      <c r="F7" s="18" t="s">
        <v>893</v>
      </c>
      <c r="G7" s="16" t="s">
        <v>931</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930</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927</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39" activePane="bottomLeft" state="frozen"/>
      <selection pane="bottomLeft" activeCell="F54" sqref="F5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1041</v>
      </c>
      <c r="H3" s="16"/>
    </row>
    <row r="4" spans="1:8" ht="75" x14ac:dyDescent="0.25">
      <c r="A4" s="19" t="s">
        <v>296</v>
      </c>
      <c r="B4" s="19" t="s">
        <v>297</v>
      </c>
      <c r="C4" s="20" t="s">
        <v>300</v>
      </c>
      <c r="D4" s="21" t="s">
        <v>301</v>
      </c>
      <c r="E4" s="17">
        <v>2</v>
      </c>
      <c r="F4" s="18" t="s">
        <v>892</v>
      </c>
      <c r="G4" s="21" t="s">
        <v>1040</v>
      </c>
      <c r="H4" s="21"/>
    </row>
    <row r="5" spans="1:8" ht="120" x14ac:dyDescent="0.25">
      <c r="A5" s="14" t="s">
        <v>296</v>
      </c>
      <c r="B5" s="14" t="s">
        <v>297</v>
      </c>
      <c r="C5" s="15" t="s">
        <v>302</v>
      </c>
      <c r="D5" s="16" t="s">
        <v>303</v>
      </c>
      <c r="E5" s="17">
        <v>2</v>
      </c>
      <c r="F5" s="18" t="s">
        <v>892</v>
      </c>
      <c r="G5" s="16" t="s">
        <v>1037</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1038</v>
      </c>
      <c r="H7" s="16"/>
    </row>
    <row r="8" spans="1:8" ht="60" x14ac:dyDescent="0.25">
      <c r="A8" s="19" t="s">
        <v>304</v>
      </c>
      <c r="B8" s="19" t="s">
        <v>305</v>
      </c>
      <c r="C8" s="20" t="s">
        <v>308</v>
      </c>
      <c r="D8" s="21" t="s">
        <v>309</v>
      </c>
      <c r="E8" s="22">
        <v>1</v>
      </c>
      <c r="F8" s="18" t="s">
        <v>892</v>
      </c>
      <c r="G8" s="21" t="s">
        <v>1039</v>
      </c>
      <c r="H8" s="21"/>
    </row>
    <row r="9" spans="1:8" ht="60" x14ac:dyDescent="0.25">
      <c r="A9" s="14" t="s">
        <v>304</v>
      </c>
      <c r="B9" s="14" t="s">
        <v>305</v>
      </c>
      <c r="C9" s="15" t="s">
        <v>310</v>
      </c>
      <c r="D9" s="16" t="s">
        <v>311</v>
      </c>
      <c r="E9" s="22">
        <v>1</v>
      </c>
      <c r="F9" s="18" t="s">
        <v>892</v>
      </c>
      <c r="G9" s="16" t="s">
        <v>1042</v>
      </c>
      <c r="H9" s="16"/>
    </row>
    <row r="10" spans="1:8" ht="105" x14ac:dyDescent="0.25">
      <c r="A10" s="19" t="s">
        <v>304</v>
      </c>
      <c r="B10" s="19" t="s">
        <v>305</v>
      </c>
      <c r="C10" s="20" t="s">
        <v>312</v>
      </c>
      <c r="D10" s="21" t="s">
        <v>313</v>
      </c>
      <c r="E10" s="22">
        <v>1</v>
      </c>
      <c r="F10" s="18" t="s">
        <v>892</v>
      </c>
      <c r="G10" s="21" t="s">
        <v>1043</v>
      </c>
      <c r="H10" s="21"/>
    </row>
    <row r="11" spans="1:8" ht="90" x14ac:dyDescent="0.25">
      <c r="A11" s="14" t="s">
        <v>304</v>
      </c>
      <c r="B11" s="14" t="s">
        <v>305</v>
      </c>
      <c r="C11" s="15" t="s">
        <v>314</v>
      </c>
      <c r="D11" s="16" t="s">
        <v>315</v>
      </c>
      <c r="E11" s="22">
        <v>1</v>
      </c>
      <c r="F11" s="18" t="s">
        <v>892</v>
      </c>
      <c r="G11" s="16" t="s">
        <v>1044</v>
      </c>
      <c r="H11" s="16"/>
    </row>
    <row r="12" spans="1:8" ht="60" x14ac:dyDescent="0.25">
      <c r="A12" s="19" t="s">
        <v>304</v>
      </c>
      <c r="B12" s="19" t="s">
        <v>305</v>
      </c>
      <c r="C12" s="20" t="s">
        <v>316</v>
      </c>
      <c r="D12" s="21" t="s">
        <v>317</v>
      </c>
      <c r="E12" s="22">
        <v>1</v>
      </c>
      <c r="F12" s="18" t="s">
        <v>893</v>
      </c>
      <c r="G12" s="21" t="s">
        <v>1045</v>
      </c>
      <c r="H12" s="21"/>
    </row>
    <row r="13" spans="1:8" ht="60" x14ac:dyDescent="0.25">
      <c r="A13" s="14" t="s">
        <v>304</v>
      </c>
      <c r="B13" s="14" t="s">
        <v>305</v>
      </c>
      <c r="C13" s="15" t="s">
        <v>318</v>
      </c>
      <c r="D13" s="16" t="s">
        <v>319</v>
      </c>
      <c r="E13" s="22">
        <v>1</v>
      </c>
      <c r="F13" s="18" t="s">
        <v>893</v>
      </c>
      <c r="G13" s="16" t="s">
        <v>1046</v>
      </c>
      <c r="H13" s="16"/>
    </row>
    <row r="14" spans="1:8" ht="75" x14ac:dyDescent="0.25">
      <c r="A14" s="19" t="s">
        <v>304</v>
      </c>
      <c r="B14" s="19" t="s">
        <v>305</v>
      </c>
      <c r="C14" s="20" t="s">
        <v>320</v>
      </c>
      <c r="D14" s="21" t="s">
        <v>321</v>
      </c>
      <c r="E14" s="22">
        <v>1</v>
      </c>
      <c r="F14" s="18" t="s">
        <v>1133</v>
      </c>
      <c r="G14" s="21" t="s">
        <v>1047</v>
      </c>
      <c r="H14" s="21"/>
    </row>
    <row r="15" spans="1:8" ht="60" x14ac:dyDescent="0.25">
      <c r="A15" s="14" t="s">
        <v>304</v>
      </c>
      <c r="B15" s="14" t="s">
        <v>305</v>
      </c>
      <c r="C15" s="15" t="s">
        <v>322</v>
      </c>
      <c r="D15" s="16" t="s">
        <v>323</v>
      </c>
      <c r="E15" s="17">
        <v>2</v>
      </c>
      <c r="F15" s="18" t="s">
        <v>892</v>
      </c>
      <c r="G15" s="16" t="s">
        <v>1048</v>
      </c>
      <c r="H15" s="16"/>
    </row>
    <row r="16" spans="1:8" ht="60" x14ac:dyDescent="0.25">
      <c r="A16" s="19" t="s">
        <v>304</v>
      </c>
      <c r="B16" s="19" t="s">
        <v>305</v>
      </c>
      <c r="C16" s="20" t="s">
        <v>324</v>
      </c>
      <c r="D16" s="21" t="s">
        <v>325</v>
      </c>
      <c r="E16" s="17">
        <v>2</v>
      </c>
      <c r="F16" s="18" t="s">
        <v>892</v>
      </c>
      <c r="G16" s="21" t="s">
        <v>1049</v>
      </c>
      <c r="H16" s="21"/>
    </row>
    <row r="17" spans="1:8" ht="90" x14ac:dyDescent="0.25">
      <c r="A17" s="14" t="s">
        <v>304</v>
      </c>
      <c r="B17" s="14" t="s">
        <v>305</v>
      </c>
      <c r="C17" s="15" t="s">
        <v>326</v>
      </c>
      <c r="D17" s="16" t="s">
        <v>327</v>
      </c>
      <c r="E17" s="17">
        <v>2</v>
      </c>
      <c r="F17" s="18" t="s">
        <v>892</v>
      </c>
      <c r="G17" s="16" t="s">
        <v>1051</v>
      </c>
      <c r="H17" s="16"/>
    </row>
    <row r="18" spans="1:8" ht="105" x14ac:dyDescent="0.25">
      <c r="A18" s="19" t="s">
        <v>304</v>
      </c>
      <c r="B18" s="19" t="s">
        <v>305</v>
      </c>
      <c r="C18" s="20" t="s">
        <v>328</v>
      </c>
      <c r="D18" s="21" t="s">
        <v>329</v>
      </c>
      <c r="E18" s="17">
        <v>2</v>
      </c>
      <c r="F18" s="18" t="s">
        <v>892</v>
      </c>
      <c r="G18" s="21" t="s">
        <v>1050</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1133</v>
      </c>
      <c r="G20" s="16" t="s">
        <v>1052</v>
      </c>
      <c r="H20" s="16"/>
    </row>
    <row r="21" spans="1:8" ht="105" x14ac:dyDescent="0.25">
      <c r="A21" s="19" t="s">
        <v>330</v>
      </c>
      <c r="B21" s="19" t="s">
        <v>331</v>
      </c>
      <c r="C21" s="20" t="s">
        <v>334</v>
      </c>
      <c r="D21" s="21" t="s">
        <v>335</v>
      </c>
      <c r="E21" s="22">
        <v>1</v>
      </c>
      <c r="F21" s="18" t="s">
        <v>1133</v>
      </c>
      <c r="G21" s="21" t="s">
        <v>1053</v>
      </c>
      <c r="H21" s="21"/>
    </row>
    <row r="22" spans="1:8" ht="165" x14ac:dyDescent="0.25">
      <c r="A22" s="14" t="s">
        <v>330</v>
      </c>
      <c r="B22" s="14" t="s">
        <v>331</v>
      </c>
      <c r="C22" s="15" t="s">
        <v>336</v>
      </c>
      <c r="D22" s="16" t="s">
        <v>337</v>
      </c>
      <c r="E22" s="17">
        <v>2</v>
      </c>
      <c r="F22" s="18" t="s">
        <v>892</v>
      </c>
      <c r="G22" s="16" t="s">
        <v>1054</v>
      </c>
      <c r="H22" s="16"/>
    </row>
    <row r="23" spans="1:8" ht="75" x14ac:dyDescent="0.25">
      <c r="A23" s="19" t="s">
        <v>330</v>
      </c>
      <c r="B23" s="19" t="s">
        <v>331</v>
      </c>
      <c r="C23" s="20" t="s">
        <v>338</v>
      </c>
      <c r="D23" s="21" t="s">
        <v>339</v>
      </c>
      <c r="E23" s="17">
        <v>2</v>
      </c>
      <c r="F23" s="18" t="s">
        <v>892</v>
      </c>
      <c r="G23" s="21" t="s">
        <v>1055</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1056</v>
      </c>
      <c r="H29" s="16"/>
    </row>
    <row r="30" spans="1:8" ht="90" x14ac:dyDescent="0.25">
      <c r="A30" s="19" t="s">
        <v>348</v>
      </c>
      <c r="B30" s="19" t="s">
        <v>349</v>
      </c>
      <c r="C30" s="20" t="s">
        <v>352</v>
      </c>
      <c r="D30" s="21" t="s">
        <v>353</v>
      </c>
      <c r="E30" s="22">
        <v>1</v>
      </c>
      <c r="F30" s="18" t="s">
        <v>1133</v>
      </c>
      <c r="G30" s="21" t="s">
        <v>1057</v>
      </c>
      <c r="H30" s="21"/>
    </row>
    <row r="31" spans="1:8" ht="90" x14ac:dyDescent="0.25">
      <c r="A31" s="14" t="s">
        <v>348</v>
      </c>
      <c r="B31" s="14" t="s">
        <v>349</v>
      </c>
      <c r="C31" s="15" t="s">
        <v>354</v>
      </c>
      <c r="D31" s="16" t="s">
        <v>355</v>
      </c>
      <c r="E31" s="17">
        <v>2</v>
      </c>
      <c r="F31" s="18" t="s">
        <v>892</v>
      </c>
      <c r="G31" s="16" t="s">
        <v>1058</v>
      </c>
      <c r="H31" s="16"/>
    </row>
    <row r="32" spans="1:8" ht="60" x14ac:dyDescent="0.25">
      <c r="A32" s="19" t="s">
        <v>348</v>
      </c>
      <c r="B32" s="19" t="s">
        <v>349</v>
      </c>
      <c r="C32" s="20" t="s">
        <v>356</v>
      </c>
      <c r="D32" s="21" t="s">
        <v>357</v>
      </c>
      <c r="E32" s="17">
        <v>2</v>
      </c>
      <c r="F32" s="18" t="s">
        <v>892</v>
      </c>
      <c r="G32" s="21" t="s">
        <v>1059</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1063</v>
      </c>
      <c r="H36" s="16"/>
    </row>
    <row r="37" spans="1:8" ht="90" x14ac:dyDescent="0.25">
      <c r="A37" s="19" t="s">
        <v>362</v>
      </c>
      <c r="B37" s="19" t="s">
        <v>363</v>
      </c>
      <c r="C37" s="20" t="s">
        <v>366</v>
      </c>
      <c r="D37" s="21" t="s">
        <v>367</v>
      </c>
      <c r="E37" s="17">
        <v>2</v>
      </c>
      <c r="F37" s="18" t="s">
        <v>892</v>
      </c>
      <c r="G37" s="21" t="s">
        <v>1060</v>
      </c>
      <c r="H37" s="21"/>
    </row>
    <row r="38" spans="1:8" ht="105" x14ac:dyDescent="0.25">
      <c r="A38" s="14" t="s">
        <v>362</v>
      </c>
      <c r="B38" s="14" t="s">
        <v>363</v>
      </c>
      <c r="C38" s="15" t="s">
        <v>368</v>
      </c>
      <c r="D38" s="16" t="s">
        <v>369</v>
      </c>
      <c r="E38" s="17">
        <v>2</v>
      </c>
      <c r="F38" s="18" t="s">
        <v>892</v>
      </c>
      <c r="G38" s="16" t="s">
        <v>1061</v>
      </c>
      <c r="H38" s="16"/>
    </row>
    <row r="39" spans="1:8" ht="105" x14ac:dyDescent="0.25">
      <c r="A39" s="19" t="s">
        <v>362</v>
      </c>
      <c r="B39" s="19" t="s">
        <v>363</v>
      </c>
      <c r="C39" s="20" t="s">
        <v>370</v>
      </c>
      <c r="D39" s="21" t="s">
        <v>371</v>
      </c>
      <c r="E39" s="17">
        <v>2</v>
      </c>
      <c r="F39" s="18" t="s">
        <v>892</v>
      </c>
      <c r="G39" s="21" t="s">
        <v>1066</v>
      </c>
      <c r="H39" s="21"/>
    </row>
    <row r="40" spans="1:8" ht="75" x14ac:dyDescent="0.25">
      <c r="A40" s="14" t="s">
        <v>362</v>
      </c>
      <c r="B40" s="14" t="s">
        <v>363</v>
      </c>
      <c r="C40" s="15" t="s">
        <v>372</v>
      </c>
      <c r="D40" s="16" t="s">
        <v>373</v>
      </c>
      <c r="E40" s="17">
        <v>2</v>
      </c>
      <c r="F40" s="18" t="s">
        <v>892</v>
      </c>
      <c r="G40" s="16" t="s">
        <v>1062</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1064</v>
      </c>
      <c r="H45" s="16"/>
    </row>
    <row r="46" spans="1:8" ht="30" customHeight="1" x14ac:dyDescent="0.25">
      <c r="A46" s="19" t="s">
        <v>380</v>
      </c>
      <c r="B46" s="19" t="s">
        <v>381</v>
      </c>
      <c r="C46" s="20" t="s">
        <v>384</v>
      </c>
      <c r="D46" s="21" t="s">
        <v>385</v>
      </c>
      <c r="E46" s="17">
        <v>2</v>
      </c>
      <c r="F46" s="18" t="s">
        <v>892</v>
      </c>
      <c r="G46" s="21" t="s">
        <v>1065</v>
      </c>
      <c r="H46" s="21"/>
    </row>
    <row r="47" spans="1:8" ht="72" customHeight="1" x14ac:dyDescent="0.25">
      <c r="A47" s="14" t="s">
        <v>380</v>
      </c>
      <c r="B47" s="14" t="s">
        <v>381</v>
      </c>
      <c r="C47" s="15" t="s">
        <v>386</v>
      </c>
      <c r="D47" s="16" t="s">
        <v>387</v>
      </c>
      <c r="E47" s="17">
        <v>2</v>
      </c>
      <c r="F47" s="18" t="s">
        <v>892</v>
      </c>
      <c r="G47" s="16" t="s">
        <v>1067</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1068</v>
      </c>
      <c r="H53" s="16"/>
    </row>
    <row r="54" spans="1:8" ht="90" x14ac:dyDescent="0.25">
      <c r="A54" s="19" t="s">
        <v>396</v>
      </c>
      <c r="B54" s="19" t="s">
        <v>397</v>
      </c>
      <c r="C54" s="20" t="s">
        <v>400</v>
      </c>
      <c r="D54" s="21" t="s">
        <v>401</v>
      </c>
      <c r="E54" s="17">
        <v>2</v>
      </c>
      <c r="F54" s="18" t="s">
        <v>1133</v>
      </c>
      <c r="G54" s="21" t="s">
        <v>1069</v>
      </c>
      <c r="H54" s="21"/>
    </row>
    <row r="55" spans="1:8" ht="75" x14ac:dyDescent="0.25">
      <c r="A55" s="14" t="s">
        <v>396</v>
      </c>
      <c r="B55" s="14" t="s">
        <v>397</v>
      </c>
      <c r="C55" s="15" t="s">
        <v>402</v>
      </c>
      <c r="D55" s="16" t="s">
        <v>403</v>
      </c>
      <c r="E55" s="17">
        <v>2</v>
      </c>
      <c r="F55" s="18" t="s">
        <v>892</v>
      </c>
      <c r="G55" s="16" t="s">
        <v>1070</v>
      </c>
      <c r="H55" s="16"/>
    </row>
    <row r="56" spans="1:8" ht="150" x14ac:dyDescent="0.25">
      <c r="A56" s="19" t="s">
        <v>396</v>
      </c>
      <c r="B56" s="19" t="s">
        <v>397</v>
      </c>
      <c r="C56" s="20" t="s">
        <v>404</v>
      </c>
      <c r="D56" s="21" t="s">
        <v>405</v>
      </c>
      <c r="E56" s="17">
        <v>2</v>
      </c>
      <c r="F56" s="18" t="s">
        <v>893</v>
      </c>
      <c r="G56" s="21" t="s">
        <v>1071</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13"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1024</v>
      </c>
      <c r="H3" s="16"/>
    </row>
    <row r="4" spans="1:8" ht="30" customHeight="1" x14ac:dyDescent="0.25">
      <c r="A4" s="19" t="s">
        <v>406</v>
      </c>
      <c r="B4" s="19" t="s">
        <v>407</v>
      </c>
      <c r="C4" s="20" t="s">
        <v>410</v>
      </c>
      <c r="D4" s="21" t="s">
        <v>411</v>
      </c>
      <c r="E4" s="17">
        <v>2</v>
      </c>
      <c r="F4" s="18" t="s">
        <v>892</v>
      </c>
      <c r="G4" s="21" t="s">
        <v>1025</v>
      </c>
      <c r="H4" s="21"/>
    </row>
    <row r="5" spans="1:8" ht="30" customHeight="1" x14ac:dyDescent="0.25">
      <c r="A5" s="14" t="s">
        <v>406</v>
      </c>
      <c r="B5" s="14" t="s">
        <v>407</v>
      </c>
      <c r="C5" s="15" t="s">
        <v>412</v>
      </c>
      <c r="D5" s="16" t="s">
        <v>413</v>
      </c>
      <c r="E5" s="17">
        <v>2</v>
      </c>
      <c r="F5" s="18" t="s">
        <v>892</v>
      </c>
      <c r="G5" s="16" t="s">
        <v>1026</v>
      </c>
      <c r="H5" s="16"/>
    </row>
    <row r="6" spans="1:8" ht="18" customHeight="1" x14ac:dyDescent="0.25">
      <c r="A6" s="13" t="s">
        <v>414</v>
      </c>
      <c r="B6" s="13" t="s">
        <v>415</v>
      </c>
      <c r="C6" s="13"/>
      <c r="D6" s="13"/>
      <c r="E6" s="13"/>
      <c r="F6" s="13"/>
      <c r="G6" s="13"/>
      <c r="H6" s="13"/>
    </row>
    <row r="7" spans="1:8" ht="90" x14ac:dyDescent="0.25">
      <c r="A7" s="14" t="s">
        <v>414</v>
      </c>
      <c r="B7" s="14" t="s">
        <v>415</v>
      </c>
      <c r="C7" s="15" t="s">
        <v>416</v>
      </c>
      <c r="D7" s="16" t="s">
        <v>417</v>
      </c>
      <c r="E7" s="22">
        <v>1</v>
      </c>
      <c r="F7" s="18" t="s">
        <v>1133</v>
      </c>
      <c r="G7" s="16" t="s">
        <v>1140</v>
      </c>
      <c r="H7" s="16"/>
    </row>
    <row r="8" spans="1:8" ht="120" x14ac:dyDescent="0.25">
      <c r="A8" s="19" t="s">
        <v>414</v>
      </c>
      <c r="B8" s="19" t="s">
        <v>415</v>
      </c>
      <c r="C8" s="20" t="s">
        <v>418</v>
      </c>
      <c r="D8" s="21" t="s">
        <v>419</v>
      </c>
      <c r="E8" s="22">
        <v>1</v>
      </c>
      <c r="F8" s="18" t="s">
        <v>1133</v>
      </c>
      <c r="G8" s="21" t="s">
        <v>1141</v>
      </c>
      <c r="H8" s="21"/>
    </row>
    <row r="9" spans="1:8" ht="30" customHeight="1" x14ac:dyDescent="0.25">
      <c r="A9" s="14" t="s">
        <v>414</v>
      </c>
      <c r="B9" s="14" t="s">
        <v>415</v>
      </c>
      <c r="C9" s="15" t="s">
        <v>420</v>
      </c>
      <c r="D9" s="16" t="s">
        <v>421</v>
      </c>
      <c r="E9" s="22">
        <v>1</v>
      </c>
      <c r="F9" s="18" t="s">
        <v>893</v>
      </c>
      <c r="G9" s="16"/>
      <c r="H9" s="16"/>
    </row>
    <row r="10" spans="1:8" ht="105" x14ac:dyDescent="0.25">
      <c r="A10" s="19" t="s">
        <v>414</v>
      </c>
      <c r="B10" s="19" t="s">
        <v>415</v>
      </c>
      <c r="C10" s="20" t="s">
        <v>422</v>
      </c>
      <c r="D10" s="21" t="s">
        <v>423</v>
      </c>
      <c r="E10" s="22">
        <v>1</v>
      </c>
      <c r="F10" s="18" t="s">
        <v>1133</v>
      </c>
      <c r="G10" s="21" t="s">
        <v>1142</v>
      </c>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120" x14ac:dyDescent="0.25">
      <c r="A15" s="14" t="s">
        <v>430</v>
      </c>
      <c r="B15" s="14" t="s">
        <v>431</v>
      </c>
      <c r="C15" s="15" t="s">
        <v>432</v>
      </c>
      <c r="D15" s="16" t="s">
        <v>433</v>
      </c>
      <c r="E15" s="22">
        <v>1</v>
      </c>
      <c r="F15" s="18" t="s">
        <v>1133</v>
      </c>
      <c r="G15" s="16" t="s">
        <v>1143</v>
      </c>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893</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105" x14ac:dyDescent="0.25">
      <c r="A26" s="19" t="s">
        <v>450</v>
      </c>
      <c r="B26" s="19" t="s">
        <v>451</v>
      </c>
      <c r="C26" s="20" t="s">
        <v>454</v>
      </c>
      <c r="D26" s="21" t="s">
        <v>455</v>
      </c>
      <c r="E26" s="17">
        <v>2</v>
      </c>
      <c r="F26" s="18" t="s">
        <v>1133</v>
      </c>
      <c r="G26" s="21" t="s">
        <v>1144</v>
      </c>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G13" sqref="G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1027</v>
      </c>
      <c r="H3" s="16"/>
    </row>
    <row r="4" spans="1:8" ht="30" customHeight="1" x14ac:dyDescent="0.25">
      <c r="A4" s="19" t="s">
        <v>456</v>
      </c>
      <c r="B4" s="19" t="s">
        <v>457</v>
      </c>
      <c r="C4" s="20" t="s">
        <v>460</v>
      </c>
      <c r="D4" s="21" t="s">
        <v>461</v>
      </c>
      <c r="E4" s="17">
        <v>2</v>
      </c>
      <c r="F4" s="18" t="s">
        <v>892</v>
      </c>
      <c r="G4" s="21" t="s">
        <v>1028</v>
      </c>
      <c r="H4" s="21"/>
    </row>
    <row r="5" spans="1:8" ht="30" customHeight="1" x14ac:dyDescent="0.25">
      <c r="A5" s="14" t="s">
        <v>456</v>
      </c>
      <c r="B5" s="14" t="s">
        <v>457</v>
      </c>
      <c r="C5" s="15" t="s">
        <v>462</v>
      </c>
      <c r="D5" s="16" t="s">
        <v>463</v>
      </c>
      <c r="E5" s="23">
        <v>3</v>
      </c>
      <c r="F5" s="18" t="s">
        <v>893</v>
      </c>
      <c r="G5" s="16" t="s">
        <v>1029</v>
      </c>
      <c r="H5" s="16"/>
    </row>
    <row r="6" spans="1:8" ht="90" x14ac:dyDescent="0.25">
      <c r="A6" s="19" t="s">
        <v>456</v>
      </c>
      <c r="B6" s="19" t="s">
        <v>457</v>
      </c>
      <c r="C6" s="20" t="s">
        <v>464</v>
      </c>
      <c r="D6" s="21" t="s">
        <v>465</v>
      </c>
      <c r="E6" s="23">
        <v>3</v>
      </c>
      <c r="F6" s="18" t="s">
        <v>893</v>
      </c>
      <c r="G6" s="21" t="s">
        <v>1030</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1133</v>
      </c>
      <c r="G8" s="16" t="s">
        <v>1031</v>
      </c>
      <c r="H8" s="16"/>
    </row>
    <row r="9" spans="1:8" ht="30" customHeight="1" x14ac:dyDescent="0.25">
      <c r="A9" s="19" t="s">
        <v>466</v>
      </c>
      <c r="B9" s="19" t="s">
        <v>467</v>
      </c>
      <c r="C9" s="20" t="s">
        <v>470</v>
      </c>
      <c r="D9" s="21" t="s">
        <v>471</v>
      </c>
      <c r="E9" s="22">
        <v>1</v>
      </c>
      <c r="F9" s="18" t="s">
        <v>1133</v>
      </c>
      <c r="G9" s="21" t="s">
        <v>1032</v>
      </c>
      <c r="H9" s="21"/>
    </row>
    <row r="10" spans="1:8" ht="30" customHeight="1" x14ac:dyDescent="0.25">
      <c r="A10" s="14" t="s">
        <v>466</v>
      </c>
      <c r="B10" s="14" t="s">
        <v>467</v>
      </c>
      <c r="C10" s="15" t="s">
        <v>472</v>
      </c>
      <c r="D10" s="16" t="s">
        <v>473</v>
      </c>
      <c r="E10" s="17">
        <v>2</v>
      </c>
      <c r="F10" s="18" t="s">
        <v>1133</v>
      </c>
      <c r="G10" s="16" t="s">
        <v>1033</v>
      </c>
      <c r="H10" s="16"/>
    </row>
    <row r="11" spans="1:8" ht="105" x14ac:dyDescent="0.25">
      <c r="A11" s="19" t="s">
        <v>466</v>
      </c>
      <c r="B11" s="19" t="s">
        <v>467</v>
      </c>
      <c r="C11" s="20" t="s">
        <v>474</v>
      </c>
      <c r="D11" s="21" t="s">
        <v>475</v>
      </c>
      <c r="E11" s="23">
        <v>3</v>
      </c>
      <c r="F11" s="18" t="s">
        <v>893</v>
      </c>
      <c r="G11" s="21" t="s">
        <v>1034</v>
      </c>
      <c r="H11" s="21"/>
    </row>
    <row r="12" spans="1:8" ht="18" customHeight="1" x14ac:dyDescent="0.25">
      <c r="A12" s="13" t="s">
        <v>476</v>
      </c>
      <c r="B12" s="13" t="s">
        <v>477</v>
      </c>
      <c r="C12" s="13"/>
      <c r="D12" s="13"/>
      <c r="E12" s="13"/>
      <c r="F12" s="13"/>
      <c r="G12" s="13"/>
      <c r="H12" s="13"/>
    </row>
    <row r="13" spans="1:8" ht="60" x14ac:dyDescent="0.25">
      <c r="A13" s="14" t="s">
        <v>476</v>
      </c>
      <c r="B13" s="14" t="s">
        <v>477</v>
      </c>
      <c r="C13" s="15" t="s">
        <v>478</v>
      </c>
      <c r="D13" s="16" t="s">
        <v>479</v>
      </c>
      <c r="E13" s="22">
        <v>1</v>
      </c>
      <c r="F13" s="18" t="s">
        <v>1133</v>
      </c>
      <c r="G13" s="16" t="s">
        <v>1145</v>
      </c>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1035</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1036</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F7" sqref="F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1133</v>
      </c>
      <c r="G3" s="16" t="s">
        <v>920</v>
      </c>
      <c r="H3" s="16"/>
    </row>
    <row r="4" spans="1:8" ht="105" x14ac:dyDescent="0.25">
      <c r="A4" s="19" t="s">
        <v>490</v>
      </c>
      <c r="B4" s="19" t="s">
        <v>491</v>
      </c>
      <c r="C4" s="20" t="s">
        <v>494</v>
      </c>
      <c r="D4" s="21" t="s">
        <v>495</v>
      </c>
      <c r="E4" s="22">
        <v>1</v>
      </c>
      <c r="F4" s="18" t="s">
        <v>1133</v>
      </c>
      <c r="G4" s="21" t="s">
        <v>921</v>
      </c>
      <c r="H4" s="21"/>
    </row>
    <row r="5" spans="1:8" ht="105" x14ac:dyDescent="0.25">
      <c r="A5" s="14" t="s">
        <v>490</v>
      </c>
      <c r="B5" s="14" t="s">
        <v>491</v>
      </c>
      <c r="C5" s="15" t="s">
        <v>496</v>
      </c>
      <c r="D5" s="16" t="s">
        <v>497</v>
      </c>
      <c r="E5" s="22">
        <v>1</v>
      </c>
      <c r="F5" s="18" t="s">
        <v>1133</v>
      </c>
      <c r="G5" s="16" t="s">
        <v>924</v>
      </c>
      <c r="H5" s="16"/>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1133</v>
      </c>
      <c r="G7" s="16" t="s">
        <v>925</v>
      </c>
      <c r="H7" s="16"/>
    </row>
    <row r="8" spans="1:8" ht="75" x14ac:dyDescent="0.25">
      <c r="A8" s="19" t="s">
        <v>498</v>
      </c>
      <c r="B8" s="19" t="s">
        <v>499</v>
      </c>
      <c r="C8" s="20" t="s">
        <v>502</v>
      </c>
      <c r="D8" s="21" t="s">
        <v>503</v>
      </c>
      <c r="E8" s="17">
        <v>2</v>
      </c>
      <c r="F8" s="18" t="s">
        <v>892</v>
      </c>
      <c r="G8" s="21" t="s">
        <v>926</v>
      </c>
      <c r="H8" s="21"/>
    </row>
    <row r="9" spans="1:8" ht="75" x14ac:dyDescent="0.25">
      <c r="A9" s="14" t="s">
        <v>498</v>
      </c>
      <c r="B9" s="14" t="s">
        <v>499</v>
      </c>
      <c r="C9" s="15" t="s">
        <v>504</v>
      </c>
      <c r="D9" s="16" t="s">
        <v>505</v>
      </c>
      <c r="E9" s="17">
        <v>2</v>
      </c>
      <c r="F9" s="18" t="s">
        <v>892</v>
      </c>
      <c r="G9" s="16" t="s">
        <v>923</v>
      </c>
      <c r="H9" s="16"/>
    </row>
    <row r="10" spans="1:8" ht="120" x14ac:dyDescent="0.25">
      <c r="A10" s="19" t="s">
        <v>498</v>
      </c>
      <c r="B10" s="19" t="s">
        <v>499</v>
      </c>
      <c r="C10" s="20" t="s">
        <v>506</v>
      </c>
      <c r="D10" s="21" t="s">
        <v>507</v>
      </c>
      <c r="E10" s="17">
        <v>2</v>
      </c>
      <c r="F10" s="18" t="s">
        <v>892</v>
      </c>
      <c r="G10" s="21" t="s">
        <v>922</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Normal="100" workbookViewId="0">
      <pane ySplit="1" topLeftCell="A34" activePane="bottomLeft" state="frozen"/>
      <selection pane="bottomLeft" activeCell="F12" sqref="F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75" x14ac:dyDescent="0.25">
      <c r="A3" s="14" t="s">
        <v>508</v>
      </c>
      <c r="B3" s="14" t="s">
        <v>509</v>
      </c>
      <c r="C3" s="15" t="s">
        <v>510</v>
      </c>
      <c r="D3" s="16" t="s">
        <v>511</v>
      </c>
      <c r="E3" s="17">
        <v>2</v>
      </c>
      <c r="F3" s="18" t="s">
        <v>1133</v>
      </c>
      <c r="G3" s="16" t="s">
        <v>1098</v>
      </c>
      <c r="H3" s="16"/>
    </row>
    <row r="4" spans="1:8" ht="135" x14ac:dyDescent="0.25">
      <c r="A4" s="19" t="s">
        <v>508</v>
      </c>
      <c r="B4" s="19" t="s">
        <v>509</v>
      </c>
      <c r="C4" s="20" t="s">
        <v>512</v>
      </c>
      <c r="D4" s="21" t="s">
        <v>513</v>
      </c>
      <c r="E4" s="17">
        <v>2</v>
      </c>
      <c r="F4" s="18" t="s">
        <v>1133</v>
      </c>
      <c r="G4" s="21" t="s">
        <v>1099</v>
      </c>
      <c r="H4" s="21"/>
    </row>
    <row r="5" spans="1:8" ht="18" customHeight="1" x14ac:dyDescent="0.25">
      <c r="A5" s="13" t="s">
        <v>514</v>
      </c>
      <c r="B5" s="13" t="s">
        <v>515</v>
      </c>
      <c r="C5" s="13"/>
      <c r="D5" s="13"/>
      <c r="E5" s="13"/>
      <c r="F5" s="13"/>
      <c r="G5" s="13"/>
      <c r="H5" s="13"/>
    </row>
    <row r="6" spans="1:8" ht="105" x14ac:dyDescent="0.25">
      <c r="A6" s="14" t="s">
        <v>514</v>
      </c>
      <c r="B6" s="14" t="s">
        <v>515</v>
      </c>
      <c r="C6" s="15" t="s">
        <v>516</v>
      </c>
      <c r="D6" s="16" t="s">
        <v>517</v>
      </c>
      <c r="E6" s="17">
        <v>2</v>
      </c>
      <c r="F6" s="18" t="s">
        <v>893</v>
      </c>
      <c r="G6" s="16" t="s">
        <v>1100</v>
      </c>
      <c r="H6" s="16"/>
    </row>
    <row r="7" spans="1:8" ht="75" x14ac:dyDescent="0.25">
      <c r="A7" s="19" t="s">
        <v>514</v>
      </c>
      <c r="B7" s="19" t="s">
        <v>515</v>
      </c>
      <c r="C7" s="20" t="s">
        <v>518</v>
      </c>
      <c r="D7" s="21" t="s">
        <v>519</v>
      </c>
      <c r="E7" s="17">
        <v>2</v>
      </c>
      <c r="F7" s="18" t="s">
        <v>893</v>
      </c>
      <c r="G7" s="21" t="s">
        <v>1101</v>
      </c>
      <c r="H7" s="21"/>
    </row>
    <row r="8" spans="1:8" ht="45" x14ac:dyDescent="0.25">
      <c r="A8" s="14" t="s">
        <v>514</v>
      </c>
      <c r="B8" s="14" t="s">
        <v>515</v>
      </c>
      <c r="C8" s="15" t="s">
        <v>520</v>
      </c>
      <c r="D8" s="16" t="s">
        <v>521</v>
      </c>
      <c r="E8" s="23">
        <v>3</v>
      </c>
      <c r="F8" s="18" t="s">
        <v>893</v>
      </c>
      <c r="G8" s="16"/>
      <c r="H8" s="16"/>
    </row>
    <row r="9" spans="1:8" ht="18" customHeight="1" x14ac:dyDescent="0.25">
      <c r="A9" s="13" t="s">
        <v>522</v>
      </c>
      <c r="B9" s="13" t="s">
        <v>523</v>
      </c>
      <c r="C9" s="13"/>
      <c r="D9" s="13"/>
      <c r="E9" s="13"/>
      <c r="F9" s="13"/>
      <c r="G9" s="13"/>
      <c r="H9" s="13"/>
    </row>
    <row r="10" spans="1:8" ht="90" x14ac:dyDescent="0.25">
      <c r="A10" s="14" t="s">
        <v>522</v>
      </c>
      <c r="B10" s="14" t="s">
        <v>523</v>
      </c>
      <c r="C10" s="15" t="s">
        <v>524</v>
      </c>
      <c r="D10" s="16" t="s">
        <v>525</v>
      </c>
      <c r="E10" s="17">
        <v>2</v>
      </c>
      <c r="F10" s="18" t="s">
        <v>892</v>
      </c>
      <c r="G10" s="16" t="s">
        <v>1102</v>
      </c>
      <c r="H10" s="16"/>
    </row>
    <row r="11" spans="1:8" ht="106.5" customHeight="1" x14ac:dyDescent="0.25">
      <c r="A11" s="19" t="s">
        <v>522</v>
      </c>
      <c r="B11" s="19" t="s">
        <v>523</v>
      </c>
      <c r="C11" s="20" t="s">
        <v>526</v>
      </c>
      <c r="D11" s="21" t="s">
        <v>527</v>
      </c>
      <c r="E11" s="17">
        <v>2</v>
      </c>
      <c r="F11" s="18" t="s">
        <v>1133</v>
      </c>
      <c r="G11" s="21" t="s">
        <v>1103</v>
      </c>
      <c r="H11" s="21"/>
    </row>
    <row r="12" spans="1:8" ht="87" customHeight="1" x14ac:dyDescent="0.25">
      <c r="A12" s="14" t="s">
        <v>522</v>
      </c>
      <c r="B12" s="14" t="s">
        <v>523</v>
      </c>
      <c r="C12" s="15" t="s">
        <v>528</v>
      </c>
      <c r="D12" s="16" t="s">
        <v>529</v>
      </c>
      <c r="E12" s="17">
        <v>2</v>
      </c>
      <c r="F12" s="18" t="s">
        <v>1133</v>
      </c>
      <c r="G12" s="16" t="s">
        <v>1104</v>
      </c>
      <c r="H12" s="16"/>
    </row>
    <row r="13" spans="1:8" ht="73.150000000000006" customHeight="1" x14ac:dyDescent="0.25">
      <c r="A13" s="19" t="s">
        <v>522</v>
      </c>
      <c r="B13" s="19" t="s">
        <v>523</v>
      </c>
      <c r="C13" s="20" t="s">
        <v>530</v>
      </c>
      <c r="D13" s="21" t="s">
        <v>531</v>
      </c>
      <c r="E13" s="17">
        <v>2</v>
      </c>
      <c r="F13" s="18" t="s">
        <v>893</v>
      </c>
      <c r="G13" s="21" t="s">
        <v>1105</v>
      </c>
      <c r="H13" s="21"/>
    </row>
    <row r="14" spans="1:8" ht="100.5" customHeight="1" x14ac:dyDescent="0.25">
      <c r="A14" s="14" t="s">
        <v>522</v>
      </c>
      <c r="B14" s="14" t="s">
        <v>523</v>
      </c>
      <c r="C14" s="15" t="s">
        <v>532</v>
      </c>
      <c r="D14" s="16" t="s">
        <v>533</v>
      </c>
      <c r="E14" s="23">
        <v>3</v>
      </c>
      <c r="F14" s="18" t="s">
        <v>893</v>
      </c>
      <c r="G14" s="16" t="s">
        <v>1106</v>
      </c>
      <c r="H14" s="16"/>
    </row>
    <row r="15" spans="1:8" ht="18" customHeight="1" x14ac:dyDescent="0.25">
      <c r="A15" s="13" t="s">
        <v>534</v>
      </c>
      <c r="B15" s="13" t="s">
        <v>535</v>
      </c>
      <c r="C15" s="13"/>
      <c r="D15" s="13"/>
      <c r="E15" s="13"/>
      <c r="F15" s="13"/>
      <c r="G15" s="13"/>
      <c r="H15" s="13"/>
    </row>
    <row r="16" spans="1:8" ht="60" x14ac:dyDescent="0.25">
      <c r="A16" s="14" t="s">
        <v>534</v>
      </c>
      <c r="B16" s="14" t="s">
        <v>535</v>
      </c>
      <c r="C16" s="15" t="s">
        <v>536</v>
      </c>
      <c r="D16" s="16" t="s">
        <v>537</v>
      </c>
      <c r="E16" s="22">
        <v>1</v>
      </c>
      <c r="F16" s="18" t="s">
        <v>892</v>
      </c>
      <c r="G16" s="16" t="s">
        <v>1107</v>
      </c>
      <c r="H16" s="16"/>
    </row>
    <row r="17" spans="1:8" ht="90" x14ac:dyDescent="0.25">
      <c r="A17" s="19" t="s">
        <v>534</v>
      </c>
      <c r="B17" s="19" t="s">
        <v>535</v>
      </c>
      <c r="C17" s="20" t="s">
        <v>538</v>
      </c>
      <c r="D17" s="21" t="s">
        <v>539</v>
      </c>
      <c r="E17" s="22">
        <v>1</v>
      </c>
      <c r="F17" s="18" t="s">
        <v>892</v>
      </c>
      <c r="G17" s="21" t="s">
        <v>1108</v>
      </c>
      <c r="H17" s="21"/>
    </row>
    <row r="18" spans="1:8" ht="45" x14ac:dyDescent="0.25">
      <c r="A18" s="14" t="s">
        <v>534</v>
      </c>
      <c r="B18" s="14" t="s">
        <v>535</v>
      </c>
      <c r="C18" s="15" t="s">
        <v>540</v>
      </c>
      <c r="D18" s="16" t="s">
        <v>541</v>
      </c>
      <c r="E18" s="22">
        <v>1</v>
      </c>
      <c r="F18" s="18" t="s">
        <v>892</v>
      </c>
      <c r="G18" s="16" t="s">
        <v>1109</v>
      </c>
      <c r="H18" s="16"/>
    </row>
    <row r="19" spans="1:8" ht="105.75" customHeight="1" x14ac:dyDescent="0.25">
      <c r="A19" s="19" t="s">
        <v>534</v>
      </c>
      <c r="B19" s="19" t="s">
        <v>535</v>
      </c>
      <c r="C19" s="20" t="s">
        <v>542</v>
      </c>
      <c r="D19" s="21" t="s">
        <v>543</v>
      </c>
      <c r="E19" s="22">
        <v>1</v>
      </c>
      <c r="F19" s="18" t="s">
        <v>892</v>
      </c>
      <c r="G19" s="21" t="s">
        <v>1110</v>
      </c>
      <c r="H19" s="21"/>
    </row>
    <row r="20" spans="1:8" ht="135" x14ac:dyDescent="0.25">
      <c r="A20" s="14" t="s">
        <v>534</v>
      </c>
      <c r="B20" s="14" t="s">
        <v>535</v>
      </c>
      <c r="C20" s="15" t="s">
        <v>544</v>
      </c>
      <c r="D20" s="16" t="s">
        <v>545</v>
      </c>
      <c r="E20" s="22">
        <v>1</v>
      </c>
      <c r="F20" s="18" t="s">
        <v>892</v>
      </c>
      <c r="G20" s="16" t="s">
        <v>1111</v>
      </c>
      <c r="H20" s="16"/>
    </row>
    <row r="21" spans="1:8" ht="105" x14ac:dyDescent="0.25">
      <c r="A21" s="19" t="s">
        <v>534</v>
      </c>
      <c r="B21" s="19" t="s">
        <v>535</v>
      </c>
      <c r="C21" s="20" t="s">
        <v>546</v>
      </c>
      <c r="D21" s="21" t="s">
        <v>547</v>
      </c>
      <c r="E21" s="17">
        <v>2</v>
      </c>
      <c r="F21" s="18" t="s">
        <v>892</v>
      </c>
      <c r="G21" s="21" t="s">
        <v>1112</v>
      </c>
      <c r="H21" s="21"/>
    </row>
    <row r="22" spans="1:8" ht="90" x14ac:dyDescent="0.25">
      <c r="A22" s="14" t="s">
        <v>534</v>
      </c>
      <c r="B22" s="14" t="s">
        <v>535</v>
      </c>
      <c r="C22" s="15" t="s">
        <v>548</v>
      </c>
      <c r="D22" s="16" t="s">
        <v>549</v>
      </c>
      <c r="E22" s="17">
        <v>2</v>
      </c>
      <c r="F22" s="18" t="s">
        <v>893</v>
      </c>
      <c r="G22" s="16" t="s">
        <v>1113</v>
      </c>
      <c r="H22" s="16"/>
    </row>
    <row r="23" spans="1:8" ht="73.900000000000006" customHeight="1" x14ac:dyDescent="0.25">
      <c r="A23" s="19" t="s">
        <v>534</v>
      </c>
      <c r="B23" s="19" t="s">
        <v>535</v>
      </c>
      <c r="C23" s="20" t="s">
        <v>550</v>
      </c>
      <c r="D23" s="21" t="s">
        <v>551</v>
      </c>
      <c r="E23" s="17">
        <v>2</v>
      </c>
      <c r="F23" s="18" t="s">
        <v>892</v>
      </c>
      <c r="G23" s="21" t="s">
        <v>1114</v>
      </c>
      <c r="H23" s="21"/>
    </row>
    <row r="24" spans="1:8" ht="107.25" customHeight="1" x14ac:dyDescent="0.25">
      <c r="A24" s="14" t="s">
        <v>534</v>
      </c>
      <c r="B24" s="14" t="s">
        <v>535</v>
      </c>
      <c r="C24" s="15" t="s">
        <v>552</v>
      </c>
      <c r="D24" s="16" t="s">
        <v>553</v>
      </c>
      <c r="E24" s="17">
        <v>2</v>
      </c>
      <c r="F24" s="18" t="s">
        <v>892</v>
      </c>
      <c r="G24" s="16" t="s">
        <v>1115</v>
      </c>
      <c r="H24" s="16"/>
    </row>
    <row r="25" spans="1:8" ht="90" x14ac:dyDescent="0.25">
      <c r="A25" s="19" t="s">
        <v>534</v>
      </c>
      <c r="B25" s="19" t="s">
        <v>535</v>
      </c>
      <c r="C25" s="20" t="s">
        <v>554</v>
      </c>
      <c r="D25" s="21" t="s">
        <v>555</v>
      </c>
      <c r="E25" s="17">
        <v>2</v>
      </c>
      <c r="F25" s="18" t="s">
        <v>892</v>
      </c>
      <c r="G25" s="21" t="s">
        <v>1116</v>
      </c>
      <c r="H25" s="21"/>
    </row>
    <row r="26" spans="1:8" ht="100.5" customHeight="1" x14ac:dyDescent="0.25">
      <c r="A26" s="14" t="s">
        <v>534</v>
      </c>
      <c r="B26" s="14" t="s">
        <v>535</v>
      </c>
      <c r="C26" s="15" t="s">
        <v>556</v>
      </c>
      <c r="D26" s="16" t="s">
        <v>557</v>
      </c>
      <c r="E26" s="17">
        <v>2</v>
      </c>
      <c r="F26" s="18" t="s">
        <v>892</v>
      </c>
      <c r="G26" s="16" t="s">
        <v>1117</v>
      </c>
      <c r="H26" s="16"/>
    </row>
    <row r="27" spans="1:8" ht="75" x14ac:dyDescent="0.25">
      <c r="A27" s="19" t="s">
        <v>534</v>
      </c>
      <c r="B27" s="19" t="s">
        <v>535</v>
      </c>
      <c r="C27" s="20" t="s">
        <v>558</v>
      </c>
      <c r="D27" s="21" t="s">
        <v>559</v>
      </c>
      <c r="E27" s="23">
        <v>3</v>
      </c>
      <c r="F27" s="18" t="s">
        <v>893</v>
      </c>
      <c r="G27" s="21" t="s">
        <v>1118</v>
      </c>
      <c r="H27" s="21"/>
    </row>
    <row r="28" spans="1:8" ht="30" x14ac:dyDescent="0.25">
      <c r="A28" s="14" t="s">
        <v>534</v>
      </c>
      <c r="B28" s="14" t="s">
        <v>535</v>
      </c>
      <c r="C28" s="15" t="s">
        <v>560</v>
      </c>
      <c r="D28" s="16" t="s">
        <v>561</v>
      </c>
      <c r="E28" s="23">
        <v>3</v>
      </c>
      <c r="F28" s="18" t="s">
        <v>893</v>
      </c>
      <c r="G28" s="16" t="s">
        <v>1119</v>
      </c>
      <c r="H28" s="16"/>
    </row>
    <row r="29" spans="1:8" ht="60" x14ac:dyDescent="0.25">
      <c r="A29" s="19" t="s">
        <v>534</v>
      </c>
      <c r="B29" s="19" t="s">
        <v>535</v>
      </c>
      <c r="C29" s="20" t="s">
        <v>562</v>
      </c>
      <c r="D29" s="21" t="s">
        <v>563</v>
      </c>
      <c r="E29" s="23">
        <v>3</v>
      </c>
      <c r="F29" s="18" t="s">
        <v>893</v>
      </c>
      <c r="G29" s="21" t="s">
        <v>1120</v>
      </c>
      <c r="H29" s="21"/>
    </row>
    <row r="30" spans="1:8" ht="90" x14ac:dyDescent="0.25">
      <c r="A30" s="14" t="s">
        <v>534</v>
      </c>
      <c r="B30" s="14" t="s">
        <v>535</v>
      </c>
      <c r="C30" s="15" t="s">
        <v>564</v>
      </c>
      <c r="D30" s="16" t="s">
        <v>565</v>
      </c>
      <c r="E30" s="23">
        <v>3</v>
      </c>
      <c r="F30" s="18" t="s">
        <v>893</v>
      </c>
      <c r="G30" s="16" t="s">
        <v>1121</v>
      </c>
      <c r="H30" s="16"/>
    </row>
    <row r="31" spans="1:8" ht="75" x14ac:dyDescent="0.25">
      <c r="A31" s="19" t="s">
        <v>534</v>
      </c>
      <c r="B31" s="19" t="s">
        <v>535</v>
      </c>
      <c r="C31" s="20" t="s">
        <v>566</v>
      </c>
      <c r="D31" s="21" t="s">
        <v>567</v>
      </c>
      <c r="E31" s="23">
        <v>3</v>
      </c>
      <c r="F31" s="18" t="s">
        <v>893</v>
      </c>
      <c r="G31" s="21" t="s">
        <v>1122</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892</v>
      </c>
      <c r="G33" s="16" t="s">
        <v>1124</v>
      </c>
      <c r="H33" s="16"/>
    </row>
    <row r="34" spans="1:8" ht="86.25" customHeight="1" x14ac:dyDescent="0.25">
      <c r="A34" s="19" t="s">
        <v>568</v>
      </c>
      <c r="B34" s="19" t="s">
        <v>569</v>
      </c>
      <c r="C34" s="20" t="s">
        <v>572</v>
      </c>
      <c r="D34" s="21" t="s">
        <v>573</v>
      </c>
      <c r="E34" s="17">
        <v>2</v>
      </c>
      <c r="F34" s="18" t="s">
        <v>1133</v>
      </c>
      <c r="G34" s="21" t="s">
        <v>1123</v>
      </c>
      <c r="H34" s="21"/>
    </row>
    <row r="35" spans="1:8" ht="120" customHeight="1" x14ac:dyDescent="0.25">
      <c r="A35" s="14" t="s">
        <v>568</v>
      </c>
      <c r="B35" s="14" t="s">
        <v>569</v>
      </c>
      <c r="C35" s="15" t="s">
        <v>574</v>
      </c>
      <c r="D35" s="16" t="s">
        <v>575</v>
      </c>
      <c r="E35" s="17">
        <v>2</v>
      </c>
      <c r="F35" s="18" t="s">
        <v>1133</v>
      </c>
      <c r="G35" s="16" t="s">
        <v>1125</v>
      </c>
      <c r="H35" s="16"/>
    </row>
    <row r="36" spans="1:8" ht="96" customHeight="1" x14ac:dyDescent="0.25">
      <c r="A36" s="19" t="s">
        <v>568</v>
      </c>
      <c r="B36" s="19" t="s">
        <v>569</v>
      </c>
      <c r="C36" s="20" t="s">
        <v>576</v>
      </c>
      <c r="D36" s="21" t="s">
        <v>577</v>
      </c>
      <c r="E36" s="17">
        <v>2</v>
      </c>
      <c r="F36" s="18" t="s">
        <v>892</v>
      </c>
      <c r="G36" s="21" t="s">
        <v>1126</v>
      </c>
      <c r="H36" s="21"/>
    </row>
    <row r="37" spans="1:8" ht="105" x14ac:dyDescent="0.25">
      <c r="A37" s="14" t="s">
        <v>568</v>
      </c>
      <c r="B37" s="14" t="s">
        <v>569</v>
      </c>
      <c r="C37" s="15" t="s">
        <v>578</v>
      </c>
      <c r="D37" s="16" t="s">
        <v>579</v>
      </c>
      <c r="E37" s="17">
        <v>2</v>
      </c>
      <c r="F37" s="18" t="s">
        <v>893</v>
      </c>
      <c r="G37" s="16" t="s">
        <v>1127</v>
      </c>
      <c r="H37" s="16"/>
    </row>
    <row r="38" spans="1:8" ht="18" customHeight="1" x14ac:dyDescent="0.25">
      <c r="A38" s="13" t="s">
        <v>580</v>
      </c>
      <c r="B38" s="13" t="s">
        <v>581</v>
      </c>
      <c r="C38" s="13"/>
      <c r="D38" s="13"/>
      <c r="E38" s="13"/>
      <c r="F38" s="13"/>
      <c r="G38" s="13"/>
      <c r="H38" s="13"/>
    </row>
    <row r="39" spans="1:8" ht="75" x14ac:dyDescent="0.25">
      <c r="A39" s="14" t="s">
        <v>580</v>
      </c>
      <c r="B39" s="14" t="s">
        <v>581</v>
      </c>
      <c r="C39" s="15" t="s">
        <v>582</v>
      </c>
      <c r="D39" s="16" t="s">
        <v>583</v>
      </c>
      <c r="E39" s="17">
        <v>2</v>
      </c>
      <c r="F39" s="18" t="s">
        <v>892</v>
      </c>
      <c r="G39" s="16" t="s">
        <v>1128</v>
      </c>
      <c r="H39" s="16"/>
    </row>
    <row r="40" spans="1:8" ht="106.5" customHeight="1" x14ac:dyDescent="0.25">
      <c r="A40" s="19" t="s">
        <v>580</v>
      </c>
      <c r="B40" s="19" t="s">
        <v>581</v>
      </c>
      <c r="C40" s="20" t="s">
        <v>584</v>
      </c>
      <c r="D40" s="21" t="s">
        <v>585</v>
      </c>
      <c r="E40" s="17">
        <v>2</v>
      </c>
      <c r="F40" s="18" t="s">
        <v>892</v>
      </c>
      <c r="G40" s="21" t="s">
        <v>1129</v>
      </c>
      <c r="H40" s="21"/>
    </row>
    <row r="41" spans="1:8" ht="18" customHeight="1" x14ac:dyDescent="0.25">
      <c r="A41" s="13" t="s">
        <v>586</v>
      </c>
      <c r="B41" s="13" t="s">
        <v>587</v>
      </c>
      <c r="C41" s="13"/>
      <c r="D41" s="13"/>
      <c r="E41" s="13"/>
      <c r="F41" s="13"/>
      <c r="G41" s="13"/>
      <c r="H41" s="13"/>
    </row>
    <row r="42" spans="1:8" ht="138" customHeight="1" x14ac:dyDescent="0.25">
      <c r="A42" s="14" t="s">
        <v>586</v>
      </c>
      <c r="B42" s="14" t="s">
        <v>587</v>
      </c>
      <c r="C42" s="15" t="s">
        <v>588</v>
      </c>
      <c r="D42" s="16" t="s">
        <v>589</v>
      </c>
      <c r="E42" s="17">
        <v>2</v>
      </c>
      <c r="F42" s="18" t="s">
        <v>892</v>
      </c>
      <c r="G42" s="16" t="s">
        <v>1130</v>
      </c>
      <c r="H42" s="16"/>
    </row>
    <row r="43" spans="1:8" ht="105" x14ac:dyDescent="0.25">
      <c r="A43" s="19" t="s">
        <v>586</v>
      </c>
      <c r="B43" s="19" t="s">
        <v>587</v>
      </c>
      <c r="C43" s="20" t="s">
        <v>590</v>
      </c>
      <c r="D43" s="21" t="s">
        <v>591</v>
      </c>
      <c r="E43" s="17">
        <v>2</v>
      </c>
      <c r="F43" s="18" t="s">
        <v>892</v>
      </c>
      <c r="G43" s="21" t="s">
        <v>1131</v>
      </c>
      <c r="H43" s="21"/>
    </row>
    <row r="44" spans="1:8" ht="111" customHeight="1" x14ac:dyDescent="0.25">
      <c r="A44" s="14" t="s">
        <v>586</v>
      </c>
      <c r="B44" s="14" t="s">
        <v>587</v>
      </c>
      <c r="C44" s="15" t="s">
        <v>592</v>
      </c>
      <c r="D44" s="16" t="s">
        <v>593</v>
      </c>
      <c r="E44" s="17">
        <v>2</v>
      </c>
      <c r="F44" s="18" t="s">
        <v>892</v>
      </c>
      <c r="G44" s="16" t="s">
        <v>1132</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5" activePane="bottomLeft" state="frozen"/>
      <selection pane="bottomLeft" activeCell="F28" sqref="F2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937</v>
      </c>
      <c r="H3" s="16"/>
    </row>
    <row r="4" spans="1:8" ht="180" x14ac:dyDescent="0.25">
      <c r="A4" s="19" t="s">
        <v>594</v>
      </c>
      <c r="B4" s="19" t="s">
        <v>595</v>
      </c>
      <c r="C4" s="20" t="s">
        <v>598</v>
      </c>
      <c r="D4" s="21" t="s">
        <v>599</v>
      </c>
      <c r="E4" s="17">
        <v>2</v>
      </c>
      <c r="F4" s="18" t="s">
        <v>892</v>
      </c>
      <c r="G4" s="16" t="s">
        <v>938</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1133</v>
      </c>
      <c r="G8" s="16" t="s">
        <v>939</v>
      </c>
      <c r="H8" s="16"/>
    </row>
    <row r="9" spans="1:8" ht="225" x14ac:dyDescent="0.25">
      <c r="A9" s="19" t="s">
        <v>604</v>
      </c>
      <c r="B9" s="19" t="s">
        <v>605</v>
      </c>
      <c r="C9" s="20" t="s">
        <v>608</v>
      </c>
      <c r="D9" s="21" t="s">
        <v>609</v>
      </c>
      <c r="E9" s="17">
        <v>2</v>
      </c>
      <c r="F9" s="18" t="s">
        <v>892</v>
      </c>
      <c r="G9" s="21" t="s">
        <v>940</v>
      </c>
      <c r="H9" s="21"/>
    </row>
    <row r="10" spans="1:8" ht="150" x14ac:dyDescent="0.25">
      <c r="A10" s="14" t="s">
        <v>604</v>
      </c>
      <c r="B10" s="14" t="s">
        <v>605</v>
      </c>
      <c r="C10" s="15" t="s">
        <v>610</v>
      </c>
      <c r="D10" s="16" t="s">
        <v>611</v>
      </c>
      <c r="E10" s="17">
        <v>2</v>
      </c>
      <c r="F10" s="18" t="s">
        <v>1133</v>
      </c>
      <c r="G10" s="16" t="s">
        <v>941</v>
      </c>
      <c r="H10" s="16"/>
    </row>
    <row r="11" spans="1:8" ht="240" x14ac:dyDescent="0.25">
      <c r="A11" s="19" t="s">
        <v>604</v>
      </c>
      <c r="B11" s="19" t="s">
        <v>605</v>
      </c>
      <c r="C11" s="20" t="s">
        <v>612</v>
      </c>
      <c r="D11" s="21" t="s">
        <v>613</v>
      </c>
      <c r="E11" s="23">
        <v>3</v>
      </c>
      <c r="F11" s="18" t="s">
        <v>1133</v>
      </c>
      <c r="G11" s="21" t="s">
        <v>942</v>
      </c>
      <c r="H11" s="21"/>
    </row>
    <row r="12" spans="1:8" ht="195" x14ac:dyDescent="0.25">
      <c r="A12" s="14" t="s">
        <v>604</v>
      </c>
      <c r="B12" s="14" t="s">
        <v>605</v>
      </c>
      <c r="C12" s="15" t="s">
        <v>614</v>
      </c>
      <c r="D12" s="16" t="s">
        <v>615</v>
      </c>
      <c r="E12" s="23">
        <v>3</v>
      </c>
      <c r="F12" s="18" t="s">
        <v>893</v>
      </c>
      <c r="G12" s="16" t="s">
        <v>943</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1133</v>
      </c>
      <c r="G14" s="16" t="s">
        <v>944</v>
      </c>
      <c r="H14" s="16"/>
    </row>
    <row r="15" spans="1:8" ht="150" x14ac:dyDescent="0.25">
      <c r="A15" s="19" t="s">
        <v>616</v>
      </c>
      <c r="B15" s="19" t="s">
        <v>617</v>
      </c>
      <c r="C15" s="20" t="s">
        <v>620</v>
      </c>
      <c r="D15" s="21" t="s">
        <v>621</v>
      </c>
      <c r="E15" s="22">
        <v>1</v>
      </c>
      <c r="F15" s="18" t="s">
        <v>1133</v>
      </c>
      <c r="G15" s="21" t="s">
        <v>945</v>
      </c>
      <c r="H15" s="21"/>
    </row>
    <row r="16" spans="1:8" ht="150" x14ac:dyDescent="0.25">
      <c r="A16" s="14" t="s">
        <v>616</v>
      </c>
      <c r="B16" s="14" t="s">
        <v>617</v>
      </c>
      <c r="C16" s="15" t="s">
        <v>622</v>
      </c>
      <c r="D16" s="16" t="s">
        <v>623</v>
      </c>
      <c r="E16" s="17">
        <v>2</v>
      </c>
      <c r="F16" s="18" t="s">
        <v>1133</v>
      </c>
      <c r="G16" s="16" t="s">
        <v>946</v>
      </c>
      <c r="H16" s="16"/>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947</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1133</v>
      </c>
      <c r="G20" s="27" t="s">
        <v>948</v>
      </c>
      <c r="H20" s="16"/>
    </row>
    <row r="21" spans="1:8" ht="195" x14ac:dyDescent="0.25">
      <c r="A21" s="19" t="s">
        <v>628</v>
      </c>
      <c r="B21" s="19" t="s">
        <v>629</v>
      </c>
      <c r="C21" s="20" t="s">
        <v>632</v>
      </c>
      <c r="D21" s="21" t="s">
        <v>633</v>
      </c>
      <c r="E21" s="17">
        <v>2</v>
      </c>
      <c r="F21" s="18" t="s">
        <v>1133</v>
      </c>
      <c r="G21" s="27" t="s">
        <v>949</v>
      </c>
      <c r="H21" s="21"/>
    </row>
    <row r="22" spans="1:8" ht="180" x14ac:dyDescent="0.25">
      <c r="A22" s="14" t="s">
        <v>628</v>
      </c>
      <c r="B22" s="14" t="s">
        <v>629</v>
      </c>
      <c r="C22" s="15" t="s">
        <v>634</v>
      </c>
      <c r="D22" s="16" t="s">
        <v>635</v>
      </c>
      <c r="E22" s="17">
        <v>2</v>
      </c>
      <c r="F22" s="18" t="s">
        <v>1133</v>
      </c>
      <c r="G22" s="27" t="s">
        <v>950</v>
      </c>
      <c r="H22" s="16"/>
    </row>
    <row r="23" spans="1:8" ht="180" x14ac:dyDescent="0.25">
      <c r="A23" s="19" t="s">
        <v>628</v>
      </c>
      <c r="B23" s="19" t="s">
        <v>629</v>
      </c>
      <c r="C23" s="20" t="s">
        <v>636</v>
      </c>
      <c r="D23" s="21" t="s">
        <v>637</v>
      </c>
      <c r="E23" s="17">
        <v>2</v>
      </c>
      <c r="F23" s="18" t="s">
        <v>1133</v>
      </c>
      <c r="G23" s="21" t="s">
        <v>951</v>
      </c>
      <c r="H23" s="21"/>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952</v>
      </c>
      <c r="H25" s="16"/>
    </row>
    <row r="26" spans="1:8" ht="210" x14ac:dyDescent="0.25">
      <c r="A26" s="19" t="s">
        <v>638</v>
      </c>
      <c r="B26" s="19" t="s">
        <v>639</v>
      </c>
      <c r="C26" s="20" t="s">
        <v>642</v>
      </c>
      <c r="D26" s="21" t="s">
        <v>643</v>
      </c>
      <c r="E26" s="23">
        <v>3</v>
      </c>
      <c r="F26" s="18" t="s">
        <v>1133</v>
      </c>
      <c r="G26" s="21" t="s">
        <v>953</v>
      </c>
      <c r="H26" s="21"/>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1133</v>
      </c>
      <c r="G28" s="16" t="s">
        <v>954</v>
      </c>
      <c r="H28" s="16"/>
    </row>
    <row r="29" spans="1:8" ht="150" x14ac:dyDescent="0.25">
      <c r="A29" s="19" t="s">
        <v>644</v>
      </c>
      <c r="B29" s="19" t="s">
        <v>645</v>
      </c>
      <c r="C29" s="20" t="s">
        <v>648</v>
      </c>
      <c r="D29" s="21" t="s">
        <v>649</v>
      </c>
      <c r="E29" s="23">
        <v>3</v>
      </c>
      <c r="F29" s="18" t="s">
        <v>893</v>
      </c>
      <c r="G29" s="21" t="s">
        <v>955</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956</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1072</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1073</v>
      </c>
      <c r="H9" s="16"/>
    </row>
    <row r="10" spans="1:8" ht="90" x14ac:dyDescent="0.25">
      <c r="A10" s="19" t="s">
        <v>668</v>
      </c>
      <c r="B10" s="19" t="s">
        <v>669</v>
      </c>
      <c r="C10" s="20" t="s">
        <v>672</v>
      </c>
      <c r="D10" s="21" t="s">
        <v>673</v>
      </c>
      <c r="E10" s="22">
        <v>1</v>
      </c>
      <c r="F10" s="18" t="s">
        <v>892</v>
      </c>
      <c r="G10" s="21" t="s">
        <v>1074</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1076</v>
      </c>
      <c r="H12" s="16"/>
    </row>
    <row r="13" spans="1:8" ht="30" customHeight="1" x14ac:dyDescent="0.25">
      <c r="A13" s="19" t="s">
        <v>674</v>
      </c>
      <c r="B13" s="19" t="s">
        <v>675</v>
      </c>
      <c r="C13" s="20" t="s">
        <v>678</v>
      </c>
      <c r="D13" s="21" t="s">
        <v>679</v>
      </c>
      <c r="E13" s="17">
        <v>2</v>
      </c>
      <c r="F13" s="18" t="s">
        <v>892</v>
      </c>
      <c r="G13" s="21" t="s">
        <v>1077</v>
      </c>
      <c r="H13" s="21"/>
    </row>
    <row r="14" spans="1:8" ht="30" customHeight="1" x14ac:dyDescent="0.25">
      <c r="A14" s="14" t="s">
        <v>674</v>
      </c>
      <c r="B14" s="14" t="s">
        <v>675</v>
      </c>
      <c r="C14" s="15" t="s">
        <v>680</v>
      </c>
      <c r="D14" s="16" t="s">
        <v>681</v>
      </c>
      <c r="E14" s="17">
        <v>2</v>
      </c>
      <c r="F14" s="18" t="s">
        <v>892</v>
      </c>
      <c r="G14" s="16" t="s">
        <v>1075</v>
      </c>
      <c r="H14" s="16"/>
    </row>
    <row r="15" spans="1:8" ht="75" x14ac:dyDescent="0.25">
      <c r="A15" s="19" t="s">
        <v>674</v>
      </c>
      <c r="B15" s="19" t="s">
        <v>675</v>
      </c>
      <c r="C15" s="20" t="s">
        <v>682</v>
      </c>
      <c r="D15" s="21" t="s">
        <v>683</v>
      </c>
      <c r="E15" s="17">
        <v>2</v>
      </c>
      <c r="F15" s="18" t="s">
        <v>892</v>
      </c>
      <c r="G15" s="21" t="s">
        <v>1078</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3" activePane="bottomLeft" state="frozen"/>
      <selection pane="bottomLeft" activeCell="D23" sqref="D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1079</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1080</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1081</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1082</v>
      </c>
      <c r="H22" s="16"/>
    </row>
    <row r="23" spans="1:8" ht="45"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1083</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2" activePane="bottomLeft" state="frozen"/>
      <selection pane="bottomLeft" activeCell="F8" sqref="F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1084</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1133</v>
      </c>
      <c r="G6" s="16" t="s">
        <v>913</v>
      </c>
      <c r="H6" s="16"/>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1133</v>
      </c>
      <c r="G8" s="16" t="s">
        <v>914</v>
      </c>
      <c r="H8" s="16"/>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1085</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0" activePane="bottomLeft" state="frozen"/>
      <selection pane="bottomLeft" activeCell="F21" sqref="F2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957</v>
      </c>
      <c r="H3" s="16"/>
    </row>
    <row r="4" spans="1:8" ht="120" x14ac:dyDescent="0.25">
      <c r="A4" s="19" t="s">
        <v>768</v>
      </c>
      <c r="B4" s="19" t="s">
        <v>769</v>
      </c>
      <c r="C4" s="20" t="s">
        <v>772</v>
      </c>
      <c r="D4" s="21" t="s">
        <v>773</v>
      </c>
      <c r="E4" s="17">
        <v>2</v>
      </c>
      <c r="F4" s="18" t="s">
        <v>892</v>
      </c>
      <c r="G4" s="21" t="s">
        <v>958</v>
      </c>
      <c r="H4" s="21"/>
    </row>
    <row r="5" spans="1:8" ht="150" x14ac:dyDescent="0.25">
      <c r="A5" s="14" t="s">
        <v>768</v>
      </c>
      <c r="B5" s="14" t="s">
        <v>769</v>
      </c>
      <c r="C5" s="15" t="s">
        <v>774</v>
      </c>
      <c r="D5" s="16" t="s">
        <v>775</v>
      </c>
      <c r="E5" s="17">
        <v>2</v>
      </c>
      <c r="F5" s="18" t="s">
        <v>892</v>
      </c>
      <c r="G5" s="16" t="s">
        <v>959</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960</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961</v>
      </c>
      <c r="H9" s="16"/>
    </row>
    <row r="10" spans="1:8" ht="165" x14ac:dyDescent="0.25">
      <c r="A10" s="19" t="s">
        <v>780</v>
      </c>
      <c r="B10" s="19" t="s">
        <v>781</v>
      </c>
      <c r="C10" s="20" t="s">
        <v>784</v>
      </c>
      <c r="D10" s="21" t="s">
        <v>785</v>
      </c>
      <c r="E10" s="17">
        <v>2</v>
      </c>
      <c r="F10" s="18" t="s">
        <v>1133</v>
      </c>
      <c r="G10" s="21" t="s">
        <v>962</v>
      </c>
      <c r="H10" s="21"/>
    </row>
    <row r="11" spans="1:8" ht="150" x14ac:dyDescent="0.25">
      <c r="A11" s="14" t="s">
        <v>780</v>
      </c>
      <c r="B11" s="14" t="s">
        <v>781</v>
      </c>
      <c r="C11" s="15" t="s">
        <v>786</v>
      </c>
      <c r="D11" s="16" t="s">
        <v>787</v>
      </c>
      <c r="E11" s="17">
        <v>2</v>
      </c>
      <c r="F11" s="18" t="s">
        <v>892</v>
      </c>
      <c r="G11" s="16" t="s">
        <v>963</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1133</v>
      </c>
      <c r="G13" s="16" t="s">
        <v>964</v>
      </c>
      <c r="H13" s="16"/>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1133</v>
      </c>
      <c r="G15" s="16" t="s">
        <v>965</v>
      </c>
      <c r="H15" s="16"/>
    </row>
    <row r="16" spans="1:8" ht="135" x14ac:dyDescent="0.25">
      <c r="A16" s="19" t="s">
        <v>792</v>
      </c>
      <c r="B16" s="19" t="s">
        <v>793</v>
      </c>
      <c r="C16" s="20" t="s">
        <v>796</v>
      </c>
      <c r="D16" s="21" t="s">
        <v>797</v>
      </c>
      <c r="E16" s="17">
        <v>2</v>
      </c>
      <c r="F16" s="18" t="s">
        <v>892</v>
      </c>
      <c r="G16" s="21" t="s">
        <v>966</v>
      </c>
      <c r="H16" s="21"/>
    </row>
    <row r="17" spans="1:8" ht="165" x14ac:dyDescent="0.25">
      <c r="A17" s="14" t="s">
        <v>792</v>
      </c>
      <c r="B17" s="14" t="s">
        <v>793</v>
      </c>
      <c r="C17" s="15" t="s">
        <v>798</v>
      </c>
      <c r="D17" s="16" t="s">
        <v>799</v>
      </c>
      <c r="E17" s="17">
        <v>2</v>
      </c>
      <c r="F17" s="18" t="s">
        <v>1133</v>
      </c>
      <c r="G17" s="16" t="s">
        <v>967</v>
      </c>
      <c r="H17" s="16"/>
    </row>
    <row r="18" spans="1:8" ht="165" x14ac:dyDescent="0.25">
      <c r="A18" s="19" t="s">
        <v>792</v>
      </c>
      <c r="B18" s="19" t="s">
        <v>793</v>
      </c>
      <c r="C18" s="20" t="s">
        <v>800</v>
      </c>
      <c r="D18" s="21" t="s">
        <v>801</v>
      </c>
      <c r="E18" s="17">
        <v>2</v>
      </c>
      <c r="F18" s="18" t="s">
        <v>892</v>
      </c>
      <c r="G18" s="21" t="s">
        <v>968</v>
      </c>
      <c r="H18" s="21"/>
    </row>
    <row r="19" spans="1:8" ht="135" x14ac:dyDescent="0.25">
      <c r="A19" s="14" t="s">
        <v>792</v>
      </c>
      <c r="B19" s="14" t="s">
        <v>793</v>
      </c>
      <c r="C19" s="15" t="s">
        <v>802</v>
      </c>
      <c r="D19" s="16" t="s">
        <v>803</v>
      </c>
      <c r="E19" s="17">
        <v>2</v>
      </c>
      <c r="F19" s="18" t="s">
        <v>1133</v>
      </c>
      <c r="G19" s="16" t="s">
        <v>969</v>
      </c>
      <c r="H19" s="16"/>
    </row>
    <row r="20" spans="1:8" ht="105" x14ac:dyDescent="0.25">
      <c r="A20" s="19" t="s">
        <v>792</v>
      </c>
      <c r="B20" s="19" t="s">
        <v>793</v>
      </c>
      <c r="C20" s="20" t="s">
        <v>804</v>
      </c>
      <c r="D20" s="21" t="s">
        <v>805</v>
      </c>
      <c r="E20" s="17">
        <v>2</v>
      </c>
      <c r="F20" s="18" t="s">
        <v>893</v>
      </c>
      <c r="G20" s="21" t="s">
        <v>970</v>
      </c>
      <c r="H20" s="21"/>
    </row>
    <row r="21" spans="1:8" ht="165" x14ac:dyDescent="0.25">
      <c r="A21" s="14" t="s">
        <v>792</v>
      </c>
      <c r="B21" s="14" t="s">
        <v>793</v>
      </c>
      <c r="C21" s="15" t="s">
        <v>806</v>
      </c>
      <c r="D21" s="16" t="s">
        <v>807</v>
      </c>
      <c r="E21" s="17">
        <v>2</v>
      </c>
      <c r="F21" s="18" t="s">
        <v>1133</v>
      </c>
      <c r="G21" s="16" t="s">
        <v>971</v>
      </c>
      <c r="H21" s="16"/>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0" activePane="bottomLeft" state="frozen"/>
      <selection pane="bottomLeft" activeCell="F23" sqref="F23"/>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973</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977</v>
      </c>
      <c r="H5" s="16"/>
    </row>
    <row r="6" spans="1:8" ht="180" x14ac:dyDescent="0.25">
      <c r="A6" s="19" t="s">
        <v>822</v>
      </c>
      <c r="B6" s="19" t="s">
        <v>823</v>
      </c>
      <c r="C6" s="20" t="s">
        <v>826</v>
      </c>
      <c r="D6" s="21" t="s">
        <v>827</v>
      </c>
      <c r="E6" s="17">
        <v>2</v>
      </c>
      <c r="F6" s="18" t="s">
        <v>1133</v>
      </c>
      <c r="G6" s="21" t="s">
        <v>976</v>
      </c>
      <c r="H6" s="21"/>
    </row>
    <row r="7" spans="1:8" ht="135" x14ac:dyDescent="0.25">
      <c r="A7" s="14" t="s">
        <v>822</v>
      </c>
      <c r="B7" s="14" t="s">
        <v>823</v>
      </c>
      <c r="C7" s="15" t="s">
        <v>828</v>
      </c>
      <c r="D7" s="16" t="s">
        <v>829</v>
      </c>
      <c r="E7" s="17">
        <v>2</v>
      </c>
      <c r="F7" s="18" t="s">
        <v>1133</v>
      </c>
      <c r="G7" s="16" t="s">
        <v>975</v>
      </c>
      <c r="H7" s="16"/>
    </row>
    <row r="8" spans="1:8" ht="165" x14ac:dyDescent="0.25">
      <c r="A8" s="19" t="s">
        <v>822</v>
      </c>
      <c r="B8" s="19" t="s">
        <v>823</v>
      </c>
      <c r="C8" s="20" t="s">
        <v>830</v>
      </c>
      <c r="D8" s="21" t="s">
        <v>831</v>
      </c>
      <c r="E8" s="17">
        <v>2</v>
      </c>
      <c r="F8" s="18" t="s">
        <v>892</v>
      </c>
      <c r="G8" s="21" t="s">
        <v>934</v>
      </c>
      <c r="H8" s="21"/>
    </row>
    <row r="9" spans="1:8" ht="210" x14ac:dyDescent="0.25">
      <c r="A9" s="14" t="s">
        <v>822</v>
      </c>
      <c r="B9" s="14" t="s">
        <v>823</v>
      </c>
      <c r="C9" s="15" t="s">
        <v>832</v>
      </c>
      <c r="D9" s="16" t="s">
        <v>833</v>
      </c>
      <c r="E9" s="17">
        <v>2</v>
      </c>
      <c r="F9" s="18" t="s">
        <v>892</v>
      </c>
      <c r="G9" s="16" t="s">
        <v>974</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935</v>
      </c>
      <c r="H11" s="16"/>
    </row>
    <row r="12" spans="1:8" ht="180" x14ac:dyDescent="0.25">
      <c r="A12" s="19" t="s">
        <v>834</v>
      </c>
      <c r="B12" s="19" t="s">
        <v>835</v>
      </c>
      <c r="C12" s="20" t="s">
        <v>838</v>
      </c>
      <c r="D12" s="21" t="s">
        <v>839</v>
      </c>
      <c r="E12" s="17">
        <v>2</v>
      </c>
      <c r="F12" s="18" t="s">
        <v>1133</v>
      </c>
      <c r="G12" s="21" t="s">
        <v>972</v>
      </c>
      <c r="H12" s="21"/>
    </row>
    <row r="13" spans="1:8" ht="165" x14ac:dyDescent="0.25">
      <c r="A13" s="14" t="s">
        <v>834</v>
      </c>
      <c r="B13" s="14" t="s">
        <v>835</v>
      </c>
      <c r="C13" s="15" t="s">
        <v>840</v>
      </c>
      <c r="D13" s="16" t="s">
        <v>841</v>
      </c>
      <c r="E13" s="17">
        <v>2</v>
      </c>
      <c r="F13" s="18" t="s">
        <v>892</v>
      </c>
      <c r="G13" s="16" t="s">
        <v>978</v>
      </c>
      <c r="H13" s="16"/>
    </row>
    <row r="14" spans="1:8" ht="180" x14ac:dyDescent="0.25">
      <c r="A14" s="19" t="s">
        <v>834</v>
      </c>
      <c r="B14" s="19" t="s">
        <v>835</v>
      </c>
      <c r="C14" s="20" t="s">
        <v>842</v>
      </c>
      <c r="D14" s="21" t="s">
        <v>843</v>
      </c>
      <c r="E14" s="17">
        <v>2</v>
      </c>
      <c r="F14" s="18" t="s">
        <v>893</v>
      </c>
      <c r="G14" s="21" t="s">
        <v>979</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936</v>
      </c>
      <c r="H16" s="16"/>
    </row>
    <row r="17" spans="1:8" ht="165" x14ac:dyDescent="0.25">
      <c r="A17" s="19" t="s">
        <v>844</v>
      </c>
      <c r="B17" s="19" t="s">
        <v>845</v>
      </c>
      <c r="C17" s="20" t="s">
        <v>848</v>
      </c>
      <c r="D17" s="21" t="s">
        <v>849</v>
      </c>
      <c r="E17" s="17">
        <v>2</v>
      </c>
      <c r="F17" s="18" t="s">
        <v>892</v>
      </c>
      <c r="G17" s="21" t="s">
        <v>980</v>
      </c>
      <c r="H17" s="21"/>
    </row>
    <row r="18" spans="1:8" ht="150" x14ac:dyDescent="0.25">
      <c r="A18" s="14" t="s">
        <v>844</v>
      </c>
      <c r="B18" s="14" t="s">
        <v>845</v>
      </c>
      <c r="C18" s="15" t="s">
        <v>850</v>
      </c>
      <c r="D18" s="16" t="s">
        <v>851</v>
      </c>
      <c r="E18" s="17">
        <v>2</v>
      </c>
      <c r="F18" s="18" t="s">
        <v>893</v>
      </c>
      <c r="G18" s="16" t="s">
        <v>981</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1133</v>
      </c>
      <c r="G20" s="16" t="s">
        <v>982</v>
      </c>
      <c r="H20" s="16"/>
    </row>
    <row r="21" spans="1:8" ht="195" x14ac:dyDescent="0.25">
      <c r="A21" s="19" t="s">
        <v>852</v>
      </c>
      <c r="B21" s="19" t="s">
        <v>853</v>
      </c>
      <c r="C21" s="20" t="s">
        <v>856</v>
      </c>
      <c r="D21" s="21" t="s">
        <v>857</v>
      </c>
      <c r="E21" s="17">
        <v>2</v>
      </c>
      <c r="F21" s="18" t="s">
        <v>892</v>
      </c>
      <c r="G21" s="21" t="s">
        <v>983</v>
      </c>
      <c r="H21" s="21"/>
    </row>
    <row r="22" spans="1:8" ht="195" x14ac:dyDescent="0.25">
      <c r="A22" s="14" t="s">
        <v>852</v>
      </c>
      <c r="B22" s="14" t="s">
        <v>853</v>
      </c>
      <c r="C22" s="15" t="s">
        <v>858</v>
      </c>
      <c r="D22" s="16" t="s">
        <v>859</v>
      </c>
      <c r="E22" s="17">
        <v>2</v>
      </c>
      <c r="F22" s="18" t="s">
        <v>1133</v>
      </c>
      <c r="G22" s="16" t="s">
        <v>984</v>
      </c>
      <c r="H22" s="16"/>
    </row>
    <row r="23" spans="1:8" ht="225" x14ac:dyDescent="0.25">
      <c r="A23" s="19" t="s">
        <v>852</v>
      </c>
      <c r="B23" s="19" t="s">
        <v>853</v>
      </c>
      <c r="C23" s="20" t="s">
        <v>860</v>
      </c>
      <c r="D23" s="21" t="s">
        <v>861</v>
      </c>
      <c r="E23" s="23">
        <v>3</v>
      </c>
      <c r="F23" s="18" t="s">
        <v>1133</v>
      </c>
      <c r="G23" s="21" t="s">
        <v>985</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7" sqref="G1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60" x14ac:dyDescent="0.25">
      <c r="A3" s="14" t="s">
        <v>862</v>
      </c>
      <c r="B3" s="14" t="s">
        <v>863</v>
      </c>
      <c r="C3" s="15" t="s">
        <v>864</v>
      </c>
      <c r="D3" s="16" t="s">
        <v>865</v>
      </c>
      <c r="E3" s="17">
        <v>2</v>
      </c>
      <c r="F3" s="18" t="s">
        <v>893</v>
      </c>
      <c r="G3" s="16" t="s">
        <v>1086</v>
      </c>
      <c r="H3" s="16"/>
    </row>
    <row r="4" spans="1:8" ht="45" x14ac:dyDescent="0.25">
      <c r="A4" s="19" t="s">
        <v>862</v>
      </c>
      <c r="B4" s="19" t="s">
        <v>863</v>
      </c>
      <c r="C4" s="20" t="s">
        <v>866</v>
      </c>
      <c r="D4" s="21" t="s">
        <v>867</v>
      </c>
      <c r="E4" s="23">
        <v>3</v>
      </c>
      <c r="F4" s="18" t="s">
        <v>893</v>
      </c>
      <c r="G4" s="21" t="s">
        <v>1087</v>
      </c>
      <c r="H4" s="21"/>
    </row>
    <row r="5" spans="1:8" x14ac:dyDescent="0.25">
      <c r="A5" s="13" t="s">
        <v>868</v>
      </c>
      <c r="B5" s="13" t="s">
        <v>869</v>
      </c>
      <c r="C5" s="13"/>
      <c r="D5" s="13"/>
      <c r="E5" s="13"/>
      <c r="F5" s="13"/>
      <c r="G5" s="13"/>
      <c r="H5" s="13"/>
    </row>
    <row r="6" spans="1:8" ht="60" x14ac:dyDescent="0.25">
      <c r="A6" s="14" t="s">
        <v>868</v>
      </c>
      <c r="B6" s="14" t="s">
        <v>869</v>
      </c>
      <c r="C6" s="15" t="s">
        <v>870</v>
      </c>
      <c r="D6" s="16" t="s">
        <v>871</v>
      </c>
      <c r="E6" s="17">
        <v>2</v>
      </c>
      <c r="F6" s="18" t="s">
        <v>893</v>
      </c>
      <c r="G6" s="16" t="s">
        <v>1088</v>
      </c>
      <c r="H6" s="16"/>
    </row>
    <row r="7" spans="1:8" ht="75" x14ac:dyDescent="0.25">
      <c r="A7" s="19" t="s">
        <v>868</v>
      </c>
      <c r="B7" s="19" t="s">
        <v>869</v>
      </c>
      <c r="C7" s="20" t="s">
        <v>872</v>
      </c>
      <c r="D7" s="21" t="s">
        <v>873</v>
      </c>
      <c r="E7" s="17">
        <v>2</v>
      </c>
      <c r="F7" s="18" t="s">
        <v>893</v>
      </c>
      <c r="G7" s="21" t="s">
        <v>1089</v>
      </c>
      <c r="H7" s="21"/>
    </row>
    <row r="8" spans="1:8" ht="75" x14ac:dyDescent="0.25">
      <c r="A8" s="14" t="s">
        <v>868</v>
      </c>
      <c r="B8" s="14" t="s">
        <v>869</v>
      </c>
      <c r="C8" s="15" t="s">
        <v>874</v>
      </c>
      <c r="D8" s="16" t="s">
        <v>875</v>
      </c>
      <c r="E8" s="17">
        <v>2</v>
      </c>
      <c r="F8" s="18" t="s">
        <v>893</v>
      </c>
      <c r="G8" s="16" t="s">
        <v>1090</v>
      </c>
      <c r="H8" s="16"/>
    </row>
    <row r="9" spans="1:8" ht="45" x14ac:dyDescent="0.25">
      <c r="A9" s="19" t="s">
        <v>868</v>
      </c>
      <c r="B9" s="19" t="s">
        <v>869</v>
      </c>
      <c r="C9" s="20" t="s">
        <v>876</v>
      </c>
      <c r="D9" s="21" t="s">
        <v>877</v>
      </c>
      <c r="E9" s="17">
        <v>2</v>
      </c>
      <c r="F9" s="18" t="s">
        <v>893</v>
      </c>
      <c r="G9" s="21" t="s">
        <v>1091</v>
      </c>
      <c r="H9" s="21"/>
    </row>
    <row r="10" spans="1:8" ht="45" x14ac:dyDescent="0.25">
      <c r="A10" s="14" t="s">
        <v>868</v>
      </c>
      <c r="B10" s="14" t="s">
        <v>869</v>
      </c>
      <c r="C10" s="15" t="s">
        <v>878</v>
      </c>
      <c r="D10" s="16" t="s">
        <v>879</v>
      </c>
      <c r="E10" s="23">
        <v>3</v>
      </c>
      <c r="F10" s="18" t="s">
        <v>893</v>
      </c>
      <c r="G10" s="16" t="s">
        <v>1092</v>
      </c>
      <c r="H10" s="16"/>
    </row>
    <row r="11" spans="1:8" ht="60" x14ac:dyDescent="0.25">
      <c r="A11" s="19" t="s">
        <v>868</v>
      </c>
      <c r="B11" s="19" t="s">
        <v>869</v>
      </c>
      <c r="C11" s="20" t="s">
        <v>880</v>
      </c>
      <c r="D11" s="21" t="s">
        <v>881</v>
      </c>
      <c r="E11" s="23">
        <v>3</v>
      </c>
      <c r="F11" s="18" t="s">
        <v>893</v>
      </c>
      <c r="G11" s="21" t="s">
        <v>1093</v>
      </c>
      <c r="H11" s="21"/>
    </row>
    <row r="12" spans="1:8" ht="60" x14ac:dyDescent="0.25">
      <c r="A12" s="14" t="s">
        <v>868</v>
      </c>
      <c r="B12" s="14" t="s">
        <v>869</v>
      </c>
      <c r="C12" s="15" t="s">
        <v>882</v>
      </c>
      <c r="D12" s="16" t="s">
        <v>883</v>
      </c>
      <c r="E12" s="23">
        <v>3</v>
      </c>
      <c r="F12" s="18" t="s">
        <v>893</v>
      </c>
      <c r="G12" s="16" t="s">
        <v>1094</v>
      </c>
      <c r="H12" s="16"/>
    </row>
    <row r="13" spans="1:8" ht="60" x14ac:dyDescent="0.25">
      <c r="A13" s="19" t="s">
        <v>868</v>
      </c>
      <c r="B13" s="19" t="s">
        <v>869</v>
      </c>
      <c r="C13" s="20" t="s">
        <v>884</v>
      </c>
      <c r="D13" s="21" t="s">
        <v>885</v>
      </c>
      <c r="E13" s="23">
        <v>3</v>
      </c>
      <c r="F13" s="18" t="s">
        <v>893</v>
      </c>
      <c r="G13" s="21" t="s">
        <v>1095</v>
      </c>
      <c r="H13" s="21"/>
    </row>
    <row r="14" spans="1:8" x14ac:dyDescent="0.25">
      <c r="A14" s="13" t="s">
        <v>886</v>
      </c>
      <c r="B14" s="13" t="s">
        <v>887</v>
      </c>
      <c r="C14" s="13"/>
      <c r="D14" s="13"/>
      <c r="E14" s="13"/>
      <c r="F14" s="13"/>
      <c r="G14" s="13"/>
      <c r="H14" s="13"/>
    </row>
    <row r="15" spans="1:8" ht="60" x14ac:dyDescent="0.25">
      <c r="A15" s="14" t="s">
        <v>886</v>
      </c>
      <c r="B15" s="14" t="s">
        <v>887</v>
      </c>
      <c r="C15" s="15" t="s">
        <v>888</v>
      </c>
      <c r="D15" s="16" t="s">
        <v>889</v>
      </c>
      <c r="E15" s="17">
        <v>2</v>
      </c>
      <c r="F15" s="18" t="s">
        <v>893</v>
      </c>
      <c r="G15" s="16" t="s">
        <v>1096</v>
      </c>
      <c r="H15" s="16"/>
    </row>
    <row r="16" spans="1:8" ht="90" x14ac:dyDescent="0.25">
      <c r="A16" s="19" t="s">
        <v>886</v>
      </c>
      <c r="B16" s="19" t="s">
        <v>887</v>
      </c>
      <c r="C16" s="20" t="s">
        <v>890</v>
      </c>
      <c r="D16" s="21" t="s">
        <v>891</v>
      </c>
      <c r="E16" s="17">
        <v>2</v>
      </c>
      <c r="F16" s="18" t="s">
        <v>893</v>
      </c>
      <c r="G16" s="21" t="s">
        <v>1097</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2026-05-17T00:57:46Z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