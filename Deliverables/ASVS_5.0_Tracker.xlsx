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1_04184BE8FAEDA34675B62AFB6F0CE81C351DD775" xr6:coauthVersionLast="47" xr6:coauthVersionMax="47" xr10:uidLastSave="{00000000-0000-0000-0000-000000000000}"/>
  <bookViews>
    <workbookView xWindow="-120" yWindow="-120" windowWidth="29040" windowHeight="15720" tabRatio="500" firstSheet="7" activeTab="10"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G23" i="1"/>
  <c r="F23" i="1"/>
  <c r="C23" i="1"/>
  <c r="B23" i="1"/>
  <c r="L22" i="1"/>
  <c r="M22" i="1" s="1"/>
  <c r="J22" i="1"/>
  <c r="K22" i="1" s="1"/>
  <c r="G22" i="1"/>
  <c r="H22" i="1" s="1"/>
  <c r="M21" i="1"/>
  <c r="L21" i="1"/>
  <c r="K21" i="1"/>
  <c r="J21" i="1"/>
  <c r="G21" i="1"/>
  <c r="H21" i="1" s="1"/>
  <c r="L20" i="1"/>
  <c r="M20" i="1" s="1"/>
  <c r="J20" i="1"/>
  <c r="K20" i="1" s="1"/>
  <c r="G20" i="1"/>
  <c r="H20" i="1" s="1"/>
  <c r="E20" i="1"/>
  <c r="D20" i="1"/>
  <c r="M19" i="1"/>
  <c r="L19" i="1"/>
  <c r="J19" i="1"/>
  <c r="K19" i="1" s="1"/>
  <c r="G19" i="1"/>
  <c r="H19" i="1" s="1"/>
  <c r="D19" i="1"/>
  <c r="E19" i="1" s="1"/>
  <c r="L18" i="1"/>
  <c r="M18" i="1" s="1"/>
  <c r="K18" i="1"/>
  <c r="J18" i="1"/>
  <c r="H18" i="1"/>
  <c r="G18" i="1"/>
  <c r="D18" i="1"/>
  <c r="E18" i="1" s="1"/>
  <c r="L17" i="1"/>
  <c r="M17" i="1" s="1"/>
  <c r="J17" i="1"/>
  <c r="K17" i="1" s="1"/>
  <c r="G17" i="1"/>
  <c r="H17" i="1" s="1"/>
  <c r="E17" i="1"/>
  <c r="D17" i="1"/>
  <c r="M16" i="1"/>
  <c r="L16" i="1"/>
  <c r="J16" i="1"/>
  <c r="K16" i="1" s="1"/>
  <c r="G16" i="1"/>
  <c r="H16" i="1" s="1"/>
  <c r="D16" i="1"/>
  <c r="E16" i="1" s="1"/>
  <c r="L15" i="1"/>
  <c r="M15" i="1" s="1"/>
  <c r="K15" i="1"/>
  <c r="J15" i="1"/>
  <c r="H15" i="1"/>
  <c r="G15" i="1"/>
  <c r="D15" i="1"/>
  <c r="E15" i="1" s="1"/>
  <c r="L14" i="1"/>
  <c r="M14" i="1" s="1"/>
  <c r="G14" i="1"/>
  <c r="H14" i="1" s="1"/>
  <c r="D14" i="1"/>
  <c r="E14" i="1" s="1"/>
  <c r="M13" i="1"/>
  <c r="L13" i="1"/>
  <c r="K13" i="1"/>
  <c r="J13" i="1"/>
  <c r="G13" i="1"/>
  <c r="H13" i="1" s="1"/>
  <c r="D13" i="1"/>
  <c r="E13" i="1" s="1"/>
  <c r="L12" i="1"/>
  <c r="M12" i="1" s="1"/>
  <c r="J12" i="1"/>
  <c r="K12" i="1" s="1"/>
  <c r="H12" i="1"/>
  <c r="G12" i="1"/>
  <c r="E12" i="1"/>
  <c r="D12" i="1"/>
  <c r="L11" i="1"/>
  <c r="M11" i="1" s="1"/>
  <c r="J11" i="1"/>
  <c r="K11" i="1" s="1"/>
  <c r="G11" i="1"/>
  <c r="H11" i="1" s="1"/>
  <c r="D11" i="1"/>
  <c r="E11" i="1" s="1"/>
  <c r="M10" i="1"/>
  <c r="L10" i="1"/>
  <c r="K10" i="1"/>
  <c r="J10" i="1"/>
  <c r="G10" i="1"/>
  <c r="H10" i="1" s="1"/>
  <c r="D10" i="1"/>
  <c r="E10" i="1" s="1"/>
  <c r="L9" i="1"/>
  <c r="M9" i="1" s="1"/>
  <c r="J9" i="1"/>
  <c r="K9" i="1" s="1"/>
  <c r="H9" i="1"/>
  <c r="G9" i="1"/>
  <c r="E9" i="1"/>
  <c r="D9" i="1"/>
  <c r="L8" i="1"/>
  <c r="M8" i="1" s="1"/>
  <c r="J8" i="1"/>
  <c r="K8" i="1" s="1"/>
  <c r="G8" i="1"/>
  <c r="H8" i="1" s="1"/>
  <c r="D8" i="1"/>
  <c r="E8" i="1" s="1"/>
  <c r="M7" i="1"/>
  <c r="L7" i="1"/>
  <c r="K7" i="1"/>
  <c r="J7" i="1"/>
  <c r="G7" i="1"/>
  <c r="H7" i="1" s="1"/>
  <c r="D7" i="1"/>
  <c r="E7" i="1" s="1"/>
  <c r="L6" i="1"/>
  <c r="L23" i="1" s="1"/>
  <c r="J6" i="1"/>
  <c r="K6" i="1" s="1"/>
  <c r="H6" i="1"/>
  <c r="G6" i="1"/>
  <c r="D6" i="1"/>
  <c r="E6" i="1" s="1"/>
  <c r="K23" i="1" l="1"/>
  <c r="E23" i="1"/>
  <c r="H23" i="1"/>
  <c r="D23" i="1"/>
  <c r="J23" i="1"/>
  <c r="M6" i="1"/>
  <c r="M23" i="1" s="1"/>
</calcChain>
</file>

<file path=xl/sharedStrings.xml><?xml version="1.0" encoding="utf-8"?>
<sst xmlns="http://schemas.openxmlformats.org/spreadsheetml/2006/main" count="2446" uniqueCount="1282">
  <si>
    <t>Section ID</t>
  </si>
  <si>
    <t>Section Name</t>
  </si>
  <si>
    <t>Req ID</t>
  </si>
  <si>
    <t>Description</t>
  </si>
  <si>
    <t>Level</t>
  </si>
  <si>
    <t>Status</t>
  </si>
  <si>
    <t>Observations</t>
  </si>
  <si>
    <t>Reference / Link</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</si>
  <si>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</si>
  <si>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</si>
  <si>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</si>
  <si>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</si>
  <si>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Compliant</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</si>
  <si>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</si>
  <si>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</si>
  <si>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</si>
  <si>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</si>
  <si>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In Progress</t>
  </si>
  <si>
    <t>All HTTP traffic is redirected to HTTPS at the reverse proxy level. The application itself is only exposed over HTTPS.</t>
  </si>
  <si>
    <t>Api/src/main/.../Security/RateLimitFilter.java (Bucket4j, 20 req/min per IP on /api/auth/login, /api/auth/register, /api/publisher/games)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</si>
  <si>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</si>
  <si>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</si>
  <si>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</si>
  <si>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Api/src/main/.../Security/SecurityConfig.java; Security/RateLimitFilter.java; Dto/Request/ (Bean Validation annotations)</t>
  </si>
  <si>
    <t>V4.1.4</t>
  </si>
  <si>
    <t>Verify that only HTTP methods that are explicitly supported by the application or its API (including OPTIONS during preflight requests) can be used and that unused methods are blocked.</t>
  </si>
  <si>
    <t>Not Applicable</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</si>
  <si>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</si>
  <si>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</si>
  <si>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</si>
  <si>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</si>
  <si>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</si>
  <si>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</si>
  <si>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</si>
  <si>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</si>
  <si>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</si>
  <si>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</si>
  <si>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</si>
  <si>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</si>
  <si>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</si>
  <si>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</si>
  <si>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</si>
  <si>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</si>
  <si>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</si>
  <si>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</si>
  <si>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</si>
  <si>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</si>
  <si>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</si>
  <si>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</si>
  <si>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</si>
  <si>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</si>
  <si>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</si>
  <si>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</si>
  <si>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</si>
  <si>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</si>
  <si>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</si>
  <si>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</si>
  <si>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</si>
  <si>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</si>
  <si>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</si>
  <si>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</si>
  <si>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</si>
  <si>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</si>
  <si>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</si>
  <si>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</si>
  <si>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</si>
  <si>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</si>
  <si>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</si>
  <si>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</si>
  <si>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</si>
  <si>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</si>
  <si>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</si>
  <si>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</si>
  <si>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</si>
  <si>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</si>
  <si>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</si>
  <si>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</si>
  <si>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</si>
  <si>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</si>
  <si>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</si>
  <si>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</si>
  <si>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</si>
  <si>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</si>
  <si>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</si>
  <si>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</si>
  <si>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</si>
  <si>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</si>
  <si>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</si>
  <si>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</si>
  <si>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</si>
  <si>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</si>
  <si>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</si>
  <si>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</si>
  <si>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</si>
  <si>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</si>
  <si>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</si>
  <si>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</si>
  <si>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</si>
  <si>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</si>
  <si>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</si>
  <si>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</si>
  <si>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</si>
  <si>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ArcadeHeaven uses Spring Boot which automatically deserializes JSON inputs into Java objects ensuring a canonical form at entry. Validation will be enforced using Bean Validation</t>
  </si>
  <si>
    <t>Api/src/main/.../Dto/Request/RegisterRequest.java; Api/src/main/.../Validation/NoHtmlValidator.java</t>
  </si>
  <si>
    <t>V1.1.2</t>
  </si>
  <si>
    <t>Verify that the application performs output encoding and escaping either as a final step before being used by the interpreter for which it is intended or by the interpreter itself.</t>
  </si>
  <si>
    <t>Output is mainly JSON responses and server generated files (PDF invoices, activation keys). When writing files to filesystem, untrusted data will be properly escaped or sanitized</t>
  </si>
  <si>
    <t>Api/src/main/.../Exception/GlobalExceptionHandler.java (JSON error responses, no raw stack traces); Security/SecurityEventHandler.java (writeJson via ObjectMapper)</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</si>
  <si>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</si>
  <si>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</si>
  <si>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</si>
  <si>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</si>
  <si>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</si>
  <si>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</si>
  <si>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</si>
  <si>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Not Started</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</si>
  <si>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</si>
  <si>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</si>
  <si>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</si>
  <si>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</si>
  <si>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</si>
  <si>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</si>
  <si>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</si>
  <si>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</si>
  <si>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</si>
  <si>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</si>
  <si>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</si>
  <si>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</si>
  <si>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</si>
  <si>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</si>
  <si>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</si>
  <si>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</si>
  <si>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</si>
  <si>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</si>
  <si>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</si>
  <si>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</si>
  <si>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</si>
  <si>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</si>
  <si>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</si>
  <si>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</si>
  <si>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</si>
  <si>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</si>
  <si>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</si>
  <si>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</si>
  <si>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</si>
  <si>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</si>
  <si>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</si>
  <si>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</si>
  <si>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</si>
  <si>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</si>
  <si>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</si>
  <si>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</si>
  <si>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</si>
  <si>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</si>
  <si>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</si>
  <si>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</si>
  <si>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</si>
  <si>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</si>
  <si>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</si>
  <si>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</si>
  <si>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</si>
  <si>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</si>
  <si>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</si>
  <si>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</si>
  <si>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</si>
  <si>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</si>
  <si>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Logging uses only SLF4J with parameterized placeholders (log.warn(“message: {}”, value))</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</si>
  <si>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</si>
  <si>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</si>
  <si>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</si>
  <si>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</si>
  <si>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</si>
  <si>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</si>
  <si>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</si>
  <si>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</si>
  <si>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</si>
  <si>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</si>
  <si>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</si>
  <si>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</si>
  <si>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</si>
  <si>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</si>
  <si>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</si>
  <si>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</si>
  <si>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</si>
  <si>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</si>
  <si>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</si>
  <si>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</si>
  <si>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</si>
  <si>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</si>
  <si>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</si>
  <si>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</si>
  <si>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</si>
  <si>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</si>
  <si>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will be formally defined using DTO constraints and documented per endpoint</t>
  </si>
  <si>
    <t>Api/src/main/.../Dto/Request/RegisterRequest.java (@NoHtml, @Size, @Email, @NotBlank); Dto/Request/CreateGameRequest.java; Validation/NoHtmlValidator.java; Validation/FileValidator.java</t>
  </si>
  <si>
    <t>V2.1.2</t>
  </si>
  <si>
    <t>Verify that the application's documentation defines how to validate the logical and contextual consistency of combined data items, such as checking that suburb and ZIP code match.</t>
  </si>
  <si>
    <t>Logical consistency rules will be documented, including constraints such as valid price ranges, non-negative quantities, and consistency between related fields</t>
  </si>
  <si>
    <t>Api/src/main/.../Domain/Order.java; Domain/Library.java; Service/OrderService.java (domain-level business rule enforcement)</t>
  </si>
  <si>
    <t>V2.1.3</t>
  </si>
  <si>
    <t>Verify that expectations for business logic limits and validations are documented, including both per-user and globally across the application.</t>
  </si>
  <si>
    <t>Business rules will be defined for both per-user and global constraints</t>
  </si>
  <si>
    <t>Api/src/main/.../Domain/Order.java (status transitions); Service/OrderService.java (item limits, status checks); Service/LibraryService.java</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</si>
  <si>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</si>
  <si>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</si>
  <si>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</si>
  <si>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</si>
  <si>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All request DTOs use Bean Validation</t>
  </si>
  <si>
    <t>V2.2.2</t>
  </si>
  <si>
    <t>Verify that the application is designed to enforce input validation at a trusted service layer. While client-side validation improves usability and should be encouraged, it must not be relied upon as a security control.</t>
  </si>
  <si>
    <t>All validation is performed server-side using Spring Bean Validation in the controller/service layer. There is no frontend implementation that performs client-side validation, so there is no risk of bypass. The tracker must be updated.</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</si>
  <si>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</si>
  <si>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</si>
  <si>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</si>
  <si>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</si>
  <si>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</si>
  <si>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</si>
  <si>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</si>
  <si>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</si>
  <si>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</si>
  <si>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</si>
  <si>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</si>
  <si>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</si>
  <si>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</si>
  <si>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</si>
  <si>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</si>
  <si>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</si>
  <si>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</si>
  <si>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</si>
  <si>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</si>
  <si>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</si>
  <si>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</si>
  <si>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</si>
  <si>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</si>
  <si>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</si>
  <si>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</si>
  <si>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</si>
  <si>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</si>
  <si>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</si>
  <si>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</si>
  <si>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</si>
  <si>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</si>
  <si>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</si>
  <si>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</si>
  <si>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</si>
  <si>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</si>
  <si>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</si>
  <si>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</si>
  <si>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</si>
  <si>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</si>
  <si>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</si>
  <si>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</si>
  <si>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</si>
  <si>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</si>
  <si>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</si>
  <si>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</si>
  <si>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</si>
  <si>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</si>
  <si>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</si>
  <si>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</si>
  <si>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</si>
  <si>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</si>
  <si>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</si>
  <si>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</si>
  <si>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</si>
  <si>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</si>
  <si>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</si>
  <si>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</si>
  <si>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</si>
  <si>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HSTS header (`Strict-Transport-Security: max-age=31536000; includeSubDomains`) will be enforced on all API responses via Spring Security</t>
  </si>
  <si>
    <t>Api/src/main/.../Security/SecurityConfig.java (hsts maxAge=31536000, includeSubDomains=true)</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</si>
  <si>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</si>
  <si>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</si>
  <si>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will be configured with a strict allowlist of trusted origins. `Access-Control-Allow-Origin: *` will not be used on authenticated endpoints.</t>
  </si>
  <si>
    <t>Api/src/main/.../Security/SecurityConfig.java (corsConfigurationSource, explicit allowlist); application.properties (security.cors.allowed-origins)</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</si>
  <si>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</si>
  <si>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</si>
  <si>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</si>
  <si>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</si>
  <si>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</si>
  <si>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`X-Content-Type-Options: nosniff` will be included on all API responses via Spring Security headers configuration.</t>
  </si>
  <si>
    <t>Api/src/main/.../Security/SecurityConfig.java (contentTypeOptions nosniff)</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</si>
  <si>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</si>
  <si>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</si>
  <si>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</si>
  <si>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</si>
  <si>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</si>
  <si>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</si>
  <si>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</si>
  <si>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</si>
  <si>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</si>
  <si>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</si>
  <si>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</si>
  <si>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</si>
  <si>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</si>
  <si>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</si>
  <si>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</si>
  <si>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</si>
  <si>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</si>
  <si>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</si>
  <si>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</si>
  <si>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</si>
  <si>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</si>
  <si>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</si>
  <si>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</si>
  <si>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</si>
  <si>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</si>
  <si>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</si>
  <si>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</si>
  <si>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</si>
  <si>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</si>
  <si>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</si>
  <si>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</si>
  <si>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</si>
  <si>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</si>
  <si>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</si>
  <si>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</si>
  <si>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</si>
  <si>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</si>
  <si>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</si>
  <si>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</si>
  <si>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</si>
  <si>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</si>
  <si>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</si>
  <si>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</si>
  <si>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</si>
  <si>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</si>
  <si>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</si>
  <si>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</si>
  <si>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</si>
  <si>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</si>
  <si>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</si>
  <si>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</si>
  <si>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</si>
  <si>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</si>
  <si>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</si>
  <si>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</si>
  <si>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</si>
  <si>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</si>
  <si>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</si>
  <si>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</si>
  <si>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</si>
  <si>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</si>
  <si>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</si>
  <si>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</si>
  <si>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</si>
  <si>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</si>
  <si>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Api/src/main/.../Validation/FileValidator.java (ALLOWED_TYPES map per FileType enum); Domain/Enums/FileType.java (IMAGE, SCREENSHOT, COVER)</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</si>
  <si>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</si>
  <si>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</si>
  <si>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</si>
  <si>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</si>
  <si>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</si>
  <si>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Api/src/main/resources/application.properties (max-file-size=25MB); Exception/GlobalExceptionHandler.java (HTTP 413)</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</si>
  <si>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</si>
  <si>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</si>
  <si>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</si>
  <si>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Api/src/main/.../Validation/FileValidator.java (Tika MIME detection from file bytes); Service/FileStorageService.java (path traversal prevention)</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</si>
  <si>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</si>
  <si>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</si>
  <si>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</si>
  <si>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</si>
  <si>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</si>
  <si>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</si>
  <si>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</si>
  <si>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</si>
  <si>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</si>
  <si>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</si>
  <si>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</si>
  <si>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</si>
  <si>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</si>
  <si>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</si>
  <si>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</si>
  <si>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</si>
  <si>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</si>
  <si>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</si>
  <si>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</si>
  <si>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</si>
  <si>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</si>
  <si>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</si>
  <si>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</si>
  <si>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</si>
  <si>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</si>
  <si>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</si>
  <si>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</si>
  <si>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</si>
  <si>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</si>
  <si>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</si>
  <si>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</si>
  <si>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The application must document how rate limiting, anti-automation, and adaptive response mechanisms are applied to authentication endpoints, particularly the login and registration flows.</t>
  </si>
  <si>
    <t>Api/src/main/.../Security/RateLimitFilter.java (Bucket4j, 20 req/min per IP); Security/SecurityAuditService.java (alert threshold at 10 events/window)</t>
  </si>
  <si>
    <t>V6.1.2</t>
  </si>
  <si>
    <t>Verify that a list of context-specific words is documented in order to prevent their use in passwords. The list could include permutations of organization names, product names, system identifiers, project codenames, department or role names, and similar.</t>
  </si>
  <si>
    <t>The application must maintain and enforce a list of context-specific words (e.g. "ArcadeHaven", "pixel", "vault", "admin") that cannot be used as passwords or as part of passwords.</t>
  </si>
  <si>
    <t>Api/src/main/.../Service/PasswordPolicyService.java (CONTEXT_BLOCKLIST: arcadehaven, arcade, haven, gaming, admin, gamer, password, etc.)</t>
  </si>
  <si>
    <t>V6.1.3</t>
  </si>
  <si>
    <t>Verify that, if the application includes multiple authentication pathways, these are all documented together with the security controls and authentication strength which must be consistently enforced across them.</t>
  </si>
  <si>
    <t>All authentication pathways must be documented together with their associated security controls. ArcadeHaven's JWT-based authentication flow must include documentation of token issuance, validation, expiration, and revocation mechanisms.</t>
  </si>
  <si>
    <t>Api/src/main/.../Service/AuthService.java (login, register, logout flows); Controller/AuthController.java; Security/SecurityConfig.java</t>
  </si>
  <si>
    <t>V6.2</t>
  </si>
  <si>
    <t>Password Security</t>
  </si>
  <si>
    <t>V6.2.1</t>
  </si>
  <si>
    <t>Verify that user set passwords are at least 8 characters in length although a minimum of 15 characters is strongly recommended.</t>
  </si>
  <si>
    <t>The application must enforce a minimum password length of 12 characters for all user-set passwords, validated server-side on registration and password change.</t>
  </si>
  <si>
    <t>Api/src/main/.../Dto/Request/RegisterRequest.java (@Size(min=12, max=128) on password field)</t>
  </si>
  <si>
    <t>V6.2.2</t>
  </si>
  <si>
    <t>Verify that users can change their password.</t>
  </si>
  <si>
    <t>The application must provide all authenticated users with the ability to change their own password through a dedicated and secured endpoint.</t>
  </si>
  <si>
    <t>Api/src/main/.../Controller/ProfileController.java (@PatchMapping /api/profile); Service/ProfileService.java (updateProfile)</t>
  </si>
  <si>
    <t>V6.2.3</t>
  </si>
  <si>
    <t>Verify that password change functionality requires the user's current and new password.</t>
  </si>
  <si>
    <t>The password change endpoint must require the user's current password and new password. The current password must be verified before the change is applied.</t>
  </si>
  <si>
    <t>V6.2.4</t>
  </si>
  <si>
    <t>Verify that passwords submitted during account registration or password change are checked against an available set of, at least, the top 3000 passwords which match the application's password policy, e.g. minimum length.</t>
  </si>
  <si>
    <t>The application must check all passwords submitted during registration or password change against a blocklist of at least the top 3000 most common passwords. Passwords found on the blocklist must be rejected with an appropriate error message.</t>
  </si>
  <si>
    <t>Api/src/main/.../Service/PasswordPolicyService.java (checkHibp: k-anonymity SHA-1 prefix HIBP check; checkCommonPasswords: 3000+ blocked passwords)</t>
  </si>
  <si>
    <t>V6.2.5</t>
  </si>
  <si>
    <t>Verify that passwords of any composition can be used, without rules limiting the type of characters permitted. There must be no requirement for a minimum number of upper or lower case characters, numbers, or special characters.</t>
  </si>
  <si>
    <t>The application must not impose character composition rules on passwords. No requirement for uppercase, lowercase, numbers, or special characters shall be enforced. Only minimum length will be validated.</t>
  </si>
  <si>
    <t>Api/src/main/.../Service/PasswordPolicyService.java (only length/blocklist/HIBP checks enforced, no character composition restrictions)</t>
  </si>
  <si>
    <t>V6.2.6</t>
  </si>
  <si>
    <t>Verify that password input fields use type=password to mask the entry. Applications may allow the user to temporarily view the entire masked password, or the last typed character of the password.</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</si>
  <si>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</si>
  <si>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</si>
  <si>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</si>
  <si>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</si>
  <si>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</si>
  <si>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</si>
  <si>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</si>
  <si>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</si>
  <si>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</si>
  <si>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</si>
  <si>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The application must permit passwords of at least 64 characters in length. The database schema and all validation layers must support this without truncation.</t>
  </si>
  <si>
    <t>Api/src/main/.../Dto/Request/RegisterRequest.java (@Size(max=128) allows passwords up to 128 chars)</t>
  </si>
  <si>
    <t>V6.2.10</t>
  </si>
  <si>
    <t>Verify that a user's password stays valid until it is discovered to be compromised or the user rotates it. The application must not require periodic credential rotation.</t>
  </si>
  <si>
    <t>The application must not enforce periodic password expiration. Passwords remain valid until the user changes them voluntarily or a breach is detected.</t>
  </si>
  <si>
    <t>Api/src/main/.../Service/AuthService.java (Keycloak manages password lifecycle); Config/KeycloakAdminConfig.java</t>
  </si>
  <si>
    <t>V6.2.11</t>
  </si>
  <si>
    <t>Verify that the documented list of context specific words is used to prevent easy to guess passwords being created.</t>
  </si>
  <si>
    <t>The application must actively validate passwords against the context-specific blocklist defined in previously during registration and password change, rejecting any password that contains a blocked term.</t>
  </si>
  <si>
    <t>Api/src/main/.../Service/PasswordPolicyService.java (checkContextSpecific: blocklist enforced at registration)</t>
  </si>
  <si>
    <t>V6.2.12</t>
  </si>
  <si>
    <t>Verify that passwords submitted during account registration or password changes are checked against a set of breached passwords.</t>
  </si>
  <si>
    <t>The application must check passwords submitted during registration and password changes against a breached password database. The HaveIBeenPwned API (k-anonymity model) will be used to perform this check without exposing the plain-text password.</t>
  </si>
  <si>
    <t>Api/src/main/.../Service/PasswordPolicyService.java (checkHibp: Have I Been Pwned k-anonymity integration)</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</si>
  <si>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</si>
  <si>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</si>
  <si>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</si>
  <si>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</si>
  <si>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</si>
  <si>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</si>
  <si>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</si>
  <si>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</si>
  <si>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</si>
  <si>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</si>
  <si>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</si>
  <si>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</si>
  <si>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The application must support multi-factor authentication. MFA must be mandatory for ADMIN role accounts and optional for PUBLISHER and BUYER roles. TOTP (RFC 6238) is the target mechanism.</t>
  </si>
  <si>
    <t>Api/src/main/.../Service/AuthService.java (Keycloak MFA delegation); Config/KeycloakAdminConfig.java</t>
  </si>
  <si>
    <t>V6.3.4</t>
  </si>
  <si>
    <t>Verify that, if the application includes multiple authentication pathways, there are no undocumented pathways and that security controls and authentication strength are enforced consistently.</t>
  </si>
  <si>
    <t>All authentication pathways must be documented and subject to the same security controls. No undocumented or backdoor authentication pathways are permitted.</t>
  </si>
  <si>
    <t>Api/src/main/.../Service/AuthService.java (login/register/logout); Security/SecurityConfig.java (consistent JWT validation across all endpoints)</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</si>
  <si>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</si>
  <si>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</si>
  <si>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</si>
  <si>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</si>
  <si>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</si>
  <si>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</si>
  <si>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</si>
  <si>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</si>
  <si>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</si>
  <si>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</si>
  <si>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</si>
  <si>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</si>
  <si>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System-generated passwords and activation codes must be generated using a cryptographically secure random number generator (SecureRandom), comply with the password policy, and expire within 24 hours of generation.</t>
  </si>
  <si>
    <t>Api/src/main/.../Config/AdminInitializer.java (env-var ADMIN_PASSWORD for initial admin account)</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</si>
  <si>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</si>
  <si>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</si>
  <si>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</si>
  <si>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</si>
  <si>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</si>
  <si>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</si>
  <si>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The password reset process must use a cryptographically secure, single-use token with a maximum validity of 1 hour. The process must not bypass MFA and must invalidate the token immediately after use.</t>
  </si>
  <si>
    <t>V6.4.4</t>
  </si>
  <si>
    <t>Verify that if a multi-factor authentication factor is lost, evidence of identity proofing is performed at the same level as during enrollment.</t>
  </si>
  <si>
    <t>Account recovery following loss of an MFA factor must require identity verification at the same assurance level as the original enrollment process.</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</si>
  <si>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</si>
  <si>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</si>
  <si>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</si>
  <si>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</si>
  <si>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</si>
  <si>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</si>
  <si>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</si>
  <si>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</si>
  <si>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All one-time passwords, lookup secrets, and out-of-band codes must be invalidated immediately after a single successful use. Replay of used codes must be rejected.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</si>
  <si>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</si>
  <si>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</si>
  <si>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All lookup secrets stored in the database must be hashed using BCrypt or an equivalent approved password hashing algorithm. Plain-text storage of any secret is strictly prohibited.</t>
  </si>
  <si>
    <t>V6.5.3</t>
  </si>
  <si>
    <t>Verify that lookup secrets, out-of-band authentication code, and time-based one-time password seeds, are generated using a Cryptographically Secure Pseudorandom Number Generator (CSPRNG) to avoid predictable values.</t>
  </si>
  <si>
    <t>All lookup secrets, out-of-band authentication codes, and TOTP seeds must be generated using SecureRandom or an equivalent CSPRNG. Use of Math.random() or similar non-cryptographic generators is strictly prohibited.</t>
  </si>
  <si>
    <t>V6.5.4</t>
  </si>
  <si>
    <t>Verify that lookup secrets and out-of-band authentication codes have a minimum of 20 bits of entropy (typically 4 random alphanumeric characters or 6 random digits is sufficient).</t>
  </si>
  <si>
    <t>All lookup secrets and out-of-band authentication codes must have a minimum of 20 bits of entropy. ArcadeHaven will use 6-character alphanumeric codes as the baseline, providing at least 31 bits of entropy.</t>
  </si>
  <si>
    <t>V6.5.5</t>
  </si>
  <si>
    <t>Verify that out-of-band authentication requests, codes, or tokens, as well as time-based one-time passwords (TOTPs) have a defined lifetime. Out of band requests must have a maximum lifetime of 10 minutes and for TOTP a maximum lifetime of 30 seconds.</t>
  </si>
  <si>
    <t>Out-of-band authentication codes must expire after a maximum of 5 minutes. TOTP validation must use a time window of ±1 step (30 seconds). Expired codes must be rejected.</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</si>
  <si>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</si>
  <si>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</si>
  <si>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</si>
  <si>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</si>
  <si>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</si>
  <si>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</si>
  <si>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</si>
  <si>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</si>
  <si>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</si>
  <si>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</si>
  <si>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</si>
  <si>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</si>
  <si>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</si>
  <si>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All out-of-band authentication codes must be cryptographically bound to the specific authentication request and session for which they were generated. Cross-session reuse must be rejected.</t>
  </si>
  <si>
    <t>V6.6.3</t>
  </si>
  <si>
    <t>Verify that a code based out-of-band authentication mechanism is protected against brute force attacks by using rate limiting. Consider also using a code with at least 64 bits of entropy.</t>
  </si>
  <si>
    <t>OTP verification endpoints must enforce rate limiting, rejecting further attempts after 5 consecutive failures. Codes must expire after a maximum of 5 minutes as defined in V6.5.5.</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</si>
  <si>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</si>
  <si>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</si>
  <si>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</si>
  <si>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</si>
  <si>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</si>
  <si>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</si>
  <si>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</si>
  <si>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</si>
  <si>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</si>
  <si>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</si>
  <si>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</si>
  <si>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</si>
  <si>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</si>
  <si>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</si>
  <si>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</si>
  <si>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</si>
  <si>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</si>
  <si>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</si>
  <si>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</si>
  <si>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JWT access tokens must have a maximum validity of 15 minutes. A token denylist mechanism must be implemented to support immediate invalidation upon logout or security events.</t>
  </si>
  <si>
    <t>Api/src/main/.../Service/AuthService.java (logout() calls keycloak.realm().users().get().logout() revoking all sessions); Controller/AuthController.java</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</si>
  <si>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</si>
  <si>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</si>
  <si>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</si>
  <si>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</si>
  <si>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</si>
  <si>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</si>
  <si>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</si>
  <si>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Token lifetimes will be defined and documented, including short-lived access tokens and longer-lived refresh tokens, with justification based on security requirements</t>
  </si>
  <si>
    <t>Api/src/main/.../Service/AuthService.java (expires_in returned in LoginResponse); application.properties (jwt.issuer-uri); Controller/AuthController.java (logout)</t>
  </si>
  <si>
    <t>V7.1.2</t>
  </si>
  <si>
    <t>Verify that the documentation defines how many concurrent (parallel) sessions are allowed for one account as well as the intended behaviors and actions to be taken when the maximum number of active sessions is reached.</t>
  </si>
  <si>
    <t>Session management is implemented using stateless access tokens (JWT). Token lifecycle, issuance, validation, and renewal mechanisms will be documented</t>
  </si>
  <si>
    <t>Api/src/main/.../Service/AuthService.java (logout revokes all Keycloak sessions); Security/SecurityConfig.java (stateless, no concurrent server sessions)</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</si>
  <si>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</si>
  <si>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</si>
  <si>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OAuth 2.0 flows will be documented, including token issuance and refresh mechanisms</t>
  </si>
  <si>
    <t>Api/src/main/.../Security/SecurityConfig.java (stateless JWT-based sessions); Service/AuthService.java; Controller/AuthController.java</t>
  </si>
  <si>
    <t>V7.2</t>
  </si>
  <si>
    <t>Fundamental Session Management Security</t>
  </si>
  <si>
    <t>V7.2.1</t>
  </si>
  <si>
    <t>Verify that the application performs all session token verification using a trusted, backend service.</t>
  </si>
  <si>
    <t>JWT validation is performed exclusively on the server by the Spring Security JWT decoder, using Keycloak's JWKS endpoint. No tokens are validated on the client side or via frontend logic. The tracker must be updated.</t>
  </si>
  <si>
    <t>V7.2.2</t>
  </si>
  <si>
    <t>Verify that the application uses either self-contained or reference tokens that are dynamically generated for session management, i.e. not using static API secrets and keys.</t>
  </si>
  <si>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</si>
  <si>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</si>
  <si>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</si>
  <si>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</si>
  <si>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</si>
  <si>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</si>
  <si>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</si>
  <si>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</si>
  <si>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</si>
  <si>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</si>
  <si>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</si>
  <si>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</si>
  <si>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</si>
  <si>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</si>
  <si>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</si>
  <si>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</si>
  <si>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</si>
  <si>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</si>
  <si>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</si>
  <si>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</si>
  <si>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</si>
  <si>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</si>
  <si>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</si>
  <si>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</si>
  <si>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</si>
  <si>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</si>
  <si>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</si>
  <si>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</si>
  <si>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</si>
  <si>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</si>
  <si>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</si>
  <si>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</si>
  <si>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</si>
  <si>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</si>
  <si>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</si>
  <si>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</si>
  <si>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</si>
  <si>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</si>
  <si>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</si>
  <si>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The authentication flow requires explicit user action (submitting credentials to Keycloak). Spring Boot does not automatically create sessions, it is stateless. The JWT is only issued after successful authentication. The tracker must be updated.</t>
  </si>
  <si>
    <t>V8.1</t>
  </si>
  <si>
    <t>Authorization Documentation</t>
  </si>
  <si>
    <t>V8.1.1</t>
  </si>
  <si>
    <t>Verify that authorization documentation defines rules for restricting function-level and data-specific access based on consumer permissions and resource attributes.</t>
  </si>
  <si>
    <t>Authorization will be based on role-based access control, defining permissions for roles</t>
  </si>
  <si>
    <t>Api/src/main/.../Security/SecurityConfig.java (role-based URL rules: ADMIN, PUBLISHER, BUYER; deny-all default)</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</si>
  <si>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</si>
  <si>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</si>
  <si>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access control will be enforced at the API response layer using DTO projections and service-level filtering to prevent exposure of sensitive attributes</t>
  </si>
  <si>
    <t>Api/src/main/.../Security/SecurityConfig.java; Service/GameService.java (findByIdAndPublisher); Service/FileStorageService.java (path traversal prevention)</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</si>
  <si>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</si>
  <si>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</si>
  <si>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</si>
  <si>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</si>
  <si>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</si>
  <si>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</si>
  <si>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</si>
  <si>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</si>
  <si>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</si>
  <si>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</si>
  <si>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</si>
  <si>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</si>
  <si>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</si>
  <si>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</si>
  <si>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</si>
  <si>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</si>
  <si>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</si>
  <si>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</si>
  <si>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</si>
  <si>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</si>
  <si>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</si>
  <si>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</si>
  <si>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</si>
  <si>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</si>
  <si>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</si>
  <si>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</si>
  <si>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</si>
  <si>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</si>
  <si>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</si>
  <si>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</si>
  <si>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</si>
  <si>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</si>
  <si>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</si>
  <si>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</si>
  <si>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</si>
  <si>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</si>
  <si>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</si>
  <si>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</si>
  <si>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</si>
  <si>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</si>
  <si>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</si>
  <si>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</si>
  <si>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</si>
  <si>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</si>
  <si>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</si>
  <si>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</si>
  <si>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</si>
  <si>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</si>
  <si>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</si>
  <si>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</si>
  <si>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</si>
  <si>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</si>
  <si>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</si>
  <si>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</si>
  <si>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</si>
  <si>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</si>
  <si>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</si>
  <si>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</si>
  <si>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</si>
  <si>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</si>
  <si>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</si>
  <si>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</si>
  <si>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ArcadeHaven will issue distinct token types (access token, refresh token)</t>
  </si>
  <si>
    <t>Api/src/main/.../Security/SecurityConfig.java (Spring Security JWT decoder validates exp, nbf, iss automatically)</t>
  </si>
  <si>
    <t>V9.2.3</t>
  </si>
  <si>
    <t>Verify that the service only accepts tokens which are intended for use with that service (audience). For JWTs, this can be achieved by validating the 'aud' claim against an allowlist defined in the service.</t>
  </si>
  <si>
    <t>JWT tokens will include an aud (audience) claim set to arcadehaven-api. The validation layer will reject any token whose aud claim does not match the expected value.</t>
  </si>
  <si>
    <t>Api/src/main/.../Security/SecurityConfig.java (issuer-uri validation per realm); application.properties (jwk-set-uri)</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</si>
  <si>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</si>
  <si>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</si>
  <si>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ArcadeHaven uses a single audience (arcadehaven-api), so audience confusion risk is low.</t>
  </si>
  <si>
    <t>Api/src/main/.../Security/SecurityConfig.java (JWK set URI bound to single Keycloak realm); application.properties (jwt.issuer-uri)</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</si>
  <si>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</si>
  <si>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</si>
  <si>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</si>
  <si>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</si>
  <si>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</si>
  <si>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</si>
  <si>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</si>
  <si>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</si>
  <si>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</si>
  <si>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</si>
  <si>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</si>
  <si>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</si>
  <si>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</si>
  <si>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</si>
  <si>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</si>
  <si>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</si>
  <si>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</si>
  <si>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</si>
  <si>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</si>
  <si>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</si>
  <si>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</si>
  <si>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</si>
  <si>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</si>
  <si>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</si>
  <si>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Configured via spring.security.oauth2.resourceserver.jwt.audiences=arcadehaven-api. Tokens with a different audience are rejected with 401.</t>
  </si>
  <si>
    <t>Api/src/main/resources/application.properties (spring.security.oauth2.resourceserver.jwt.audiences=arcadehaven-api); Security/SecurityConfig.java</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</si>
  <si>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</si>
  <si>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</si>
  <si>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</si>
  <si>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</si>
  <si>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</si>
  <si>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</si>
  <si>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</si>
  <si>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</si>
  <si>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</si>
  <si>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</si>
  <si>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</si>
  <si>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</si>
  <si>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</si>
  <si>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</si>
  <si>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</si>
  <si>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</si>
  <si>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</si>
  <si>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</si>
  <si>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arcadehaven-public client is configured with an explicit allowlist of redirect URIs using exact string matching: http://localhost:3000/* and http://localhost:5173/*. No wildcards that would allow arbitrary redirects are permitted.</t>
  </si>
  <si>
    <t>keycloak/realm-export.json (arcadehaven-public client.redirectUris: ["http://localhost:3000/*", "http://localhost:5173/*"])</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</si>
  <si>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</si>
  <si>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</si>
  <si>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second request and revokes any tokens previously issued from that code. This is built-in behavior of the Keycloak authorization server.</t>
  </si>
  <si>
    <t>keycloak/realm-export.json (Keycloak 26.2 native: single-use auth codes enforced by authorization server)</t>
  </si>
  <si>
    <t>V10.4.3</t>
  </si>
  <si>
    <t>Verify that the authorization code is short-lived. The maximum lifetime can be up to 10 minutes for L1 and L2 applications and up to 1 minute for L3 applications.</t>
  </si>
  <si>
    <t>Authorization codes are configured with a 60-second lifetime (accessCodeLifespan=60) in the Keycloak realm. This is well within the L1/L2 maximum of 10 minutes and provides strong protection against code interception.</t>
  </si>
  <si>
    <t>keycloak/realm-export.json (accessCodeLifespan=60 seconds)</t>
  </si>
  <si>
    <t>V10.4.4</t>
  </si>
  <si>
    <t>Verify that for a given client, the authorization server only allows the usage of grants that this client needs to use. Note that the grants 'token' (Implicit flow) and 'password' (Resource Owner Password Credentials flow) must no longer be used.</t>
  </si>
  <si>
    <t>Implicit flow (response_type=token) is explicitly disabled for all ArcadeHaven clients (implicitFlowEnabled=false). However, the Resource Owner Password Credentials grant is used by AuthService.login() as an architectural dependency -- the Spring Boot API acts as a login proxy for clients that cannot perform browser redirects. PKCE Authorization Code flow is enforced for browser clients.</t>
  </si>
  <si>
    <t>keycloak/realm-export.json (arcadehaven-public: implicitFlowEnabled=false); Api/src/main/.../Service/AuthService.java (login() uses Direct Grant -- architectural dependency)</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</si>
  <si>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</si>
  <si>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</si>
  <si>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Refresh token rotation is enforced at realm level: revokeRefreshToken=true and refreshTokenMaxReuse=0. Each refresh token use issues a new token and immediately invalidates the previous one. If a revoked refresh token is presented, all tokens for that session are revoked.</t>
  </si>
  <si>
    <t>keycloak/realm-export.json (revokeRefreshToken=true, refreshTokenMaxReuse=0)</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</si>
  <si>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</si>
  <si>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</si>
  <si>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with S256 is enforced for the arcadehaven-public client via the Keycloak client attribute pkce.code.challenge.method=S256. The plain method is rejected. Keycloak validates the code_verifier on every token request against the stored code_challenge.</t>
  </si>
  <si>
    <t>keycloak/realm-export.json (arcadehaven-public attributes: pkce.code.challenge.method=S256)</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</si>
  <si>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</si>
  <si>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</si>
  <si>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</si>
  <si>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</si>
  <si>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</si>
  <si>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have an absolute expiration of 7 days (ssoSessionMaxLifespan=604800 seconds) configured at realm level. offlineSessionMaxLifespanEnabled=false prevents indefinite offline session extension. Sliding expiration is bounded by the absolute maximum.</t>
  </si>
  <si>
    <t>keycloak/realm-export.json (ssoSessionMaxLifespan=604800, offlineSessionMaxLifespanEnabled=false)</t>
  </si>
  <si>
    <t>V10.4.9</t>
  </si>
  <si>
    <t>Verify that refresh tokens and reference access tokens can be revoked by an authorized user using the authorization server user interface, to mitigate the risk of malicious clients or stolen tokens.</t>
  </si>
  <si>
    <t>Token and refresh token revocation is available via: (1) POST /api/auth/logout which calls Keycloak session revocation API, (2) Keycloak account management console at /realms/arcadehaven/account where users can view and revoke active sessions.</t>
  </si>
  <si>
    <t>keycloak/realm-export.json; Api/src/main/.../Service/AuthService.java (logout() -&gt; keycloak.realm().users().get(id).logout()); Controller/AuthController.java</t>
  </si>
  <si>
    <t>V10.4.10</t>
  </si>
  <si>
    <t>Verify that confidential client is authenticated for client-to-authorized server backchannel requests such as token requests, pushed authorization requests (PAR), and token revocation requests.</t>
  </si>
  <si>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</si>
  <si>
    <t>keycloak/realm-export.json (arcadehaven-backend: serviceAccountsEnabled=true, clientRoles: realm-management/realm-admin); Config/KeycloakAdminConfig.java (OAuth2Constants.CLIENT_CREDENTIALS)</t>
  </si>
  <si>
    <t>V10.4.11</t>
  </si>
  <si>
    <t>Verify that the authorization server configuration only assigns the required scopes to the OAuth client.</t>
  </si>
  <si>
    <t>arcadehaven-public client is configured with only required scopes in defaultClientScopes: [openid, web-origins, acr, profile, roles, email, basic]. optionalClientScopes is empty, preventing clients from requesting additional scopes beyond what is needed.</t>
  </si>
  <si>
    <t>keycloak/realm-export.json (arcadehaven-public: defaultClientScopes=[openid,web-origins,acr,profile,roles,email,basic], optionalClientScopes=[])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</si>
  <si>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</si>
  <si>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</si>
  <si>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</si>
  <si>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</si>
  <si>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</si>
  <si>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</si>
  <si>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</si>
  <si>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</si>
  <si>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</si>
  <si>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</si>
  <si>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</si>
  <si>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</si>
  <si>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</si>
  <si>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</si>
  <si>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</si>
  <si>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</si>
  <si>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</si>
  <si>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</si>
  <si>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</si>
  <si>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</si>
  <si>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</si>
  <si>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</si>
  <si>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</si>
  <si>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</si>
  <si>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</si>
  <si>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</si>
  <si>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</si>
  <si>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</si>
  <si>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</si>
  <si>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</si>
  <si>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ID Tokens is validated by the Spring Security JWT decoder configured with arcadehaven-api audience. The realm export configures the audience mapper so the arcadehaven-public client receives tokens with the correct audience claim.</t>
  </si>
  <si>
    <t>Api/src/main/resources/application.properties (spring.security.oauth2.resourceserver.jwt.audiences=arcadehaven-api); keycloak/realm-export.json</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</si>
  <si>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</si>
  <si>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</si>
  <si>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</si>
  <si>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</si>
  <si>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</si>
  <si>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</si>
  <si>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</si>
  <si>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The arcadehaven-public client is configured with implicitFlowEnabled=false and standardFlowEnabled=true (Authorization Code flow only). The OpenID Provider (Keycloak) only issues code response types for ArcadeHaven clients. id_token and token response types are not permitted.</t>
  </si>
  <si>
    <t>keycloak/realm-export.json (arcadehaven-public: implicitFlowEnabled=false, standardFlowEnabled=true)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</si>
  <si>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</si>
  <si>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</si>
  <si>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logout requests and supports id_token_hint to confirm session identity before terminating. The ArcadeHaven POST /api/auth/logout endpoint forwards session revocation to Keycloak, which handles forced-logout DoS through its built-in flow validation.</t>
  </si>
  <si>
    <t>keycloak/realm-export.json (Keycloak manages logout flow validation); Api/src/main/.../Service/AuthService.java (logout() -&gt; Keycloak revocation); Security/RateLimitFilter.java</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</si>
  <si>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</si>
  <si>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</si>
  <si>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</si>
  <si>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</si>
  <si>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For first-party pre-registered clients consentRequired=false. Keycloak prompts explicit consent for any external client whose identity cannot be assured. Dynamic client registration is not supported, so all clients are trusted first-party applications.</t>
  </si>
  <si>
    <t>keycloak/realm-export.json (arcadehaven-public: consentRequired=false; dynamic client registration disabled)</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</si>
  <si>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</si>
  <si>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</si>
  <si>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built-in consent screen presents the authorizing application name, the requested scopes (openid, profile, email, roles), and session lifetime to the user before approval. This satisfies the requirement for clear and sufficient information about what is being authorized.</t>
  </si>
  <si>
    <t>keycloak/realm-export.json (Keycloak consent UI renders scope, client identity, and session lifetime)</t>
  </si>
  <si>
    <t>V10.7.3</t>
  </si>
  <si>
    <t>Verify that the user can review, modify, and revoke consents which the user has granted through the authorization server.</t>
  </si>
  <si>
    <t>Users can review, modify, and revoke granted consents and active sessions via the Keycloak account management console (/realms/arcadehaven/account). Additionally, POST /api/auth/logout triggers full session revocation via the Keycloak Admin API.</t>
  </si>
  <si>
    <t>keycloak/realm-export.json; Api/src/main/.../Service/AuthService.java (logout() revokes all sessions); Controller/AuthController.java; Keycloak /realms/arcadehaven/account</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</si>
  <si>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</si>
  <si>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</si>
  <si>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</si>
  <si>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</si>
  <si>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</si>
  <si>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Api/src/main/.../Security/WebServerTlsConfig.java (ENABLED_TLS_PROTOCOLS, APPROVED/FORBIDDEN cipher suites); application.properties (TLS 1.2+)</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</si>
  <si>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</si>
  <si>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</si>
  <si>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</si>
  <si>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Api/pom.xml (cyclonedx-maven-plugin 2.9.0); .github/workflows/build.yml (makeAggregateBom + SBOM artifact upload)</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</si>
  <si>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</si>
  <si>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</si>
  <si>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</si>
  <si>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</si>
  <si>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</si>
  <si>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</si>
  <si>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</si>
  <si>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</si>
  <si>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</si>
  <si>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</si>
  <si>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</si>
  <si>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</si>
  <si>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</si>
  <si>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Api/src/main/.../Security/WebServerTlsConfig.java (configurable ENABLED_TLS_PROTOCOLS, APPROVED_CIPHER_SUITES); Security/SecurityConfig.java</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</si>
  <si>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</si>
  <si>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</si>
  <si>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</si>
  <si>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</si>
  <si>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</si>
  <si>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</si>
  <si>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</si>
  <si>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</si>
  <si>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</si>
  <si>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</si>
  <si>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</si>
  <si>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</si>
  <si>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</si>
  <si>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</si>
  <si>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</si>
  <si>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</si>
  <si>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</si>
  <si>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</si>
  <si>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</si>
  <si>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</si>
  <si>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</si>
  <si>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</si>
  <si>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</si>
  <si>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</si>
  <si>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</si>
  <si>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</si>
  <si>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</si>
  <si>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</si>
  <si>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</si>
  <si>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</si>
  <si>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</si>
  <si>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</si>
  <si>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</si>
  <si>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</si>
  <si>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</si>
  <si>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</si>
  <si>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</si>
  <si>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</si>
  <si>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</si>
  <si>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</si>
  <si>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</si>
  <si>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</si>
  <si>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</si>
  <si>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</si>
  <si>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</si>
  <si>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</si>
  <si>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</si>
  <si>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</si>
  <si>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</si>
  <si>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</si>
  <si>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</si>
  <si>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</si>
  <si>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</si>
  <si>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Api/src/main/.../Service/SftpStorageService.java (UUID.randomUUID() for secure filenames); Domain entities (UUID primary keys via @GeneratedValue)</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</si>
  <si>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</si>
  <si>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</si>
  <si>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</si>
  <si>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</si>
  <si>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</si>
  <si>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</si>
  <si>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</si>
  <si>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</si>
  <si>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</si>
  <si>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</si>
  <si>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</si>
  <si>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</si>
  <si>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</si>
  <si>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</si>
  <si>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</si>
  <si>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</si>
  <si>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</si>
  <si>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</si>
  <si>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</si>
  <si>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</si>
  <si>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</si>
  <si>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</si>
  <si>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</si>
  <si>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</si>
  <si>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ArcadeHaven will enforce TLS 1.2 and TLS 1.3 only. TLS 1.0 and 1.1 will be explicitly disabled in the Spring Boot embedded Tomcat configuration and in the reverse proxy (Nginx/Docker). TLS 1.3 will be set as the preferred version.</t>
  </si>
  <si>
    <t>Api/src/main/.../Security/WebServerTlsConfig.java (ENABLED_TLS_PROTOCOLS="TLSv1.2,TLSv1.3"); application.properties (server.ssl.*)</t>
  </si>
  <si>
    <t>V12.1.2</t>
  </si>
  <si>
    <t>Verify that only recommended cipher suites are enabled, with the strongest cipher suites set as preferred. L3 applications must only support cipher suites which provide forward secrecy.</t>
  </si>
  <si>
    <t>Only strong cipher suites will be enabled. Weak ciphers (e.g. RC4, 3DES, NULL) will be explicitly disabled. For Level 2, cipher suites supporting forward secrecy (ECDHE-based) will be preferred and configured in the reverse proxy TLS settings.</t>
  </si>
  <si>
    <t>Api/src/main/.../Security/WebServerTlsConfig.java (APPROVED_CIPHER_SUITES: ECDHE-ECDSA/RSA-AES256/128-GCM; FORBIDDEN_CIPHER_SUITES blocked)</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</si>
  <si>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</si>
  <si>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</si>
  <si>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</si>
  <si>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</si>
  <si>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</si>
  <si>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</si>
  <si>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</si>
  <si>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</si>
  <si>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</si>
  <si>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</si>
  <si>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</si>
  <si>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All client-to-API communication will be over HTTPS only. HTTP connections will not be redirected but rejected outright to prevent silent plaintext data leakage. Enforced via Spring Security and reverse proxy configuration.</t>
  </si>
  <si>
    <t>Api/src/main/resources/application.properties (server.ssl.*); Api/docker-compose.yml (TLS termination config)</t>
  </si>
  <si>
    <t>V12.2.2</t>
  </si>
  <si>
    <t>Verify that external facing services use publicly trusted TLS certificates.</t>
  </si>
  <si>
    <t>A publicly trusted TLS certificate (e.g. Let's Encrypt) will be used for the ArcadeHaven API in production. Self-signed certificates will only be used in local development environments and will never be used in staging or production.</t>
  </si>
  <si>
    <t>Api/src/main/resources/application.properties (spring.security.oauth2.resourceserver.jwt.issuer-uri with HTTPS)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</si>
  <si>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</si>
  <si>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</si>
  <si>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</si>
  <si>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</si>
  <si>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All inter-service and external communications enforce TLS with no fallback to plaintext protocols.</t>
  </si>
  <si>
    <t>Api/src/main/.../Service/SftpStorageService.java (SSH/SFTP via SSHJ library for all file transfer)</t>
  </si>
  <si>
    <t>V12.3.2</t>
  </si>
  <si>
    <t>Verify that TLS clients validate certificates received before communicating with a TLS server.</t>
  </si>
  <si>
    <t>TLS certificates are validated for all outbound connections; validation is never disabled.</t>
  </si>
  <si>
    <t>Api/src/main/.../Service/SftpStorageService.java (OpenSSHKnownHosts verification when sftp.known-hosts-path is configured)</t>
  </si>
  <si>
    <t>V12.3.3</t>
  </si>
  <si>
    <t>Verify that TLS or another appropriate transport encryption mechanism used for all connectivity between internal, HTTP-based services within the application, and does not fall back to insecure or unencrypted communications.</t>
  </si>
  <si>
    <t>Covered by V12.3.1. Internal DB communication explicitly enforces TLS.</t>
  </si>
  <si>
    <t>Api/src/main/.../Service/SftpStorageService.java (all file ops over SFTP/SSH); application.properties (sftp.*)</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</si>
  <si>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</si>
  <si>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</si>
  <si>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Only explicitly trusted certificates are accepted; no global trust of self-signed certificates.</t>
  </si>
  <si>
    <t>Api/src/main/.../Service/SftpStorageService.java (known-hosts-path for trusted host verification; PromiscuousVerifier only in dev); docker-compose.yml</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</si>
  <si>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</si>
  <si>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</si>
  <si>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</si>
  <si>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</si>
  <si>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</si>
  <si>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</si>
  <si>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communication channels will be documented, including database connectivity, external API integration and server-side file generation</t>
  </si>
  <si>
    <t>Api/docker-compose.yml (inter-service network: api, keycloak, postgres, sftp-server); application.properties (all external service endpoints documented)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</si>
  <si>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</si>
  <si>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</si>
  <si>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</si>
  <si>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</si>
  <si>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</si>
  <si>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</si>
  <si>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</si>
  <si>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</si>
  <si>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</si>
  <si>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</si>
  <si>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</si>
  <si>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</si>
  <si>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</si>
  <si>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</si>
  <si>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</si>
  <si>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</si>
  <si>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</si>
  <si>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</si>
  <si>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</si>
  <si>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</si>
  <si>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</si>
  <si>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</si>
  <si>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</si>
  <si>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</si>
  <si>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</si>
  <si>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</si>
  <si>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</si>
  <si>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</si>
  <si>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</si>
  <si>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</si>
  <si>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</si>
  <si>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</si>
  <si>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</si>
  <si>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</si>
  <si>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</si>
  <si>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</si>
  <si>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</si>
  <si>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</si>
  <si>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</si>
  <si>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</si>
  <si>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</si>
  <si>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</si>
  <si>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</si>
  <si>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</si>
  <si>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</si>
  <si>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</si>
  <si>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</si>
  <si>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</si>
  <si>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</si>
  <si>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</si>
  <si>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</si>
  <si>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</si>
  <si>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</si>
  <si>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</si>
  <si>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</si>
  <si>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Api/src/main/.../Service/PasswordPolicyService.java (SHA-1 prefix only for HIBP, full hash never stored); Security/SecurityAuditService.java (IP logged, no credentials)</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</si>
  <si>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</si>
  <si>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</si>
  <si>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</si>
  <si>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</si>
  <si>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</si>
  <si>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</si>
  <si>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</si>
  <si>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</si>
  <si>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</si>
  <si>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</si>
  <si>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</si>
  <si>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Sensitive API responses will include Cache-Control: no-store headers to prevent caching in intermediary layers such as load balancers or reverse proxies.</t>
  </si>
  <si>
    <t>Api/src/main/.../Exception/GlobalExceptionHandler.java (generic error messages only, no internal details leaked); Security/SecurityEventHandler.java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</si>
  <si>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</si>
  <si>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</si>
  <si>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</si>
  <si>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</si>
  <si>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</si>
  <si>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</si>
  <si>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</si>
  <si>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Api/src/main/resources/application.properties (TLS config); Security/WebServerTlsConfig.java; Security/SecurityConfig.java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</si>
  <si>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</si>
  <si>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</si>
  <si>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</si>
  <si>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</si>
  <si>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</si>
  <si>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</si>
  <si>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</si>
  <si>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</si>
  <si>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</si>
  <si>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</si>
  <si>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</si>
  <si>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</si>
  <si>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</si>
  <si>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</si>
  <si>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</si>
  <si>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Sensitive responses include Cache-Control: no-store to prevent caching by browsers, proxies, and intermediaries.</t>
  </si>
  <si>
    <t>Api/src/main/.../Security/SecurityConfig.java (.cacheControl(Customizer.withDefaults()) sets Cache-Control: no-cache, no-store)</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</si>
  <si>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</si>
  <si>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</si>
  <si>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</si>
  <si>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</si>
  <si>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</si>
  <si>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</si>
  <si>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</si>
  <si>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This is a Level 3 requirement. ArcadeHaven targets ASVS Level 2. Spring beans are singletons by default; thread-safety depends on all service and controller components being stateless. A formal thread-safety audit of all shared state has not been performed.</t>
  </si>
  <si>
    <t>Api/pom.xml (owasp dependency-check-maven plugin); .github/workflows/sast-codeql.yml (CodeQL security-extended); .github/workflows/sca-dependency-check.yml</t>
  </si>
  <si>
    <t>V15.1.2</t>
  </si>
  <si>
    <t>Verify that an inventory catalog, such as software bill of materials (SBOM), is maintained of all third-party libraries in use, including verifying that components come from pre-defined, trusted, and continually maintained repositories.</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</si>
  <si>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</si>
  <si>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Api/pom.xml (cyclonedx-maven-plugin 2.9.0); .github/workflows/build.yml (makeAggregateBom + artifact upload)</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</si>
  <si>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</si>
  <si>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</si>
  <si>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</si>
  <si>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Api/pom.xml (all dependencies explicitly versioned via Spring Boot BOM)</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</si>
  <si>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</si>
  <si>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</si>
  <si>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</si>
  <si>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</si>
  <si>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</si>
  <si>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Api/pom.xml (maven-checkstyle-plugin, spotbugs-maven-plugin, owasp dependency-check); .github/workflows/code-quality.yml; .github/workflows/sast-codeql.yml</t>
  </si>
  <si>
    <t>V15.2</t>
  </si>
  <si>
    <t>Security Architecture and Dependencies</t>
  </si>
  <si>
    <t>V15.2.1</t>
  </si>
  <si>
    <t>Verify that the application only contains components which have not breached the documented update and remediation time frames.</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</si>
  <si>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</si>
  <si>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Api/pom.xml (Spring Boot 4.0.6, Spring Security, Keycloak 26.0.5, sshj 0.38.0 - all actively maintained)</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</si>
  <si>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</si>
  <si>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</si>
  <si>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</si>
  <si>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</si>
  <si>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</si>
  <si>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</si>
  <si>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</si>
  <si>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Api/pom.xml (postgresql scope=runtime; lombok optional=true; test-scope deps excluded from production)</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</si>
  <si>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</si>
  <si>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</si>
  <si>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</si>
  <si>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</si>
  <si>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</si>
  <si>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</si>
  <si>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</si>
  <si>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</si>
  <si>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</si>
  <si>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</si>
  <si>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</si>
  <si>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</si>
  <si>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</si>
  <si>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</si>
  <si>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</si>
  <si>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Api/src/main/.../Service/AuthService.java (Keycloak Admin API with BusinessException wrapping); Service/SftpStorageService.java (SFTP with StorageException wrapping)</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</si>
  <si>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</si>
  <si>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</si>
  <si>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</si>
  <si>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</si>
  <si>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</si>
  <si>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</si>
  <si>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</si>
  <si>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Api/src/main/.../Exception/GlobalExceptionHandler.java (resolveClientIp handles X-Forwarded-For); Security/SecurityConfig.java</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</si>
  <si>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</si>
  <si>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</si>
  <si>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</si>
  <si>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</si>
  <si>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</si>
  <si>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</si>
  <si>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</si>
  <si>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</si>
  <si>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</si>
  <si>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</si>
  <si>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</si>
  <si>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</si>
  <si>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</si>
  <si>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</si>
  <si>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</si>
  <si>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</si>
  <si>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</si>
  <si>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</si>
  <si>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</si>
  <si>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</si>
  <si>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</si>
  <si>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</si>
  <si>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</si>
  <si>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</si>
  <si>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</si>
  <si>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</si>
  <si>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Api/src/main/.../Security/SecurityAuditService.java (SECURITY_AUDIT logger, SECURITY_EVENT/ALERT events); application.properties (logging.file.name, logging.level.SECURITY_AUDIT)</t>
  </si>
  <si>
    <t>V16.2</t>
  </si>
  <si>
    <t>General Logging</t>
  </si>
  <si>
    <t>V16.2.1</t>
  </si>
  <si>
    <t>Verify that each log entry includes necessary metadata (such as when, where, who, what) that would allow for a detailed investigation of the timeline when an event happens.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</si>
  <si>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</si>
  <si>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Api/src/main/.../Security/SecurityAuditService.java (IP address, Instant.now() UTC timestamp, event type per log entry)</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</si>
  <si>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</si>
  <si>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</si>
  <si>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</si>
  <si>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</si>
  <si>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</si>
  <si>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</si>
  <si>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</si>
  <si>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</si>
  <si>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</si>
  <si>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</si>
  <si>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</si>
  <si>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Api/src/main/.../Security/SecurityAuditService.java (SECURITY_EVENT/SECURITY_ALERT structured prefixes for log correlation)</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</si>
  <si>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</si>
  <si>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</si>
  <si>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</si>
  <si>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Api/src/main/.../Security/SecurityAuditService.java (IP and event only, no credentials); Service/AuthService.java (username in log.error, password never logged)</t>
  </si>
  <si>
    <t>V16.3</t>
  </si>
  <si>
    <t>Security Events</t>
  </si>
  <si>
    <t>V16.3.1</t>
  </si>
  <si>
    <t>Verify that all authentication operations are logged, including successful and unsuccessful attempts. Additional metadata, such as the type of authentication or factors used, should also be collected.</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</si>
  <si>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</si>
  <si>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Api/src/main/.../Security/SecurityAuditService.java (recordUnauthorized, recordRegistrationFailure); Exception/GlobalExceptionHandler.java (handleBadCredentials)</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</si>
  <si>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</si>
  <si>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</si>
  <si>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</si>
  <si>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</si>
  <si>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</si>
  <si>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</si>
  <si>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</si>
  <si>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Api/src/main/.../Security/SecurityAuditService.java (checkAndAlert: SECURITY_ALERT at 10 events/window); Security/SecurityEventHandler.java</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</si>
  <si>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</si>
  <si>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</si>
  <si>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</si>
  <si>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</si>
  <si>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</si>
  <si>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</si>
  <si>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</si>
  <si>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</si>
  <si>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Api/src/main/.../Security/SecurityAuditService.java (SLF4J parameterized logging, no string concatenation to prevent log injection)</t>
  </si>
  <si>
    <t>V16.4.2</t>
  </si>
  <si>
    <t>Verify that logs are protected from unauthorized access and cannot be modified.</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</si>
  <si>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</si>
  <si>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Api/src/main/resources/application.properties (logging.file.name=logs/arcadehaven.log; persistent file-based log)</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</si>
  <si>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</si>
  <si>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</si>
  <si>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</si>
  <si>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</si>
  <si>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</si>
  <si>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</si>
  <si>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</si>
  <si>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</si>
  <si>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</si>
  <si>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</si>
  <si>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</si>
  <si>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</si>
  <si>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Api/src/main/.../Exception/GlobalExceptionHandler.java (independent @ExceptionHandler chain; error responses continue if logging fails)</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</si>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</sst>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0.75</c:v>
                </c:pt>
                <c:pt idx="2">
                  <c:v>0.375</c:v>
                </c:pt>
                <c:pt idx="3">
                  <c:v>0.5</c:v>
                </c:pt>
                <c:pt idx="4">
                  <c:v>0.25</c:v>
                </c:pt>
                <c:pt idx="5">
                  <c:v>0.30769230769230771</c:v>
                </c:pt>
                <c:pt idx="6">
                  <c:v>0.66666666666666663</c:v>
                </c:pt>
                <c:pt idx="7">
                  <c:v>0.75</c:v>
                </c:pt>
                <c:pt idx="8">
                  <c:v>1</c:v>
                </c:pt>
                <c:pt idx="9">
                  <c:v>0.8</c:v>
                </c:pt>
                <c:pt idx="10">
                  <c:v>1</c:v>
                </c:pt>
                <c:pt idx="11">
                  <c:v>0</c:v>
                </c:pt>
                <c:pt idx="12">
                  <c:v>0</c:v>
                </c:pt>
                <c:pt idx="13">
                  <c:v>0.5</c:v>
                </c:pt>
                <c:pt idx="14">
                  <c:v>0.33333333333333331</c:v>
                </c:pt>
                <c:pt idx="15" formatCode="General">
                  <c:v>0</c:v>
                </c:pt>
                <c:pt idx="16" formatCode="General">
                  <c:v>0</c:v>
                </c:pt>
              </c:numCache>
            </c:numRef>
          </c:val>
          <c:extLst>
            <c:ext xmlns:c16="http://schemas.microsoft.com/office/drawing/2014/chart" uri="{C3380CC4-5D6E-409C-BE32-E72D297353CC}">
              <c16:uniqueId val="{00000000-E9E8-4D2F-8138-E8DD79C520E2}"/>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0.10526315789473684</c:v>
                </c:pt>
                <c:pt idx="1">
                  <c:v>0</c:v>
                </c:pt>
                <c:pt idx="2">
                  <c:v>0</c:v>
                </c:pt>
                <c:pt idx="3">
                  <c:v>0.125</c:v>
                </c:pt>
                <c:pt idx="4">
                  <c:v>0</c:v>
                </c:pt>
                <c:pt idx="5">
                  <c:v>4.5454545454545456E-2</c:v>
                </c:pt>
                <c:pt idx="6">
                  <c:v>8.3333333333333329E-2</c:v>
                </c:pt>
                <c:pt idx="7">
                  <c:v>0.33333333333333331</c:v>
                </c:pt>
                <c:pt idx="8">
                  <c:v>0</c:v>
                </c:pt>
                <c:pt idx="9">
                  <c:v>0.75</c:v>
                </c:pt>
                <c:pt idx="10">
                  <c:v>0.63636363636363635</c:v>
                </c:pt>
                <c:pt idx="11">
                  <c:v>0</c:v>
                </c:pt>
                <c:pt idx="12">
                  <c:v>0</c:v>
                </c:pt>
                <c:pt idx="13">
                  <c:v>0.14285714285714285</c:v>
                </c:pt>
                <c:pt idx="14">
                  <c:v>0.4</c:v>
                </c:pt>
                <c:pt idx="15">
                  <c:v>0.3125</c:v>
                </c:pt>
                <c:pt idx="16">
                  <c:v>0</c:v>
                </c:pt>
              </c:numCache>
            </c:numRef>
          </c:val>
          <c:extLst>
            <c:ext xmlns:c16="http://schemas.microsoft.com/office/drawing/2014/chart" uri="{C3380CC4-5D6E-409C-BE32-E72D297353CC}">
              <c16:uniqueId val="{00000001-E9E8-4D2F-8138-E8DD79C520E2}"/>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0.125</c:v>
                </c:pt>
                <c:pt idx="15">
                  <c:v>1</c:v>
                </c:pt>
              </c:numCache>
            </c:numRef>
          </c:val>
          <c:extLst>
            <c:ext xmlns:c16="http://schemas.microsoft.com/office/drawing/2014/chart" uri="{C3380CC4-5D6E-409C-BE32-E72D297353CC}">
              <c16:uniqueId val="{00000002-E9E8-4D2F-8138-E8DD79C520E2}"/>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0.13333333333333333</c:v>
                </c:pt>
                <c:pt idx="1">
                  <c:v>0.23076923076923078</c:v>
                </c:pt>
                <c:pt idx="2">
                  <c:v>9.6774193548387094E-2</c:v>
                </c:pt>
                <c:pt idx="3">
                  <c:v>0.125</c:v>
                </c:pt>
                <c:pt idx="4">
                  <c:v>7.6923076923076927E-2</c:v>
                </c:pt>
                <c:pt idx="5">
                  <c:v>0.10638297872340426</c:v>
                </c:pt>
                <c:pt idx="6">
                  <c:v>0.26315789473684209</c:v>
                </c:pt>
                <c:pt idx="7">
                  <c:v>0.30769230769230771</c:v>
                </c:pt>
                <c:pt idx="8">
                  <c:v>0.5714285714285714</c:v>
                </c:pt>
                <c:pt idx="9">
                  <c:v>0.61111111111111116</c:v>
                </c:pt>
                <c:pt idx="10">
                  <c:v>0.5</c:v>
                </c:pt>
                <c:pt idx="11">
                  <c:v>0</c:v>
                </c:pt>
                <c:pt idx="12">
                  <c:v>0</c:v>
                </c:pt>
                <c:pt idx="13">
                  <c:v>0.15384615384615385</c:v>
                </c:pt>
                <c:pt idx="14">
                  <c:v>0.2857142857142857</c:v>
                </c:pt>
                <c:pt idx="15">
                  <c:v>0.35294117647058826</c:v>
                </c:pt>
                <c:pt idx="16">
                  <c:v>0</c:v>
                </c:pt>
              </c:numCache>
            </c:numRef>
          </c:val>
          <c:extLst>
            <c:ext xmlns:c16="http://schemas.microsoft.com/office/drawing/2014/chart" uri="{C3380CC4-5D6E-409C-BE32-E72D297353CC}">
              <c16:uniqueId val="{00000003-E9E8-4D2F-8138-E8DD79C520E2}"/>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65</v>
      </c>
      <c r="B1" s="33"/>
      <c r="C1" s="33"/>
      <c r="D1" s="33"/>
      <c r="E1" s="33"/>
      <c r="F1" s="33"/>
      <c r="G1" s="33"/>
      <c r="H1" s="33"/>
      <c r="I1" s="33"/>
      <c r="J1" s="33"/>
      <c r="K1" s="33"/>
      <c r="L1" s="33"/>
      <c r="M1" s="33"/>
      <c r="N1" s="33"/>
      <c r="O1" s="33"/>
      <c r="P1" s="33"/>
    </row>
    <row r="2" spans="1:16" ht="19.899999999999999" customHeight="1" x14ac:dyDescent="0.25">
      <c r="A2" s="35"/>
      <c r="B2" s="33"/>
      <c r="C2" s="33"/>
      <c r="D2" s="33"/>
      <c r="E2" s="33"/>
      <c r="F2" s="33"/>
      <c r="G2" s="33"/>
      <c r="H2" s="33"/>
      <c r="I2" s="33"/>
      <c r="J2" s="33"/>
      <c r="K2" s="33"/>
      <c r="L2" s="33"/>
      <c r="M2" s="33"/>
      <c r="N2" s="33"/>
      <c r="O2" s="33"/>
      <c r="P2" s="33"/>
    </row>
    <row r="3" spans="1:16" ht="18" customHeight="1" x14ac:dyDescent="0.25">
      <c r="A3" s="34"/>
      <c r="B3" s="33"/>
      <c r="C3" s="1"/>
      <c r="E3" s="1"/>
      <c r="G3" s="1"/>
      <c r="I3" s="1"/>
      <c r="K3" s="1"/>
      <c r="M3" s="1"/>
      <c r="O3" s="1"/>
    </row>
    <row r="5" spans="1:16" ht="31.9" customHeight="1" x14ac:dyDescent="0.25">
      <c r="A5" s="2" t="s">
        <v>66</v>
      </c>
      <c r="B5" s="2" t="s">
        <v>67</v>
      </c>
      <c r="C5" s="2" t="s">
        <v>68</v>
      </c>
      <c r="D5" s="2" t="s">
        <v>69</v>
      </c>
      <c r="E5" s="2" t="s">
        <v>70</v>
      </c>
      <c r="F5" s="2" t="s">
        <v>71</v>
      </c>
      <c r="G5" s="2" t="s">
        <v>72</v>
      </c>
      <c r="H5" s="2" t="s">
        <v>73</v>
      </c>
      <c r="I5" s="2" t="s">
        <v>74</v>
      </c>
      <c r="J5" s="2" t="s">
        <v>75</v>
      </c>
      <c r="K5" s="2" t="s">
        <v>76</v>
      </c>
      <c r="L5" s="2" t="s">
        <v>77</v>
      </c>
      <c r="M5" s="2" t="s">
        <v>78</v>
      </c>
    </row>
    <row r="6" spans="1:16" ht="18" customHeight="1" x14ac:dyDescent="0.25">
      <c r="A6" s="3" t="s">
        <v>79</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2</v>
      </c>
      <c r="H6" s="5">
        <f t="shared" ref="H6:H22" si="1">IF(F6=0,"",G6/F6)</f>
        <v>0.10526315789473684</v>
      </c>
      <c r="I6" s="4">
        <v>3</v>
      </c>
      <c r="J6" s="4">
        <f>COUNTIFS('V1 - Encoding and Sanitization'!$F$2:$F$36,"Compliant",'V1 - Encoding and Sanitization'!$E$2:$E$36,3)</f>
        <v>0</v>
      </c>
      <c r="K6" s="5">
        <f t="shared" ref="K6:K13" si="2">IF(I6=0,"",J6/I6)</f>
        <v>0</v>
      </c>
      <c r="L6" s="4">
        <f>COUNTIF('V1 - Encoding and Sanitization'!$F$2:$F$36,"Compliant")</f>
        <v>4</v>
      </c>
      <c r="M6" s="5">
        <f t="shared" ref="M6:M22" si="3">IF(B6=0,"",L6/B6)</f>
        <v>0.13333333333333333</v>
      </c>
    </row>
    <row r="7" spans="1:16" ht="18" customHeight="1" x14ac:dyDescent="0.25">
      <c r="A7" s="6" t="s">
        <v>80</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3</v>
      </c>
      <c r="M7" s="8">
        <f t="shared" si="3"/>
        <v>0.23076923076923078</v>
      </c>
    </row>
    <row r="8" spans="1:16" ht="18" customHeight="1" x14ac:dyDescent="0.25">
      <c r="A8" s="3" t="s">
        <v>81</v>
      </c>
      <c r="B8" s="4">
        <v>31</v>
      </c>
      <c r="C8" s="4">
        <v>8</v>
      </c>
      <c r="D8" s="4">
        <f>COUNTIFS('V3 - Web Frontend Security'!$F$2:$F$39,"Compliant",'V3 - Web Frontend Security'!$E$2:$E$39,1)</f>
        <v>3</v>
      </c>
      <c r="E8" s="5">
        <f t="shared" si="0"/>
        <v>0.375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3</v>
      </c>
      <c r="M8" s="5">
        <f t="shared" si="3"/>
        <v>9.6774193548387094E-2</v>
      </c>
    </row>
    <row r="9" spans="1:16" ht="18" customHeight="1" x14ac:dyDescent="0.25">
      <c r="A9" s="6" t="s">
        <v>82</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0</v>
      </c>
      <c r="K9" s="8">
        <f t="shared" si="2"/>
        <v>0</v>
      </c>
      <c r="L9" s="7">
        <f>COUNTIF('V4 - API and Web Service'!$F$2:$F$21,"Compliant")</f>
        <v>2</v>
      </c>
      <c r="M9" s="8">
        <f t="shared" si="3"/>
        <v>0.125</v>
      </c>
    </row>
    <row r="10" spans="1:16" ht="18" customHeight="1" x14ac:dyDescent="0.25">
      <c r="A10" s="3" t="s">
        <v>83</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25">
      <c r="A11" s="6" t="s">
        <v>84</v>
      </c>
      <c r="B11" s="7">
        <v>47</v>
      </c>
      <c r="C11" s="7">
        <v>13</v>
      </c>
      <c r="D11" s="7">
        <f>COUNTIFS('V6 - Authentication'!$F$2:$F$56,"Compliant",'V6 - Authentication'!$E$2:$E$56,1)</f>
        <v>4</v>
      </c>
      <c r="E11" s="8">
        <f t="shared" si="0"/>
        <v>0.30769230769230771</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5</v>
      </c>
      <c r="M11" s="8">
        <f t="shared" si="3"/>
        <v>0.10638297872340426</v>
      </c>
    </row>
    <row r="12" spans="1:16" ht="18" customHeight="1" x14ac:dyDescent="0.25">
      <c r="A12" s="3" t="s">
        <v>85</v>
      </c>
      <c r="B12" s="4">
        <v>19</v>
      </c>
      <c r="C12" s="4">
        <v>6</v>
      </c>
      <c r="D12" s="4">
        <f>COUNTIFS('V7 - Session Management'!$F$2:$F$26,"Compliant",'V7 - Session Management'!$E$2:$E$26,1)</f>
        <v>4</v>
      </c>
      <c r="E12" s="5">
        <f t="shared" si="0"/>
        <v>0.66666666666666663</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5</v>
      </c>
      <c r="M12" s="5">
        <f t="shared" si="3"/>
        <v>0.26315789473684209</v>
      </c>
    </row>
    <row r="13" spans="1:16" ht="18" customHeight="1" x14ac:dyDescent="0.25">
      <c r="A13" s="6" t="s">
        <v>86</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87</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88</v>
      </c>
      <c r="K14" s="4" t="s">
        <v>88</v>
      </c>
      <c r="L14" s="4">
        <f>COUNTIF('V9 - Self-contained Tokens'!$F$2:$F$10,"Compliant")</f>
        <v>4</v>
      </c>
      <c r="M14" s="5">
        <f t="shared" si="3"/>
        <v>0.5714285714285714</v>
      </c>
    </row>
    <row r="15" spans="1:16" ht="18" customHeight="1" x14ac:dyDescent="0.25">
      <c r="A15" s="6" t="s">
        <v>89</v>
      </c>
      <c r="B15" s="7">
        <v>36</v>
      </c>
      <c r="C15" s="7">
        <v>5</v>
      </c>
      <c r="D15" s="7">
        <f>COUNTIFS('V10 - OAuth and OIDC'!$F$2:$F$44,"Compliant",'V10 - OAuth and OIDC'!$E$2:$E$44,1)</f>
        <v>4</v>
      </c>
      <c r="E15" s="8">
        <f t="shared" si="0"/>
        <v>0.8</v>
      </c>
      <c r="F15" s="7">
        <v>24</v>
      </c>
      <c r="G15" s="7">
        <f>COUNTIFS('V10 - OAuth and OIDC'!$F$2:$F$44,"Compliant",'V10 - OAuth and OIDC'!$E$2:$E$44,2)</f>
        <v>18</v>
      </c>
      <c r="H15" s="8">
        <f t="shared" si="1"/>
        <v>0.75</v>
      </c>
      <c r="I15" s="7">
        <v>7</v>
      </c>
      <c r="J15" s="7">
        <f>COUNTIFS('V10 - OAuth and OIDC'!$F$2:$F$44,"Compliant",'V10 - OAuth and OIDC'!$E$2:$E$44,3)</f>
        <v>0</v>
      </c>
      <c r="K15" s="8">
        <f t="shared" ref="K15:K22" si="4">IF(I15=0,"",J15/I15)</f>
        <v>0</v>
      </c>
      <c r="L15" s="7">
        <f>COUNTIF('V10 - OAuth and OIDC'!$F$2:$F$44,"Compliant")</f>
        <v>22</v>
      </c>
      <c r="M15" s="8">
        <f t="shared" si="3"/>
        <v>0.61111111111111116</v>
      </c>
    </row>
    <row r="16" spans="1:16" ht="18" customHeight="1" x14ac:dyDescent="0.25">
      <c r="A16" s="3" t="s">
        <v>90</v>
      </c>
      <c r="B16" s="4">
        <v>24</v>
      </c>
      <c r="C16" s="4">
        <v>3</v>
      </c>
      <c r="D16" s="4">
        <f>COUNTIFS('V11 - Cryptography'!$F$2:$F$32,"Compliant",'V11 - Cryptography'!$E$2:$E$32,1)</f>
        <v>3</v>
      </c>
      <c r="E16" s="5">
        <f t="shared" si="0"/>
        <v>1</v>
      </c>
      <c r="F16" s="4">
        <v>11</v>
      </c>
      <c r="G16" s="4">
        <f>COUNTIFS('V11 - Cryptography'!$F$2:$F$32,"Compliant",'V11 - Cryptography'!$E$2:$E$32,2)</f>
        <v>7</v>
      </c>
      <c r="H16" s="5">
        <f t="shared" si="1"/>
        <v>0.63636363636363635</v>
      </c>
      <c r="I16" s="4">
        <v>10</v>
      </c>
      <c r="J16" s="4">
        <f>COUNTIFS('V11 - Cryptography'!$F$2:$F$32,"Compliant",'V11 - Cryptography'!$E$2:$E$32,3)</f>
        <v>2</v>
      </c>
      <c r="K16" s="5">
        <f t="shared" si="4"/>
        <v>0.2</v>
      </c>
      <c r="L16" s="4">
        <f>COUNTIF('V11 - Cryptography'!$F$2:$F$32,"Compliant")</f>
        <v>12</v>
      </c>
      <c r="M16" s="5">
        <f t="shared" si="3"/>
        <v>0.5</v>
      </c>
    </row>
    <row r="17" spans="1:13" ht="18" customHeight="1" x14ac:dyDescent="0.25">
      <c r="A17" s="6" t="s">
        <v>91</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92</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93</v>
      </c>
      <c r="B19" s="7">
        <v>13</v>
      </c>
      <c r="C19" s="7">
        <v>2</v>
      </c>
      <c r="D19" s="7">
        <f>COUNTIFS('V14 - Data Protection'!$F$2:$F$17,"Compliant",'V14 - Data Protection'!$E$2:$E$17,1)</f>
        <v>1</v>
      </c>
      <c r="E19" s="8">
        <f t="shared" si="0"/>
        <v>0.5</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2</v>
      </c>
      <c r="M19" s="8">
        <f t="shared" si="3"/>
        <v>0.15384615384615385</v>
      </c>
    </row>
    <row r="20" spans="1:13" ht="18" customHeight="1" x14ac:dyDescent="0.25">
      <c r="A20" s="3" t="s">
        <v>94</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4</v>
      </c>
      <c r="H20" s="5">
        <f t="shared" si="1"/>
        <v>0.4</v>
      </c>
      <c r="I20" s="4">
        <v>8</v>
      </c>
      <c r="J20" s="4">
        <f>COUNTIFS('V15 - Secure Coding and Archite'!$F$2:$F$26,"Compliant",'V15 - Secure Coding and Archite'!$E$2:$E$26,3)</f>
        <v>1</v>
      </c>
      <c r="K20" s="5">
        <f t="shared" si="4"/>
        <v>0.125</v>
      </c>
      <c r="L20" s="4">
        <f>COUNTIF('V15 - Secure Coding and Archite'!$F$2:$F$26,"Compliant")</f>
        <v>6</v>
      </c>
      <c r="M20" s="5">
        <f t="shared" si="3"/>
        <v>0.2857142857142857</v>
      </c>
    </row>
    <row r="21" spans="1:13" ht="18" customHeight="1" x14ac:dyDescent="0.25">
      <c r="A21" s="6" t="s">
        <v>95</v>
      </c>
      <c r="B21" s="7">
        <v>17</v>
      </c>
      <c r="C21" s="7">
        <v>0</v>
      </c>
      <c r="D21" s="7" t="s">
        <v>88</v>
      </c>
      <c r="E21" s="7" t="s">
        <v>88</v>
      </c>
      <c r="F21" s="7">
        <v>16</v>
      </c>
      <c r="G21" s="7">
        <f>COUNTIFS('V16 - Security Logging and Erro'!$F$2:$F$23,"Compliant",'V16 - Security Logging and Erro'!$E$2:$E$23,2)</f>
        <v>5</v>
      </c>
      <c r="H21" s="8">
        <f t="shared" si="1"/>
        <v>0.3125</v>
      </c>
      <c r="I21" s="7">
        <v>1</v>
      </c>
      <c r="J21" s="7">
        <f>COUNTIFS('V16 - Security Logging and Erro'!$F$2:$F$23,"Compliant",'V16 - Security Logging and Erro'!$E$2:$E$23,3)</f>
        <v>1</v>
      </c>
      <c r="K21" s="8">
        <f t="shared" si="4"/>
        <v>1</v>
      </c>
      <c r="L21" s="7">
        <f>COUNTIF('V16 - Security Logging and Erro'!$F$2:$F$23,"Compliant")</f>
        <v>6</v>
      </c>
      <c r="M21" s="8">
        <f t="shared" si="3"/>
        <v>0.35294117647058826</v>
      </c>
    </row>
    <row r="22" spans="1:13" ht="18" customHeight="1" x14ac:dyDescent="0.25">
      <c r="A22" s="3" t="s">
        <v>96</v>
      </c>
      <c r="B22" s="4">
        <v>12</v>
      </c>
      <c r="C22" s="4">
        <v>0</v>
      </c>
      <c r="D22" s="4" t="s">
        <v>88</v>
      </c>
      <c r="E22" s="4" t="s">
        <v>88</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97</v>
      </c>
      <c r="B23" s="10">
        <f>SUM(B6:B22)</f>
        <v>345</v>
      </c>
      <c r="C23" s="10">
        <f>SUM(C6:C22)</f>
        <v>70</v>
      </c>
      <c r="D23" s="10">
        <f>SUM(D6:D22)</f>
        <v>34</v>
      </c>
      <c r="E23" s="11">
        <f>IFERROR(AVERAGE(E6:E22),"")</f>
        <v>0.49884615384615383</v>
      </c>
      <c r="F23" s="10">
        <f>SUM(F6:F22)</f>
        <v>183</v>
      </c>
      <c r="G23" s="10">
        <f>SUM(G6:G22)</f>
        <v>41</v>
      </c>
      <c r="H23" s="11">
        <f>IFERROR(AVERAGE(H6:H22),"")</f>
        <v>0.17259442054333696</v>
      </c>
      <c r="I23" s="10">
        <f>SUM(I6:I22)</f>
        <v>92</v>
      </c>
      <c r="J23" s="10">
        <f>SUM(J6:J22)</f>
        <v>4</v>
      </c>
      <c r="K23" s="11">
        <f>IFERROR(AVERAGE(K6:K22),"")</f>
        <v>8.2812499999999997E-2</v>
      </c>
      <c r="L23" s="10">
        <f>SUM(L6:L22)</f>
        <v>79</v>
      </c>
      <c r="M23" s="11">
        <f>IFERROR(AVERAGE(M6:M22),"")</f>
        <v>0.22441613613513484</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18" activePane="bottomLeft" state="frozen"/>
      <selection pane="bottomLeft" activeCell="G27" sqref="G2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98</v>
      </c>
      <c r="B2" s="13" t="s">
        <v>99</v>
      </c>
      <c r="C2" s="13"/>
      <c r="D2" s="13"/>
      <c r="E2" s="13"/>
      <c r="F2" s="13"/>
      <c r="G2" s="13"/>
      <c r="H2" s="13"/>
    </row>
    <row r="3" spans="1:8" ht="75" customHeight="1" x14ac:dyDescent="0.25">
      <c r="A3" s="14" t="s">
        <v>98</v>
      </c>
      <c r="B3" s="14" t="s">
        <v>99</v>
      </c>
      <c r="C3" s="15" t="s">
        <v>100</v>
      </c>
      <c r="D3" s="16" t="s">
        <v>101</v>
      </c>
      <c r="E3" s="17">
        <v>2</v>
      </c>
      <c r="F3" s="28" t="s">
        <v>12</v>
      </c>
      <c r="G3" s="29" t="s">
        <v>102</v>
      </c>
      <c r="H3" s="16" t="s">
        <v>103</v>
      </c>
    </row>
    <row r="4" spans="1:8" ht="30" customHeight="1" x14ac:dyDescent="0.25">
      <c r="A4" s="19" t="s">
        <v>98</v>
      </c>
      <c r="B4" s="19" t="s">
        <v>99</v>
      </c>
      <c r="C4" s="20" t="s">
        <v>104</v>
      </c>
      <c r="D4" s="21" t="s">
        <v>105</v>
      </c>
      <c r="E4" s="17">
        <v>2</v>
      </c>
      <c r="F4" s="28" t="s">
        <v>17</v>
      </c>
      <c r="G4" s="30" t="s">
        <v>106</v>
      </c>
      <c r="H4" s="21" t="s">
        <v>107</v>
      </c>
    </row>
    <row r="5" spans="1:8" ht="18" customHeight="1" x14ac:dyDescent="0.25">
      <c r="A5" s="13" t="s">
        <v>108</v>
      </c>
      <c r="B5" s="13" t="s">
        <v>109</v>
      </c>
      <c r="C5" s="13"/>
      <c r="D5" s="13"/>
      <c r="E5" s="13"/>
      <c r="F5" s="31"/>
      <c r="G5" s="31"/>
      <c r="H5" s="13"/>
    </row>
    <row r="6" spans="1:8" ht="30" customHeight="1" x14ac:dyDescent="0.25">
      <c r="A6" s="14" t="s">
        <v>108</v>
      </c>
      <c r="B6" s="14" t="s">
        <v>109</v>
      </c>
      <c r="C6" s="15" t="s">
        <v>110</v>
      </c>
      <c r="D6" s="16" t="s">
        <v>111</v>
      </c>
      <c r="E6" s="22">
        <v>1</v>
      </c>
      <c r="F6" s="28" t="s">
        <v>26</v>
      </c>
      <c r="G6" s="29" t="s">
        <v>112</v>
      </c>
      <c r="H6" s="16"/>
    </row>
    <row r="7" spans="1:8" ht="30" customHeight="1" x14ac:dyDescent="0.25">
      <c r="A7" s="19" t="s">
        <v>108</v>
      </c>
      <c r="B7" s="19" t="s">
        <v>109</v>
      </c>
      <c r="C7" s="20" t="s">
        <v>113</v>
      </c>
      <c r="D7" s="21" t="s">
        <v>114</v>
      </c>
      <c r="E7" s="22">
        <v>1</v>
      </c>
      <c r="F7" s="28" t="s">
        <v>115</v>
      </c>
      <c r="G7" s="30"/>
      <c r="H7" s="21"/>
    </row>
    <row r="8" spans="1:8" ht="30" customHeight="1" x14ac:dyDescent="0.25">
      <c r="A8" s="14" t="s">
        <v>108</v>
      </c>
      <c r="B8" s="14" t="s">
        <v>109</v>
      </c>
      <c r="C8" s="15" t="s">
        <v>116</v>
      </c>
      <c r="D8" s="16" t="s">
        <v>117</v>
      </c>
      <c r="E8" s="22">
        <v>1</v>
      </c>
      <c r="F8" s="28" t="s">
        <v>26</v>
      </c>
      <c r="G8" s="29"/>
      <c r="H8" s="16"/>
    </row>
    <row r="9" spans="1:8" ht="30" customHeight="1" x14ac:dyDescent="0.25">
      <c r="A9" s="19" t="s">
        <v>108</v>
      </c>
      <c r="B9" s="19" t="s">
        <v>109</v>
      </c>
      <c r="C9" s="20" t="s">
        <v>118</v>
      </c>
      <c r="D9" s="21" t="s">
        <v>119</v>
      </c>
      <c r="E9" s="22">
        <v>1</v>
      </c>
      <c r="F9" s="28" t="s">
        <v>12</v>
      </c>
      <c r="G9" s="30" t="s">
        <v>120</v>
      </c>
      <c r="H9" s="21"/>
    </row>
    <row r="10" spans="1:8" ht="30" customHeight="1" x14ac:dyDescent="0.25">
      <c r="A10" s="14" t="s">
        <v>108</v>
      </c>
      <c r="B10" s="14" t="s">
        <v>109</v>
      </c>
      <c r="C10" s="15" t="s">
        <v>121</v>
      </c>
      <c r="D10" s="16" t="s">
        <v>122</v>
      </c>
      <c r="E10" s="22">
        <v>1</v>
      </c>
      <c r="F10" s="28" t="s">
        <v>26</v>
      </c>
      <c r="G10" s="29" t="s">
        <v>123</v>
      </c>
      <c r="H10" s="16"/>
    </row>
    <row r="11" spans="1:8" ht="30" customHeight="1" x14ac:dyDescent="0.25">
      <c r="A11" s="19" t="s">
        <v>108</v>
      </c>
      <c r="B11" s="19" t="s">
        <v>109</v>
      </c>
      <c r="C11" s="20" t="s">
        <v>124</v>
      </c>
      <c r="D11" s="21" t="s">
        <v>125</v>
      </c>
      <c r="E11" s="17">
        <v>2</v>
      </c>
      <c r="F11" s="28" t="s">
        <v>26</v>
      </c>
      <c r="G11" s="30" t="s">
        <v>126</v>
      </c>
      <c r="H11" s="21"/>
    </row>
    <row r="12" spans="1:8" ht="30" customHeight="1" x14ac:dyDescent="0.25">
      <c r="A12" s="14" t="s">
        <v>108</v>
      </c>
      <c r="B12" s="14" t="s">
        <v>109</v>
      </c>
      <c r="C12" s="15" t="s">
        <v>127</v>
      </c>
      <c r="D12" s="16" t="s">
        <v>128</v>
      </c>
      <c r="E12" s="17">
        <v>2</v>
      </c>
      <c r="F12" s="28" t="s">
        <v>26</v>
      </c>
      <c r="G12" s="29" t="s">
        <v>129</v>
      </c>
      <c r="H12" s="16"/>
    </row>
    <row r="13" spans="1:8" ht="30" customHeight="1" x14ac:dyDescent="0.25">
      <c r="A13" s="19" t="s">
        <v>108</v>
      </c>
      <c r="B13" s="19" t="s">
        <v>109</v>
      </c>
      <c r="C13" s="20" t="s">
        <v>130</v>
      </c>
      <c r="D13" s="21" t="s">
        <v>131</v>
      </c>
      <c r="E13" s="17">
        <v>2</v>
      </c>
      <c r="F13" s="28" t="s">
        <v>26</v>
      </c>
      <c r="G13" s="30" t="s">
        <v>132</v>
      </c>
      <c r="H13" s="21"/>
    </row>
    <row r="14" spans="1:8" ht="30" customHeight="1" x14ac:dyDescent="0.25">
      <c r="A14" s="14" t="s">
        <v>108</v>
      </c>
      <c r="B14" s="14" t="s">
        <v>109</v>
      </c>
      <c r="C14" s="15" t="s">
        <v>133</v>
      </c>
      <c r="D14" s="16" t="s">
        <v>134</v>
      </c>
      <c r="E14" s="17">
        <v>2</v>
      </c>
      <c r="F14" s="28" t="s">
        <v>115</v>
      </c>
      <c r="G14" s="29"/>
      <c r="H14" s="16"/>
    </row>
    <row r="15" spans="1:8" ht="30" customHeight="1" x14ac:dyDescent="0.25">
      <c r="A15" s="19" t="s">
        <v>108</v>
      </c>
      <c r="B15" s="19" t="s">
        <v>109</v>
      </c>
      <c r="C15" s="20" t="s">
        <v>135</v>
      </c>
      <c r="D15" s="21" t="s">
        <v>136</v>
      </c>
      <c r="E15" s="23">
        <v>3</v>
      </c>
      <c r="F15" s="28" t="s">
        <v>26</v>
      </c>
      <c r="G15" s="30" t="s">
        <v>137</v>
      </c>
      <c r="H15" s="21"/>
    </row>
    <row r="16" spans="1:8" ht="18" customHeight="1" x14ac:dyDescent="0.25">
      <c r="A16" s="13" t="s">
        <v>138</v>
      </c>
      <c r="B16" s="13" t="s">
        <v>139</v>
      </c>
      <c r="C16" s="13"/>
      <c r="D16" s="13"/>
      <c r="E16" s="13"/>
      <c r="F16" s="31"/>
      <c r="G16" s="31"/>
      <c r="H16" s="13"/>
    </row>
    <row r="17" spans="1:8" ht="30" customHeight="1" x14ac:dyDescent="0.25">
      <c r="A17" s="14" t="s">
        <v>138</v>
      </c>
      <c r="B17" s="14" t="s">
        <v>139</v>
      </c>
      <c r="C17" s="15" t="s">
        <v>140</v>
      </c>
      <c r="D17" s="16" t="s">
        <v>141</v>
      </c>
      <c r="E17" s="22">
        <v>1</v>
      </c>
      <c r="F17" s="28" t="s">
        <v>26</v>
      </c>
      <c r="G17" s="29" t="s">
        <v>142</v>
      </c>
      <c r="H17" s="16"/>
    </row>
    <row r="18" spans="1:8" ht="30" customHeight="1" x14ac:dyDescent="0.25">
      <c r="A18" s="19" t="s">
        <v>138</v>
      </c>
      <c r="B18" s="19" t="s">
        <v>139</v>
      </c>
      <c r="C18" s="20" t="s">
        <v>143</v>
      </c>
      <c r="D18" s="21" t="s">
        <v>144</v>
      </c>
      <c r="E18" s="22">
        <v>1</v>
      </c>
      <c r="F18" s="28" t="s">
        <v>12</v>
      </c>
      <c r="G18" s="30" t="s">
        <v>145</v>
      </c>
      <c r="H18" s="21"/>
    </row>
    <row r="19" spans="1:8" ht="30" customHeight="1" x14ac:dyDescent="0.25">
      <c r="A19" s="14" t="s">
        <v>138</v>
      </c>
      <c r="B19" s="14" t="s">
        <v>139</v>
      </c>
      <c r="C19" s="15" t="s">
        <v>146</v>
      </c>
      <c r="D19" s="16" t="s">
        <v>147</v>
      </c>
      <c r="E19" s="17">
        <v>2</v>
      </c>
      <c r="F19" s="28" t="s">
        <v>115</v>
      </c>
      <c r="G19" s="29"/>
      <c r="H19" s="16"/>
    </row>
    <row r="20" spans="1:8" ht="30" customHeight="1" x14ac:dyDescent="0.25">
      <c r="A20" s="19" t="s">
        <v>138</v>
      </c>
      <c r="B20" s="19" t="s">
        <v>139</v>
      </c>
      <c r="C20" s="20" t="s">
        <v>148</v>
      </c>
      <c r="D20" s="21" t="s">
        <v>149</v>
      </c>
      <c r="E20" s="17">
        <v>2</v>
      </c>
      <c r="F20" s="28" t="s">
        <v>26</v>
      </c>
      <c r="G20" s="30" t="s">
        <v>150</v>
      </c>
      <c r="H20" s="21"/>
    </row>
    <row r="21" spans="1:8" ht="30" customHeight="1" x14ac:dyDescent="0.25">
      <c r="A21" s="14" t="s">
        <v>138</v>
      </c>
      <c r="B21" s="14" t="s">
        <v>139</v>
      </c>
      <c r="C21" s="15" t="s">
        <v>151</v>
      </c>
      <c r="D21" s="16" t="s">
        <v>152</v>
      </c>
      <c r="E21" s="17">
        <v>2</v>
      </c>
      <c r="F21" s="28" t="s">
        <v>26</v>
      </c>
      <c r="G21" s="29" t="s">
        <v>153</v>
      </c>
      <c r="H21" s="16"/>
    </row>
    <row r="22" spans="1:8" ht="30" customHeight="1" x14ac:dyDescent="0.25">
      <c r="A22" s="19" t="s">
        <v>138</v>
      </c>
      <c r="B22" s="19" t="s">
        <v>139</v>
      </c>
      <c r="C22" s="20" t="s">
        <v>154</v>
      </c>
      <c r="D22" s="21" t="s">
        <v>155</v>
      </c>
      <c r="E22" s="17">
        <v>2</v>
      </c>
      <c r="F22" s="28" t="s">
        <v>115</v>
      </c>
      <c r="G22" s="30"/>
      <c r="H22" s="21"/>
    </row>
    <row r="23" spans="1:8" ht="30" customHeight="1" x14ac:dyDescent="0.25">
      <c r="A23" s="14" t="s">
        <v>138</v>
      </c>
      <c r="B23" s="14" t="s">
        <v>139</v>
      </c>
      <c r="C23" s="15" t="s">
        <v>156</v>
      </c>
      <c r="D23" s="16" t="s">
        <v>157</v>
      </c>
      <c r="E23" s="17">
        <v>2</v>
      </c>
      <c r="F23" s="28" t="s">
        <v>26</v>
      </c>
      <c r="G23" s="29"/>
      <c r="H23" s="16"/>
    </row>
    <row r="24" spans="1:8" ht="30" customHeight="1" x14ac:dyDescent="0.25">
      <c r="A24" s="19" t="s">
        <v>138</v>
      </c>
      <c r="B24" s="19" t="s">
        <v>139</v>
      </c>
      <c r="C24" s="20" t="s">
        <v>158</v>
      </c>
      <c r="D24" s="21" t="s">
        <v>159</v>
      </c>
      <c r="E24" s="17">
        <v>2</v>
      </c>
      <c r="F24" s="28" t="s">
        <v>26</v>
      </c>
      <c r="G24" s="30" t="s">
        <v>160</v>
      </c>
      <c r="H24" s="21"/>
    </row>
    <row r="25" spans="1:8" ht="30" customHeight="1" x14ac:dyDescent="0.25">
      <c r="A25" s="14" t="s">
        <v>138</v>
      </c>
      <c r="B25" s="14" t="s">
        <v>139</v>
      </c>
      <c r="C25" s="15" t="s">
        <v>161</v>
      </c>
      <c r="D25" s="16" t="s">
        <v>162</v>
      </c>
      <c r="E25" s="17">
        <v>2</v>
      </c>
      <c r="F25" s="28" t="s">
        <v>26</v>
      </c>
      <c r="G25" s="29" t="s">
        <v>163</v>
      </c>
      <c r="H25" s="16"/>
    </row>
    <row r="26" spans="1:8" ht="30" customHeight="1" x14ac:dyDescent="0.25">
      <c r="A26" s="19" t="s">
        <v>138</v>
      </c>
      <c r="B26" s="19" t="s">
        <v>139</v>
      </c>
      <c r="C26" s="20" t="s">
        <v>164</v>
      </c>
      <c r="D26" s="21" t="s">
        <v>165</v>
      </c>
      <c r="E26" s="17">
        <v>2</v>
      </c>
      <c r="F26" s="28" t="s">
        <v>12</v>
      </c>
      <c r="G26" s="30" t="s">
        <v>166</v>
      </c>
      <c r="H26" s="21"/>
    </row>
    <row r="27" spans="1:8" ht="30" customHeight="1" x14ac:dyDescent="0.25">
      <c r="A27" s="14" t="s">
        <v>138</v>
      </c>
      <c r="B27" s="14" t="s">
        <v>139</v>
      </c>
      <c r="C27" s="15" t="s">
        <v>167</v>
      </c>
      <c r="D27" s="16" t="s">
        <v>168</v>
      </c>
      <c r="E27" s="17">
        <v>2</v>
      </c>
      <c r="F27" s="28" t="s">
        <v>26</v>
      </c>
      <c r="G27" s="29" t="s">
        <v>169</v>
      </c>
      <c r="H27" s="16"/>
    </row>
    <row r="28" spans="1:8" ht="30" customHeight="1" x14ac:dyDescent="0.25">
      <c r="A28" s="19" t="s">
        <v>138</v>
      </c>
      <c r="B28" s="19" t="s">
        <v>139</v>
      </c>
      <c r="C28" s="20" t="s">
        <v>170</v>
      </c>
      <c r="D28" s="21" t="s">
        <v>171</v>
      </c>
      <c r="E28" s="23">
        <v>3</v>
      </c>
      <c r="F28" s="28" t="s">
        <v>26</v>
      </c>
      <c r="G28" s="30"/>
      <c r="H28" s="21"/>
    </row>
    <row r="29" spans="1:8" ht="18" customHeight="1" x14ac:dyDescent="0.25">
      <c r="A29" s="13" t="s">
        <v>172</v>
      </c>
      <c r="B29" s="13" t="s">
        <v>173</v>
      </c>
      <c r="C29" s="13"/>
      <c r="D29" s="13"/>
      <c r="E29" s="13"/>
      <c r="F29" s="31"/>
      <c r="G29" s="31"/>
      <c r="H29" s="13"/>
    </row>
    <row r="30" spans="1:8" ht="30" customHeight="1" x14ac:dyDescent="0.25">
      <c r="A30" s="14" t="s">
        <v>172</v>
      </c>
      <c r="B30" s="14" t="s">
        <v>173</v>
      </c>
      <c r="C30" s="15" t="s">
        <v>174</v>
      </c>
      <c r="D30" s="16" t="s">
        <v>175</v>
      </c>
      <c r="E30" s="17">
        <v>2</v>
      </c>
      <c r="F30" s="28" t="s">
        <v>26</v>
      </c>
      <c r="G30" s="29" t="s">
        <v>176</v>
      </c>
      <c r="H30" s="16"/>
    </row>
    <row r="31" spans="1:8" ht="30" customHeight="1" x14ac:dyDescent="0.25">
      <c r="A31" s="19" t="s">
        <v>172</v>
      </c>
      <c r="B31" s="19" t="s">
        <v>173</v>
      </c>
      <c r="C31" s="20" t="s">
        <v>177</v>
      </c>
      <c r="D31" s="21" t="s">
        <v>178</v>
      </c>
      <c r="E31" s="17">
        <v>2</v>
      </c>
      <c r="F31" s="28" t="s">
        <v>115</v>
      </c>
      <c r="G31" s="30"/>
      <c r="H31" s="21"/>
    </row>
    <row r="32" spans="1:8" ht="30" customHeight="1" x14ac:dyDescent="0.25">
      <c r="A32" s="14" t="s">
        <v>172</v>
      </c>
      <c r="B32" s="14" t="s">
        <v>173</v>
      </c>
      <c r="C32" s="15" t="s">
        <v>179</v>
      </c>
      <c r="D32" s="16" t="s">
        <v>180</v>
      </c>
      <c r="E32" s="17">
        <v>2</v>
      </c>
      <c r="F32" s="28" t="s">
        <v>26</v>
      </c>
      <c r="G32" s="29"/>
      <c r="H32" s="16"/>
    </row>
    <row r="33" spans="1:8" ht="18" customHeight="1" x14ac:dyDescent="0.25">
      <c r="A33" s="13" t="s">
        <v>181</v>
      </c>
      <c r="B33" s="13" t="s">
        <v>182</v>
      </c>
      <c r="C33" s="13"/>
      <c r="D33" s="13"/>
      <c r="E33" s="13"/>
      <c r="F33" s="31"/>
      <c r="G33" s="31"/>
      <c r="H33" s="13"/>
    </row>
    <row r="34" spans="1:8" ht="30" customHeight="1" x14ac:dyDescent="0.25">
      <c r="A34" s="14" t="s">
        <v>181</v>
      </c>
      <c r="B34" s="14" t="s">
        <v>182</v>
      </c>
      <c r="C34" s="15" t="s">
        <v>183</v>
      </c>
      <c r="D34" s="16" t="s">
        <v>184</v>
      </c>
      <c r="E34" s="22">
        <v>1</v>
      </c>
      <c r="F34" s="28" t="s">
        <v>26</v>
      </c>
      <c r="G34" s="29"/>
      <c r="H34" s="16"/>
    </row>
    <row r="35" spans="1:8" ht="30" customHeight="1" x14ac:dyDescent="0.25">
      <c r="A35" s="19" t="s">
        <v>181</v>
      </c>
      <c r="B35" s="19" t="s">
        <v>182</v>
      </c>
      <c r="C35" s="20" t="s">
        <v>185</v>
      </c>
      <c r="D35" s="21" t="s">
        <v>186</v>
      </c>
      <c r="E35" s="17">
        <v>2</v>
      </c>
      <c r="F35" s="28" t="s">
        <v>115</v>
      </c>
      <c r="G35" s="30"/>
      <c r="H35" s="21"/>
    </row>
    <row r="36" spans="1:8" ht="30" customHeight="1" x14ac:dyDescent="0.25">
      <c r="A36" s="14" t="s">
        <v>181</v>
      </c>
      <c r="B36" s="14" t="s">
        <v>182</v>
      </c>
      <c r="C36" s="15" t="s">
        <v>187</v>
      </c>
      <c r="D36" s="16" t="s">
        <v>188</v>
      </c>
      <c r="E36" s="23">
        <v>3</v>
      </c>
      <c r="F36" s="28" t="s">
        <v>26</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7" activePane="bottomLeft" state="frozen"/>
      <selection pane="bottomLeft" activeCell="G11" sqref="G1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189</v>
      </c>
      <c r="B2" s="13" t="s">
        <v>190</v>
      </c>
      <c r="C2" s="13"/>
      <c r="D2" s="13"/>
      <c r="E2" s="13"/>
      <c r="F2" s="13"/>
      <c r="G2" s="13"/>
      <c r="H2" s="13"/>
    </row>
    <row r="3" spans="1:8" ht="75" customHeight="1" x14ac:dyDescent="0.25">
      <c r="A3" s="14" t="s">
        <v>189</v>
      </c>
      <c r="B3" s="14" t="s">
        <v>190</v>
      </c>
      <c r="C3" s="15" t="s">
        <v>191</v>
      </c>
      <c r="D3" s="16" t="s">
        <v>192</v>
      </c>
      <c r="E3" s="22">
        <v>1</v>
      </c>
      <c r="F3" s="28" t="s">
        <v>17</v>
      </c>
      <c r="G3" s="29" t="s">
        <v>193</v>
      </c>
      <c r="H3" s="16" t="s">
        <v>194</v>
      </c>
    </row>
    <row r="4" spans="1:8" ht="45" customHeight="1" x14ac:dyDescent="0.25">
      <c r="A4" s="19" t="s">
        <v>189</v>
      </c>
      <c r="B4" s="19" t="s">
        <v>190</v>
      </c>
      <c r="C4" s="20" t="s">
        <v>195</v>
      </c>
      <c r="D4" s="21" t="s">
        <v>196</v>
      </c>
      <c r="E4" s="17">
        <v>2</v>
      </c>
      <c r="F4" s="28" t="s">
        <v>17</v>
      </c>
      <c r="G4" s="30" t="s">
        <v>197</v>
      </c>
      <c r="H4" s="21" t="s">
        <v>198</v>
      </c>
    </row>
    <row r="5" spans="1:8" ht="45" customHeight="1" x14ac:dyDescent="0.25">
      <c r="A5" s="14" t="s">
        <v>189</v>
      </c>
      <c r="B5" s="14" t="s">
        <v>190</v>
      </c>
      <c r="C5" s="15" t="s">
        <v>199</v>
      </c>
      <c r="D5" s="16" t="s">
        <v>200</v>
      </c>
      <c r="E5" s="17">
        <v>2</v>
      </c>
      <c r="F5" s="28" t="s">
        <v>17</v>
      </c>
      <c r="G5" s="29" t="s">
        <v>201</v>
      </c>
      <c r="H5" s="16" t="s">
        <v>202</v>
      </c>
    </row>
    <row r="6" spans="1:8" ht="18" customHeight="1" x14ac:dyDescent="0.25">
      <c r="A6" s="13" t="s">
        <v>203</v>
      </c>
      <c r="B6" s="13" t="s">
        <v>204</v>
      </c>
      <c r="C6" s="13"/>
      <c r="D6" s="13"/>
      <c r="E6" s="13"/>
      <c r="F6" s="31"/>
      <c r="G6" s="31"/>
      <c r="H6" s="13"/>
    </row>
    <row r="7" spans="1:8" ht="30" customHeight="1" x14ac:dyDescent="0.25">
      <c r="A7" s="14" t="s">
        <v>203</v>
      </c>
      <c r="B7" s="14" t="s">
        <v>204</v>
      </c>
      <c r="C7" s="15" t="s">
        <v>205</v>
      </c>
      <c r="D7" s="16" t="s">
        <v>206</v>
      </c>
      <c r="E7" s="22">
        <v>1</v>
      </c>
      <c r="F7" s="28" t="s">
        <v>12</v>
      </c>
      <c r="G7" s="29" t="s">
        <v>207</v>
      </c>
      <c r="H7" s="16"/>
    </row>
    <row r="8" spans="1:8" ht="60" customHeight="1" x14ac:dyDescent="0.25">
      <c r="A8" s="19" t="s">
        <v>203</v>
      </c>
      <c r="B8" s="19" t="s">
        <v>204</v>
      </c>
      <c r="C8" s="20" t="s">
        <v>208</v>
      </c>
      <c r="D8" s="21" t="s">
        <v>209</v>
      </c>
      <c r="E8" s="22">
        <v>1</v>
      </c>
      <c r="F8" s="28" t="s">
        <v>12</v>
      </c>
      <c r="G8" s="30" t="s">
        <v>210</v>
      </c>
      <c r="H8" s="21"/>
    </row>
    <row r="9" spans="1:8" ht="30" customHeight="1" x14ac:dyDescent="0.25">
      <c r="A9" s="14" t="s">
        <v>203</v>
      </c>
      <c r="B9" s="14" t="s">
        <v>204</v>
      </c>
      <c r="C9" s="15" t="s">
        <v>211</v>
      </c>
      <c r="D9" s="16" t="s">
        <v>212</v>
      </c>
      <c r="E9" s="17">
        <v>2</v>
      </c>
      <c r="F9" s="28" t="s">
        <v>115</v>
      </c>
      <c r="G9" s="29"/>
      <c r="H9" s="16"/>
    </row>
    <row r="10" spans="1:8" ht="18" customHeight="1" x14ac:dyDescent="0.25">
      <c r="A10" s="13" t="s">
        <v>213</v>
      </c>
      <c r="B10" s="13" t="s">
        <v>214</v>
      </c>
      <c r="C10" s="13"/>
      <c r="D10" s="13"/>
      <c r="E10" s="13"/>
      <c r="F10" s="31"/>
      <c r="G10" s="31"/>
      <c r="H10" s="13"/>
    </row>
    <row r="11" spans="1:8" ht="75" customHeight="1" x14ac:dyDescent="0.25">
      <c r="A11" s="14" t="s">
        <v>213</v>
      </c>
      <c r="B11" s="14" t="s">
        <v>214</v>
      </c>
      <c r="C11" s="15" t="s">
        <v>215</v>
      </c>
      <c r="D11" s="16" t="s">
        <v>216</v>
      </c>
      <c r="E11" s="22">
        <v>1</v>
      </c>
      <c r="F11" s="28" t="s">
        <v>12</v>
      </c>
      <c r="G11" s="29" t="s">
        <v>217</v>
      </c>
      <c r="H11" s="16"/>
    </row>
    <row r="12" spans="1:8" ht="30" customHeight="1" x14ac:dyDescent="0.25">
      <c r="A12" s="19" t="s">
        <v>213</v>
      </c>
      <c r="B12" s="19" t="s">
        <v>214</v>
      </c>
      <c r="C12" s="20" t="s">
        <v>218</v>
      </c>
      <c r="D12" s="21" t="s">
        <v>219</v>
      </c>
      <c r="E12" s="17">
        <v>2</v>
      </c>
      <c r="F12" s="28" t="s">
        <v>115</v>
      </c>
      <c r="G12" s="30"/>
      <c r="H12" s="21"/>
    </row>
    <row r="13" spans="1:8" ht="30" customHeight="1" x14ac:dyDescent="0.25">
      <c r="A13" s="14" t="s">
        <v>213</v>
      </c>
      <c r="B13" s="14" t="s">
        <v>214</v>
      </c>
      <c r="C13" s="15" t="s">
        <v>220</v>
      </c>
      <c r="D13" s="16" t="s">
        <v>221</v>
      </c>
      <c r="E13" s="17">
        <v>2</v>
      </c>
      <c r="F13" s="28" t="s">
        <v>115</v>
      </c>
      <c r="G13" s="29"/>
      <c r="H13" s="16"/>
    </row>
    <row r="14" spans="1:8" ht="30" customHeight="1" x14ac:dyDescent="0.25">
      <c r="A14" s="19" t="s">
        <v>213</v>
      </c>
      <c r="B14" s="19" t="s">
        <v>214</v>
      </c>
      <c r="C14" s="20" t="s">
        <v>222</v>
      </c>
      <c r="D14" s="21" t="s">
        <v>223</v>
      </c>
      <c r="E14" s="17">
        <v>2</v>
      </c>
      <c r="F14" s="28" t="s">
        <v>115</v>
      </c>
      <c r="G14" s="30"/>
      <c r="H14" s="21"/>
    </row>
    <row r="15" spans="1:8" ht="75" customHeight="1" x14ac:dyDescent="0.25">
      <c r="A15" s="14" t="s">
        <v>213</v>
      </c>
      <c r="B15" s="14" t="s">
        <v>214</v>
      </c>
      <c r="C15" s="15" t="s">
        <v>224</v>
      </c>
      <c r="D15" s="16" t="s">
        <v>225</v>
      </c>
      <c r="E15" s="23">
        <v>3</v>
      </c>
      <c r="F15" s="28" t="s">
        <v>26</v>
      </c>
      <c r="G15" s="29" t="s">
        <v>226</v>
      </c>
      <c r="H15" s="16"/>
    </row>
    <row r="16" spans="1:8" ht="18" customHeight="1" x14ac:dyDescent="0.25">
      <c r="A16" s="13" t="s">
        <v>227</v>
      </c>
      <c r="B16" s="13" t="s">
        <v>228</v>
      </c>
      <c r="C16" s="13"/>
      <c r="D16" s="13"/>
      <c r="E16" s="13"/>
      <c r="F16" s="31"/>
      <c r="G16" s="31"/>
      <c r="H16" s="13"/>
    </row>
    <row r="17" spans="1:8" ht="30" customHeight="1" x14ac:dyDescent="0.25">
      <c r="A17" s="14" t="s">
        <v>227</v>
      </c>
      <c r="B17" s="14" t="s">
        <v>228</v>
      </c>
      <c r="C17" s="15" t="s">
        <v>229</v>
      </c>
      <c r="D17" s="16" t="s">
        <v>230</v>
      </c>
      <c r="E17" s="17">
        <v>2</v>
      </c>
      <c r="F17" s="28" t="s">
        <v>115</v>
      </c>
      <c r="G17" s="29"/>
      <c r="H17" s="16"/>
    </row>
    <row r="18" spans="1:8" ht="30" customHeight="1" x14ac:dyDescent="0.25">
      <c r="A18" s="19" t="s">
        <v>227</v>
      </c>
      <c r="B18" s="19" t="s">
        <v>228</v>
      </c>
      <c r="C18" s="20" t="s">
        <v>231</v>
      </c>
      <c r="D18" s="21" t="s">
        <v>232</v>
      </c>
      <c r="E18" s="23">
        <v>3</v>
      </c>
      <c r="F18" s="28" t="s">
        <v>26</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11" activePane="bottomLeft" state="frozen"/>
      <selection pane="bottomLeft" activeCell="G15" sqref="G15"/>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233</v>
      </c>
      <c r="B1" s="12" t="s">
        <v>1</v>
      </c>
      <c r="C1" s="12" t="s">
        <v>2</v>
      </c>
      <c r="D1" s="12" t="s">
        <v>3</v>
      </c>
      <c r="E1" s="12" t="s">
        <v>4</v>
      </c>
      <c r="F1" s="12" t="s">
        <v>5</v>
      </c>
      <c r="G1" s="12" t="s">
        <v>6</v>
      </c>
      <c r="H1" s="12" t="s">
        <v>7</v>
      </c>
    </row>
    <row r="2" spans="1:8" x14ac:dyDescent="0.25">
      <c r="A2" s="13" t="s">
        <v>234</v>
      </c>
      <c r="B2" s="13" t="s">
        <v>235</v>
      </c>
      <c r="C2" s="13"/>
      <c r="D2" s="13"/>
      <c r="E2" s="13"/>
      <c r="F2" s="13"/>
      <c r="G2" s="13"/>
      <c r="H2" s="13"/>
    </row>
    <row r="3" spans="1:8" ht="85.15" customHeight="1" x14ac:dyDescent="0.25">
      <c r="A3" s="14" t="s">
        <v>234</v>
      </c>
      <c r="B3" s="14" t="s">
        <v>235</v>
      </c>
      <c r="C3" s="15" t="s">
        <v>236</v>
      </c>
      <c r="D3" s="16" t="s">
        <v>237</v>
      </c>
      <c r="E3" s="23">
        <v>3</v>
      </c>
      <c r="F3" s="18" t="s">
        <v>26</v>
      </c>
      <c r="G3" s="24" t="s">
        <v>238</v>
      </c>
      <c r="H3" s="16"/>
    </row>
    <row r="4" spans="1:8" x14ac:dyDescent="0.25">
      <c r="A4" s="13" t="s">
        <v>239</v>
      </c>
      <c r="B4" s="13" t="s">
        <v>240</v>
      </c>
      <c r="C4" s="13"/>
      <c r="D4" s="13"/>
      <c r="E4" s="13"/>
      <c r="F4" s="13"/>
      <c r="G4" s="13"/>
      <c r="H4" s="13"/>
    </row>
    <row r="5" spans="1:8" ht="127.9" customHeight="1" x14ac:dyDescent="0.25">
      <c r="A5" s="14" t="s">
        <v>239</v>
      </c>
      <c r="B5" s="14" t="s">
        <v>240</v>
      </c>
      <c r="C5" s="15" t="s">
        <v>241</v>
      </c>
      <c r="D5" s="16" t="s">
        <v>242</v>
      </c>
      <c r="E5" s="22">
        <v>1</v>
      </c>
      <c r="F5" s="18" t="s">
        <v>26</v>
      </c>
      <c r="G5" s="25"/>
      <c r="H5" s="16"/>
    </row>
    <row r="6" spans="1:8" ht="85.15" customHeight="1" x14ac:dyDescent="0.25">
      <c r="A6" s="19" t="s">
        <v>239</v>
      </c>
      <c r="B6" s="19" t="s">
        <v>240</v>
      </c>
      <c r="C6" s="20" t="s">
        <v>243</v>
      </c>
      <c r="D6" s="21" t="s">
        <v>244</v>
      </c>
      <c r="E6" s="22">
        <v>1</v>
      </c>
      <c r="F6" s="18" t="s">
        <v>26</v>
      </c>
      <c r="G6" t="s">
        <v>245</v>
      </c>
      <c r="H6" s="21"/>
    </row>
    <row r="7" spans="1:8" ht="85.15" customHeight="1" x14ac:dyDescent="0.25">
      <c r="A7" s="14" t="s">
        <v>239</v>
      </c>
      <c r="B7" s="14" t="s">
        <v>240</v>
      </c>
      <c r="C7" s="15" t="s">
        <v>246</v>
      </c>
      <c r="D7" s="16" t="s">
        <v>247</v>
      </c>
      <c r="E7" s="23">
        <v>3</v>
      </c>
      <c r="F7" s="18" t="s">
        <v>26</v>
      </c>
      <c r="G7" t="s">
        <v>248</v>
      </c>
      <c r="H7" s="16"/>
    </row>
    <row r="8" spans="1:8" x14ac:dyDescent="0.25">
      <c r="A8" s="13" t="s">
        <v>249</v>
      </c>
      <c r="B8" s="13" t="s">
        <v>250</v>
      </c>
      <c r="C8" s="13"/>
      <c r="D8" s="13"/>
      <c r="E8" s="13"/>
      <c r="F8" s="13"/>
      <c r="G8" s="13"/>
      <c r="H8" s="13"/>
    </row>
    <row r="9" spans="1:8" ht="72" customHeight="1" x14ac:dyDescent="0.25">
      <c r="A9" s="14" t="s">
        <v>249</v>
      </c>
      <c r="B9" s="14" t="s">
        <v>250</v>
      </c>
      <c r="C9" s="15" t="s">
        <v>251</v>
      </c>
      <c r="D9" s="16" t="s">
        <v>252</v>
      </c>
      <c r="E9" s="22">
        <v>1</v>
      </c>
      <c r="F9" s="18" t="s">
        <v>26</v>
      </c>
      <c r="G9" s="25" t="s">
        <v>253</v>
      </c>
      <c r="H9" s="16"/>
    </row>
    <row r="10" spans="1:8" ht="72" customHeight="1" x14ac:dyDescent="0.25">
      <c r="A10" s="19" t="s">
        <v>249</v>
      </c>
      <c r="B10" s="19" t="s">
        <v>250</v>
      </c>
      <c r="C10" s="20" t="s">
        <v>254</v>
      </c>
      <c r="D10" s="21" t="s">
        <v>255</v>
      </c>
      <c r="E10" s="17">
        <v>2</v>
      </c>
      <c r="F10" s="18" t="s">
        <v>26</v>
      </c>
      <c r="G10" t="s">
        <v>256</v>
      </c>
      <c r="H10" s="21"/>
    </row>
    <row r="11" spans="1:8" ht="72" customHeight="1" x14ac:dyDescent="0.25">
      <c r="A11" s="14" t="s">
        <v>249</v>
      </c>
      <c r="B11" s="14" t="s">
        <v>250</v>
      </c>
      <c r="C11" s="15" t="s">
        <v>257</v>
      </c>
      <c r="D11" s="16" t="s">
        <v>258</v>
      </c>
      <c r="E11" s="17">
        <v>2</v>
      </c>
      <c r="F11" s="18" t="s">
        <v>26</v>
      </c>
      <c r="G11" t="s">
        <v>256</v>
      </c>
      <c r="H11" s="16"/>
    </row>
    <row r="12" spans="1:8" ht="72" customHeight="1" x14ac:dyDescent="0.25">
      <c r="A12" s="19" t="s">
        <v>249</v>
      </c>
      <c r="B12" s="19" t="s">
        <v>250</v>
      </c>
      <c r="C12" s="20" t="s">
        <v>259</v>
      </c>
      <c r="D12" s="21" t="s">
        <v>260</v>
      </c>
      <c r="E12" s="17">
        <v>2</v>
      </c>
      <c r="F12" s="18" t="s">
        <v>26</v>
      </c>
      <c r="G12" s="26" t="s">
        <v>261</v>
      </c>
      <c r="H12" s="21"/>
    </row>
    <row r="13" spans="1:8" ht="72" customHeight="1" x14ac:dyDescent="0.25">
      <c r="A13" s="14" t="s">
        <v>249</v>
      </c>
      <c r="B13" s="14" t="s">
        <v>250</v>
      </c>
      <c r="C13" s="15" t="s">
        <v>262</v>
      </c>
      <c r="D13" s="16" t="s">
        <v>263</v>
      </c>
      <c r="E13" s="23">
        <v>3</v>
      </c>
      <c r="F13" s="18" t="s">
        <v>26</v>
      </c>
      <c r="G13" t="s">
        <v>264</v>
      </c>
      <c r="H13" s="16"/>
    </row>
    <row r="14" spans="1:8" x14ac:dyDescent="0.25">
      <c r="A14" s="13" t="s">
        <v>265</v>
      </c>
      <c r="B14" s="13" t="s">
        <v>266</v>
      </c>
      <c r="C14" s="13"/>
      <c r="D14" s="13"/>
      <c r="E14" s="13"/>
      <c r="F14" s="13"/>
      <c r="G14" s="13"/>
      <c r="H14" s="13"/>
    </row>
    <row r="15" spans="1:8" ht="72" customHeight="1" x14ac:dyDescent="0.25">
      <c r="A15" s="14" t="s">
        <v>265</v>
      </c>
      <c r="B15" s="14" t="s">
        <v>266</v>
      </c>
      <c r="C15" s="15" t="s">
        <v>267</v>
      </c>
      <c r="D15" s="16" t="s">
        <v>268</v>
      </c>
      <c r="E15" s="22">
        <v>1</v>
      </c>
      <c r="F15" s="18" t="s">
        <v>17</v>
      </c>
      <c r="G15" s="25" t="s">
        <v>269</v>
      </c>
      <c r="H15" s="16" t="s">
        <v>270</v>
      </c>
    </row>
    <row r="16" spans="1:8" ht="104.25" customHeight="1" x14ac:dyDescent="0.25">
      <c r="A16" s="19" t="s">
        <v>265</v>
      </c>
      <c r="B16" s="19" t="s">
        <v>266</v>
      </c>
      <c r="C16" s="20" t="s">
        <v>271</v>
      </c>
      <c r="D16" s="21" t="s">
        <v>272</v>
      </c>
      <c r="E16" s="22">
        <v>1</v>
      </c>
      <c r="F16" s="18" t="s">
        <v>17</v>
      </c>
      <c r="G16" s="26" t="s">
        <v>273</v>
      </c>
      <c r="H16" s="21" t="s">
        <v>274</v>
      </c>
    </row>
    <row r="17" spans="1:8" ht="138" customHeight="1" x14ac:dyDescent="0.25">
      <c r="A17" s="14" t="s">
        <v>265</v>
      </c>
      <c r="B17" s="14" t="s">
        <v>266</v>
      </c>
      <c r="C17" s="15" t="s">
        <v>275</v>
      </c>
      <c r="D17" s="16" t="s">
        <v>276</v>
      </c>
      <c r="E17" s="17">
        <v>2</v>
      </c>
      <c r="F17" s="18" t="s">
        <v>26</v>
      </c>
      <c r="G17" s="25" t="s">
        <v>277</v>
      </c>
      <c r="H17" s="16"/>
    </row>
    <row r="18" spans="1:8" ht="78" customHeight="1" x14ac:dyDescent="0.25">
      <c r="A18" s="19" t="s">
        <v>265</v>
      </c>
      <c r="B18" s="19" t="s">
        <v>266</v>
      </c>
      <c r="C18" s="20" t="s">
        <v>278</v>
      </c>
      <c r="D18" s="21" t="s">
        <v>279</v>
      </c>
      <c r="E18" s="17">
        <v>2</v>
      </c>
      <c r="F18" s="18" t="s">
        <v>17</v>
      </c>
      <c r="G18" s="26" t="s">
        <v>280</v>
      </c>
      <c r="H18" s="21" t="s">
        <v>281</v>
      </c>
    </row>
    <row r="19" spans="1:8" ht="105" customHeight="1" x14ac:dyDescent="0.25">
      <c r="A19" s="14" t="s">
        <v>265</v>
      </c>
      <c r="B19" s="14" t="s">
        <v>266</v>
      </c>
      <c r="C19" s="15" t="s">
        <v>282</v>
      </c>
      <c r="D19" s="16" t="s">
        <v>283</v>
      </c>
      <c r="E19" s="17">
        <v>2</v>
      </c>
      <c r="F19" s="18" t="s">
        <v>26</v>
      </c>
      <c r="G19" s="25" t="s">
        <v>284</v>
      </c>
      <c r="H19" s="16"/>
    </row>
    <row r="20" spans="1:8" ht="90" customHeight="1" x14ac:dyDescent="0.25">
      <c r="A20" s="19" t="s">
        <v>265</v>
      </c>
      <c r="B20" s="19" t="s">
        <v>266</v>
      </c>
      <c r="C20" s="20" t="s">
        <v>285</v>
      </c>
      <c r="D20" s="21" t="s">
        <v>286</v>
      </c>
      <c r="E20" s="17">
        <v>2</v>
      </c>
      <c r="F20" s="18" t="s">
        <v>26</v>
      </c>
      <c r="G20" s="26" t="s">
        <v>287</v>
      </c>
      <c r="H20" s="21"/>
    </row>
    <row r="21" spans="1:8" ht="72" customHeight="1" x14ac:dyDescent="0.25">
      <c r="A21" s="14" t="s">
        <v>265</v>
      </c>
      <c r="B21" s="14" t="s">
        <v>266</v>
      </c>
      <c r="C21" s="15" t="s">
        <v>288</v>
      </c>
      <c r="D21" s="16" t="s">
        <v>289</v>
      </c>
      <c r="E21" s="23">
        <v>3</v>
      </c>
      <c r="F21" s="18" t="s">
        <v>26</v>
      </c>
      <c r="G21" s="25" t="s">
        <v>290</v>
      </c>
      <c r="H21" s="16"/>
    </row>
    <row r="22" spans="1:8" ht="90" customHeight="1" x14ac:dyDescent="0.25">
      <c r="A22" s="19" t="s">
        <v>265</v>
      </c>
      <c r="B22" s="19" t="s">
        <v>266</v>
      </c>
      <c r="C22" s="20" t="s">
        <v>291</v>
      </c>
      <c r="D22" s="21" t="s">
        <v>292</v>
      </c>
      <c r="E22" s="23">
        <v>3</v>
      </c>
      <c r="F22" s="18" t="s">
        <v>26</v>
      </c>
      <c r="G22" s="26" t="s">
        <v>293</v>
      </c>
      <c r="H22" s="21"/>
    </row>
    <row r="23" spans="1:8" x14ac:dyDescent="0.25">
      <c r="A23" s="13" t="s">
        <v>294</v>
      </c>
      <c r="B23" s="13" t="s">
        <v>295</v>
      </c>
      <c r="C23" s="13"/>
      <c r="D23" s="13"/>
      <c r="E23" s="13"/>
      <c r="F23" s="13"/>
      <c r="G23" s="13"/>
      <c r="H23" s="13"/>
    </row>
    <row r="24" spans="1:8" ht="120" customHeight="1" x14ac:dyDescent="0.25">
      <c r="A24" s="14" t="s">
        <v>294</v>
      </c>
      <c r="B24" s="14" t="s">
        <v>295</v>
      </c>
      <c r="C24" s="15" t="s">
        <v>296</v>
      </c>
      <c r="D24" s="16" t="s">
        <v>297</v>
      </c>
      <c r="E24" s="22">
        <v>1</v>
      </c>
      <c r="F24" s="18" t="s">
        <v>12</v>
      </c>
      <c r="G24" s="25" t="s">
        <v>298</v>
      </c>
      <c r="H24" s="16" t="s">
        <v>299</v>
      </c>
    </row>
    <row r="25" spans="1:8" ht="105" customHeight="1" x14ac:dyDescent="0.25">
      <c r="A25" s="19" t="s">
        <v>294</v>
      </c>
      <c r="B25" s="19" t="s">
        <v>295</v>
      </c>
      <c r="C25" s="20" t="s">
        <v>300</v>
      </c>
      <c r="D25" s="21" t="s">
        <v>301</v>
      </c>
      <c r="E25" s="22">
        <v>1</v>
      </c>
      <c r="F25" s="18" t="s">
        <v>12</v>
      </c>
      <c r="G25" s="26" t="s">
        <v>302</v>
      </c>
      <c r="H25" s="21" t="s">
        <v>303</v>
      </c>
    </row>
    <row r="26" spans="1:8" ht="120" customHeight="1" x14ac:dyDescent="0.25">
      <c r="A26" s="14" t="s">
        <v>294</v>
      </c>
      <c r="B26" s="14" t="s">
        <v>295</v>
      </c>
      <c r="C26" s="15" t="s">
        <v>304</v>
      </c>
      <c r="D26" s="16" t="s">
        <v>305</v>
      </c>
      <c r="E26" s="22">
        <v>1</v>
      </c>
      <c r="F26" s="18" t="s">
        <v>12</v>
      </c>
      <c r="G26" s="25" t="s">
        <v>306</v>
      </c>
      <c r="H26" s="16" t="s">
        <v>307</v>
      </c>
    </row>
    <row r="27" spans="1:8" ht="75" customHeight="1" x14ac:dyDescent="0.25">
      <c r="A27" s="19" t="s">
        <v>294</v>
      </c>
      <c r="B27" s="19" t="s">
        <v>295</v>
      </c>
      <c r="C27" s="20" t="s">
        <v>308</v>
      </c>
      <c r="D27" s="21" t="s">
        <v>309</v>
      </c>
      <c r="E27" s="17">
        <v>2</v>
      </c>
      <c r="F27" s="18" t="s">
        <v>26</v>
      </c>
      <c r="G27" s="26" t="s">
        <v>310</v>
      </c>
      <c r="H27" s="21"/>
    </row>
    <row r="28" spans="1:8" ht="72" customHeight="1" x14ac:dyDescent="0.25">
      <c r="A28" s="14" t="s">
        <v>294</v>
      </c>
      <c r="B28" s="14" t="s">
        <v>295</v>
      </c>
      <c r="C28" s="15" t="s">
        <v>311</v>
      </c>
      <c r="D28" s="16" t="s">
        <v>312</v>
      </c>
      <c r="E28" s="17">
        <v>2</v>
      </c>
      <c r="F28" s="18" t="s">
        <v>26</v>
      </c>
      <c r="G28" s="25" t="s">
        <v>313</v>
      </c>
      <c r="H28" s="16"/>
    </row>
    <row r="29" spans="1:8" ht="72" customHeight="1" x14ac:dyDescent="0.25">
      <c r="A29" s="19" t="s">
        <v>294</v>
      </c>
      <c r="B29" s="19" t="s">
        <v>295</v>
      </c>
      <c r="C29" s="20" t="s">
        <v>314</v>
      </c>
      <c r="D29" s="21" t="s">
        <v>315</v>
      </c>
      <c r="E29" s="23">
        <v>3</v>
      </c>
      <c r="F29" s="18" t="s">
        <v>26</v>
      </c>
      <c r="G29" s="26" t="s">
        <v>316</v>
      </c>
      <c r="H29" s="21"/>
    </row>
    <row r="30" spans="1:8" ht="72" customHeight="1" x14ac:dyDescent="0.25">
      <c r="A30" s="14" t="s">
        <v>294</v>
      </c>
      <c r="B30" s="14" t="s">
        <v>295</v>
      </c>
      <c r="C30" s="15" t="s">
        <v>317</v>
      </c>
      <c r="D30" s="16" t="s">
        <v>318</v>
      </c>
      <c r="E30" s="23">
        <v>3</v>
      </c>
      <c r="F30" s="18" t="s">
        <v>26</v>
      </c>
      <c r="G30" s="25" t="s">
        <v>319</v>
      </c>
      <c r="H30" s="16"/>
    </row>
    <row r="31" spans="1:8" ht="120.4" customHeight="1" x14ac:dyDescent="0.25">
      <c r="A31" s="19" t="s">
        <v>294</v>
      </c>
      <c r="B31" s="19" t="s">
        <v>295</v>
      </c>
      <c r="C31" s="20" t="s">
        <v>320</v>
      </c>
      <c r="D31" s="21" t="s">
        <v>321</v>
      </c>
      <c r="E31" s="23">
        <v>3</v>
      </c>
      <c r="F31" s="18" t="s">
        <v>26</v>
      </c>
      <c r="G31" s="26"/>
      <c r="H31" s="21"/>
    </row>
    <row r="32" spans="1:8" x14ac:dyDescent="0.25">
      <c r="A32" s="13" t="s">
        <v>322</v>
      </c>
      <c r="B32" s="13" t="s">
        <v>323</v>
      </c>
      <c r="C32" s="13"/>
      <c r="D32" s="13"/>
      <c r="E32" s="13"/>
      <c r="F32" s="13"/>
      <c r="G32" s="13"/>
      <c r="H32" s="13"/>
    </row>
    <row r="33" spans="1:8" ht="106.5" customHeight="1" x14ac:dyDescent="0.25">
      <c r="A33" s="14" t="s">
        <v>322</v>
      </c>
      <c r="B33" s="14" t="s">
        <v>323</v>
      </c>
      <c r="C33" s="15" t="s">
        <v>324</v>
      </c>
      <c r="D33" s="16" t="s">
        <v>325</v>
      </c>
      <c r="E33" s="23">
        <v>3</v>
      </c>
      <c r="F33" s="18" t="s">
        <v>26</v>
      </c>
      <c r="G33" t="s">
        <v>326</v>
      </c>
      <c r="H33" s="16"/>
    </row>
    <row r="34" spans="1:8" x14ac:dyDescent="0.25">
      <c r="A34" s="13" t="s">
        <v>327</v>
      </c>
      <c r="B34" s="13" t="s">
        <v>328</v>
      </c>
      <c r="C34" s="13"/>
      <c r="D34" s="13"/>
      <c r="E34" s="13"/>
      <c r="F34" s="13"/>
      <c r="G34" s="13"/>
      <c r="H34" s="13"/>
    </row>
    <row r="35" spans="1:8" ht="72" customHeight="1" x14ac:dyDescent="0.25">
      <c r="A35" s="14" t="s">
        <v>327</v>
      </c>
      <c r="B35" s="14" t="s">
        <v>328</v>
      </c>
      <c r="C35" s="15" t="s">
        <v>329</v>
      </c>
      <c r="D35" s="16" t="s">
        <v>330</v>
      </c>
      <c r="E35" s="17">
        <v>2</v>
      </c>
      <c r="F35" s="18" t="s">
        <v>26</v>
      </c>
      <c r="G35" t="s">
        <v>331</v>
      </c>
      <c r="H35" s="16"/>
    </row>
    <row r="36" spans="1:8" ht="72" customHeight="1" x14ac:dyDescent="0.25">
      <c r="A36" s="19" t="s">
        <v>327</v>
      </c>
      <c r="B36" s="19" t="s">
        <v>328</v>
      </c>
      <c r="C36" s="20" t="s">
        <v>332</v>
      </c>
      <c r="D36" s="21" t="s">
        <v>333</v>
      </c>
      <c r="E36" s="17">
        <v>2</v>
      </c>
      <c r="F36" s="18" t="s">
        <v>26</v>
      </c>
      <c r="G36" s="26"/>
      <c r="H36" s="21"/>
    </row>
    <row r="37" spans="1:8" ht="72" customHeight="1" x14ac:dyDescent="0.25">
      <c r="A37" s="14" t="s">
        <v>327</v>
      </c>
      <c r="B37" s="14" t="s">
        <v>328</v>
      </c>
      <c r="C37" s="15" t="s">
        <v>334</v>
      </c>
      <c r="D37" s="16" t="s">
        <v>335</v>
      </c>
      <c r="E37" s="23">
        <v>3</v>
      </c>
      <c r="F37" s="18" t="s">
        <v>26</v>
      </c>
      <c r="G37" t="s">
        <v>336</v>
      </c>
      <c r="H37" s="16"/>
    </row>
    <row r="38" spans="1:8" ht="72" customHeight="1" x14ac:dyDescent="0.25">
      <c r="A38" s="19" t="s">
        <v>327</v>
      </c>
      <c r="B38" s="19" t="s">
        <v>328</v>
      </c>
      <c r="C38" s="20" t="s">
        <v>337</v>
      </c>
      <c r="D38" s="21" t="s">
        <v>338</v>
      </c>
      <c r="E38" s="23">
        <v>3</v>
      </c>
      <c r="F38" s="18" t="s">
        <v>26</v>
      </c>
      <c r="G38" s="26"/>
      <c r="H38" s="21"/>
    </row>
    <row r="39" spans="1:8" ht="72" customHeight="1" x14ac:dyDescent="0.25">
      <c r="A39" s="14" t="s">
        <v>327</v>
      </c>
      <c r="B39" s="14" t="s">
        <v>328</v>
      </c>
      <c r="C39" s="15" t="s">
        <v>339</v>
      </c>
      <c r="D39" s="16" t="s">
        <v>340</v>
      </c>
      <c r="E39" s="23">
        <v>3</v>
      </c>
      <c r="F39" s="18" t="s">
        <v>26</v>
      </c>
      <c r="G39" t="s">
        <v>341</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8</v>
      </c>
      <c r="B2" s="13" t="s">
        <v>9</v>
      </c>
      <c r="C2" s="13"/>
      <c r="D2" s="13"/>
      <c r="E2" s="13"/>
      <c r="F2" s="13"/>
      <c r="G2" s="13"/>
      <c r="H2" s="13"/>
    </row>
    <row r="3" spans="1:8" ht="75" customHeight="1" x14ac:dyDescent="0.25">
      <c r="A3" s="14" t="s">
        <v>8</v>
      </c>
      <c r="B3" s="14" t="s">
        <v>9</v>
      </c>
      <c r="C3" s="15" t="s">
        <v>10</v>
      </c>
      <c r="D3" s="16" t="s">
        <v>11</v>
      </c>
      <c r="E3" s="22">
        <v>1</v>
      </c>
      <c r="F3" s="18" t="s">
        <v>12</v>
      </c>
      <c r="G3" s="16" t="s">
        <v>13</v>
      </c>
      <c r="H3" s="16" t="s">
        <v>14</v>
      </c>
    </row>
    <row r="4" spans="1:8" ht="105" customHeight="1" x14ac:dyDescent="0.25">
      <c r="A4" s="19" t="s">
        <v>8</v>
      </c>
      <c r="B4" s="19" t="s">
        <v>9</v>
      </c>
      <c r="C4" s="20" t="s">
        <v>15</v>
      </c>
      <c r="D4" s="21" t="s">
        <v>16</v>
      </c>
      <c r="E4" s="17">
        <v>2</v>
      </c>
      <c r="F4" s="18" t="s">
        <v>17</v>
      </c>
      <c r="G4" s="21" t="s">
        <v>18</v>
      </c>
      <c r="H4" s="21" t="s">
        <v>19</v>
      </c>
    </row>
    <row r="5" spans="1:8" ht="75" customHeight="1" x14ac:dyDescent="0.25">
      <c r="A5" s="14" t="s">
        <v>8</v>
      </c>
      <c r="B5" s="14" t="s">
        <v>9</v>
      </c>
      <c r="C5" s="15" t="s">
        <v>20</v>
      </c>
      <c r="D5" s="16" t="s">
        <v>21</v>
      </c>
      <c r="E5" s="17">
        <v>2</v>
      </c>
      <c r="F5" s="18" t="s">
        <v>17</v>
      </c>
      <c r="G5" s="16" t="s">
        <v>22</v>
      </c>
      <c r="H5" s="16" t="s">
        <v>23</v>
      </c>
    </row>
    <row r="6" spans="1:8" ht="30" customHeight="1" x14ac:dyDescent="0.25">
      <c r="A6" s="19" t="s">
        <v>8</v>
      </c>
      <c r="B6" s="19" t="s">
        <v>9</v>
      </c>
      <c r="C6" s="20" t="s">
        <v>24</v>
      </c>
      <c r="D6" s="21" t="s">
        <v>25</v>
      </c>
      <c r="E6" s="23">
        <v>3</v>
      </c>
      <c r="F6" s="18" t="s">
        <v>26</v>
      </c>
      <c r="G6" s="21"/>
      <c r="H6" s="21"/>
    </row>
    <row r="7" spans="1:8" ht="30" customHeight="1" x14ac:dyDescent="0.25">
      <c r="A7" s="14" t="s">
        <v>8</v>
      </c>
      <c r="B7" s="14" t="s">
        <v>9</v>
      </c>
      <c r="C7" s="15" t="s">
        <v>27</v>
      </c>
      <c r="D7" s="16" t="s">
        <v>28</v>
      </c>
      <c r="E7" s="23">
        <v>3</v>
      </c>
      <c r="F7" s="18" t="s">
        <v>26</v>
      </c>
      <c r="G7" s="16"/>
      <c r="H7" s="16"/>
    </row>
    <row r="8" spans="1:8" ht="18" customHeight="1" x14ac:dyDescent="0.25">
      <c r="A8" s="13" t="s">
        <v>29</v>
      </c>
      <c r="B8" s="13" t="s">
        <v>30</v>
      </c>
      <c r="C8" s="13"/>
      <c r="D8" s="13"/>
      <c r="E8" s="13"/>
      <c r="F8" s="13"/>
      <c r="G8" s="13"/>
      <c r="H8" s="13"/>
    </row>
    <row r="9" spans="1:8" ht="30" customHeight="1" x14ac:dyDescent="0.25">
      <c r="A9" s="14" t="s">
        <v>29</v>
      </c>
      <c r="B9" s="14" t="s">
        <v>30</v>
      </c>
      <c r="C9" s="15" t="s">
        <v>31</v>
      </c>
      <c r="D9" s="16" t="s">
        <v>32</v>
      </c>
      <c r="E9" s="17">
        <v>2</v>
      </c>
      <c r="F9" s="18" t="s">
        <v>12</v>
      </c>
      <c r="G9" s="16" t="s">
        <v>33</v>
      </c>
      <c r="H9" s="16" t="s">
        <v>34</v>
      </c>
    </row>
    <row r="10" spans="1:8" ht="30" customHeight="1" x14ac:dyDescent="0.25">
      <c r="A10" s="19" t="s">
        <v>29</v>
      </c>
      <c r="B10" s="19" t="s">
        <v>30</v>
      </c>
      <c r="C10" s="20" t="s">
        <v>35</v>
      </c>
      <c r="D10" s="21" t="s">
        <v>36</v>
      </c>
      <c r="E10" s="23">
        <v>3</v>
      </c>
      <c r="F10" s="18" t="s">
        <v>26</v>
      </c>
      <c r="G10" s="21"/>
      <c r="H10" s="21"/>
    </row>
    <row r="11" spans="1:8" ht="30" customHeight="1" x14ac:dyDescent="0.25">
      <c r="A11" s="14" t="s">
        <v>29</v>
      </c>
      <c r="B11" s="14" t="s">
        <v>30</v>
      </c>
      <c r="C11" s="15" t="s">
        <v>37</v>
      </c>
      <c r="D11" s="16" t="s">
        <v>38</v>
      </c>
      <c r="E11" s="23">
        <v>3</v>
      </c>
      <c r="F11" s="18" t="s">
        <v>26</v>
      </c>
      <c r="G11" s="16"/>
      <c r="H11" s="16"/>
    </row>
    <row r="12" spans="1:8" ht="30" customHeight="1" x14ac:dyDescent="0.25">
      <c r="A12" s="19" t="s">
        <v>29</v>
      </c>
      <c r="B12" s="19" t="s">
        <v>30</v>
      </c>
      <c r="C12" s="20" t="s">
        <v>39</v>
      </c>
      <c r="D12" s="21" t="s">
        <v>40</v>
      </c>
      <c r="E12" s="23">
        <v>3</v>
      </c>
      <c r="F12" s="18" t="s">
        <v>26</v>
      </c>
      <c r="G12" s="21"/>
      <c r="H12" s="21"/>
    </row>
    <row r="13" spans="1:8" ht="30" customHeight="1" x14ac:dyDescent="0.25">
      <c r="A13" s="14" t="s">
        <v>29</v>
      </c>
      <c r="B13" s="14" t="s">
        <v>30</v>
      </c>
      <c r="C13" s="15" t="s">
        <v>41</v>
      </c>
      <c r="D13" s="16" t="s">
        <v>42</v>
      </c>
      <c r="E13" s="23">
        <v>3</v>
      </c>
      <c r="F13" s="18" t="s">
        <v>26</v>
      </c>
      <c r="G13" s="16"/>
      <c r="H13" s="16"/>
    </row>
    <row r="14" spans="1:8" ht="18" customHeight="1" x14ac:dyDescent="0.25">
      <c r="A14" s="13" t="s">
        <v>43</v>
      </c>
      <c r="B14" s="13" t="s">
        <v>44</v>
      </c>
      <c r="C14" s="13"/>
      <c r="D14" s="13"/>
      <c r="E14" s="13"/>
      <c r="F14" s="13"/>
      <c r="G14" s="13"/>
      <c r="H14" s="13"/>
    </row>
    <row r="15" spans="1:8" ht="60" customHeight="1" x14ac:dyDescent="0.25">
      <c r="A15" s="14" t="s">
        <v>43</v>
      </c>
      <c r="B15" s="14" t="s">
        <v>44</v>
      </c>
      <c r="C15" s="15" t="s">
        <v>45</v>
      </c>
      <c r="D15" s="16" t="s">
        <v>46</v>
      </c>
      <c r="E15" s="17">
        <v>2</v>
      </c>
      <c r="F15" s="18" t="s">
        <v>26</v>
      </c>
      <c r="G15" s="16" t="s">
        <v>47</v>
      </c>
      <c r="H15" s="16"/>
    </row>
    <row r="16" spans="1:8" ht="30" customHeight="1" x14ac:dyDescent="0.25">
      <c r="A16" s="19" t="s">
        <v>43</v>
      </c>
      <c r="B16" s="19" t="s">
        <v>44</v>
      </c>
      <c r="C16" s="20" t="s">
        <v>48</v>
      </c>
      <c r="D16" s="21" t="s">
        <v>49</v>
      </c>
      <c r="E16" s="17">
        <v>2</v>
      </c>
      <c r="F16" s="18" t="s">
        <v>26</v>
      </c>
      <c r="G16" s="21" t="s">
        <v>50</v>
      </c>
      <c r="H16" s="21"/>
    </row>
    <row r="17" spans="1:8" ht="18" customHeight="1" x14ac:dyDescent="0.25">
      <c r="A17" s="13" t="s">
        <v>51</v>
      </c>
      <c r="B17" s="13" t="s">
        <v>52</v>
      </c>
      <c r="C17" s="13"/>
      <c r="D17" s="13"/>
      <c r="E17" s="13"/>
      <c r="F17" s="13"/>
      <c r="G17" s="13"/>
      <c r="H17" s="13"/>
    </row>
    <row r="18" spans="1:8" ht="30" customHeight="1" x14ac:dyDescent="0.25">
      <c r="A18" s="14" t="s">
        <v>51</v>
      </c>
      <c r="B18" s="14" t="s">
        <v>52</v>
      </c>
      <c r="C18" s="15" t="s">
        <v>53</v>
      </c>
      <c r="D18" s="16" t="s">
        <v>54</v>
      </c>
      <c r="E18" s="22">
        <v>1</v>
      </c>
      <c r="F18" s="18" t="s">
        <v>26</v>
      </c>
      <c r="G18" s="16" t="s">
        <v>55</v>
      </c>
      <c r="H18" s="16"/>
    </row>
    <row r="19" spans="1:8" ht="30" customHeight="1" x14ac:dyDescent="0.25">
      <c r="A19" s="19" t="s">
        <v>51</v>
      </c>
      <c r="B19" s="19" t="s">
        <v>52</v>
      </c>
      <c r="C19" s="20" t="s">
        <v>56</v>
      </c>
      <c r="D19" s="21" t="s">
        <v>57</v>
      </c>
      <c r="E19" s="17">
        <v>2</v>
      </c>
      <c r="F19" s="18" t="s">
        <v>26</v>
      </c>
      <c r="G19" t="s">
        <v>58</v>
      </c>
      <c r="H19" s="21"/>
    </row>
    <row r="20" spans="1:8" ht="30" customHeight="1" x14ac:dyDescent="0.25">
      <c r="A20" s="14" t="s">
        <v>51</v>
      </c>
      <c r="B20" s="14" t="s">
        <v>52</v>
      </c>
      <c r="C20" s="15" t="s">
        <v>59</v>
      </c>
      <c r="D20" s="16" t="s">
        <v>60</v>
      </c>
      <c r="E20" s="17">
        <v>2</v>
      </c>
      <c r="F20" s="18" t="s">
        <v>26</v>
      </c>
      <c r="G20" t="s">
        <v>61</v>
      </c>
      <c r="H20" s="16"/>
    </row>
    <row r="21" spans="1:8" ht="30" customHeight="1" x14ac:dyDescent="0.25">
      <c r="A21" s="19" t="s">
        <v>51</v>
      </c>
      <c r="B21" s="19" t="s">
        <v>52</v>
      </c>
      <c r="C21" s="20" t="s">
        <v>62</v>
      </c>
      <c r="D21" s="21" t="s">
        <v>63</v>
      </c>
      <c r="E21" s="17">
        <v>2</v>
      </c>
      <c r="F21" s="18" t="s">
        <v>26</v>
      </c>
      <c r="G21" t="s">
        <v>64</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6" activePane="bottomLeft" state="frozen"/>
      <selection pane="bottomLeft" activeCell="F5" sqref="F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342</v>
      </c>
      <c r="B2" s="13" t="s">
        <v>343</v>
      </c>
      <c r="C2" s="13"/>
      <c r="D2" s="13"/>
      <c r="E2" s="13"/>
      <c r="F2" s="13"/>
      <c r="G2" s="13"/>
      <c r="H2" s="13"/>
    </row>
    <row r="3" spans="1:8" ht="150" customHeight="1" x14ac:dyDescent="0.25">
      <c r="A3" s="14" t="s">
        <v>342</v>
      </c>
      <c r="B3" s="14" t="s">
        <v>343</v>
      </c>
      <c r="C3" s="15" t="s">
        <v>344</v>
      </c>
      <c r="D3" s="16" t="s">
        <v>345</v>
      </c>
      <c r="E3" s="17">
        <v>2</v>
      </c>
      <c r="F3" s="18" t="s">
        <v>17</v>
      </c>
      <c r="G3" s="16" t="s">
        <v>346</v>
      </c>
      <c r="H3" s="16" t="s">
        <v>347</v>
      </c>
    </row>
    <row r="4" spans="1:8" ht="18" customHeight="1" x14ac:dyDescent="0.25">
      <c r="A4" s="13" t="s">
        <v>348</v>
      </c>
      <c r="B4" s="13" t="s">
        <v>349</v>
      </c>
      <c r="C4" s="13"/>
      <c r="D4" s="13"/>
      <c r="E4" s="13"/>
      <c r="F4" s="13"/>
      <c r="G4" s="13"/>
      <c r="H4" s="13"/>
    </row>
    <row r="5" spans="1:8" ht="30" customHeight="1" x14ac:dyDescent="0.25">
      <c r="A5" s="14" t="s">
        <v>348</v>
      </c>
      <c r="B5" s="14" t="s">
        <v>349</v>
      </c>
      <c r="C5" s="15" t="s">
        <v>350</v>
      </c>
      <c r="D5" s="16" t="s">
        <v>351</v>
      </c>
      <c r="E5" s="22">
        <v>1</v>
      </c>
      <c r="F5" s="18" t="s">
        <v>12</v>
      </c>
      <c r="G5" s="16" t="s">
        <v>352</v>
      </c>
      <c r="H5" s="16" t="s">
        <v>353</v>
      </c>
    </row>
    <row r="6" spans="1:8" ht="150" customHeight="1" x14ac:dyDescent="0.25">
      <c r="A6" s="19" t="s">
        <v>348</v>
      </c>
      <c r="B6" s="19" t="s">
        <v>349</v>
      </c>
      <c r="C6" s="20" t="s">
        <v>354</v>
      </c>
      <c r="D6" s="21" t="s">
        <v>355</v>
      </c>
      <c r="E6" s="22">
        <v>1</v>
      </c>
      <c r="F6" s="18" t="s">
        <v>17</v>
      </c>
      <c r="G6" s="21" t="s">
        <v>356</v>
      </c>
      <c r="H6" s="21" t="s">
        <v>357</v>
      </c>
    </row>
    <row r="7" spans="1:8" ht="45" customHeight="1" x14ac:dyDescent="0.25">
      <c r="A7" s="14" t="s">
        <v>348</v>
      </c>
      <c r="B7" s="14" t="s">
        <v>349</v>
      </c>
      <c r="C7" s="15" t="s">
        <v>358</v>
      </c>
      <c r="D7" s="16" t="s">
        <v>359</v>
      </c>
      <c r="E7" s="17">
        <v>2</v>
      </c>
      <c r="F7" s="18" t="s">
        <v>26</v>
      </c>
      <c r="G7" s="16" t="s">
        <v>360</v>
      </c>
      <c r="H7" s="16"/>
    </row>
    <row r="8" spans="1:8" ht="30" customHeight="1" x14ac:dyDescent="0.25">
      <c r="A8" s="19" t="s">
        <v>348</v>
      </c>
      <c r="B8" s="19" t="s">
        <v>349</v>
      </c>
      <c r="C8" s="20" t="s">
        <v>361</v>
      </c>
      <c r="D8" s="21" t="s">
        <v>362</v>
      </c>
      <c r="E8" s="23">
        <v>3</v>
      </c>
      <c r="F8" s="18" t="s">
        <v>26</v>
      </c>
      <c r="G8" s="21"/>
      <c r="H8" s="21"/>
    </row>
    <row r="9" spans="1:8" ht="60" customHeight="1" x14ac:dyDescent="0.25">
      <c r="A9" s="14" t="s">
        <v>348</v>
      </c>
      <c r="B9" s="14" t="s">
        <v>349</v>
      </c>
      <c r="C9" s="15" t="s">
        <v>363</v>
      </c>
      <c r="D9" s="16" t="s">
        <v>364</v>
      </c>
      <c r="E9" s="23">
        <v>3</v>
      </c>
      <c r="F9" s="18" t="s">
        <v>26</v>
      </c>
      <c r="G9" s="16" t="s">
        <v>365</v>
      </c>
      <c r="H9" s="16"/>
    </row>
    <row r="10" spans="1:8" ht="30" customHeight="1" x14ac:dyDescent="0.25">
      <c r="A10" s="19" t="s">
        <v>348</v>
      </c>
      <c r="B10" s="19" t="s">
        <v>349</v>
      </c>
      <c r="C10" s="20" t="s">
        <v>366</v>
      </c>
      <c r="D10" s="21" t="s">
        <v>367</v>
      </c>
      <c r="E10" s="23">
        <v>3</v>
      </c>
      <c r="F10" s="18" t="s">
        <v>26</v>
      </c>
      <c r="G10" s="21"/>
      <c r="H10" s="21"/>
    </row>
    <row r="11" spans="1:8" ht="18" customHeight="1" x14ac:dyDescent="0.25">
      <c r="A11" s="13" t="s">
        <v>368</v>
      </c>
      <c r="B11" s="13" t="s">
        <v>369</v>
      </c>
      <c r="C11" s="13"/>
      <c r="D11" s="13"/>
      <c r="E11" s="13"/>
      <c r="F11" s="13"/>
      <c r="G11" s="13"/>
      <c r="H11" s="13"/>
    </row>
    <row r="12" spans="1:8" ht="30" customHeight="1" x14ac:dyDescent="0.25">
      <c r="A12" s="14" t="s">
        <v>368</v>
      </c>
      <c r="B12" s="14" t="s">
        <v>369</v>
      </c>
      <c r="C12" s="15" t="s">
        <v>370</v>
      </c>
      <c r="D12" s="16" t="s">
        <v>371</v>
      </c>
      <c r="E12" s="22">
        <v>1</v>
      </c>
      <c r="F12" s="18" t="s">
        <v>115</v>
      </c>
      <c r="G12" s="16"/>
      <c r="H12" s="16"/>
    </row>
    <row r="13" spans="1:8" ht="30" customHeight="1" x14ac:dyDescent="0.25">
      <c r="A13" s="19" t="s">
        <v>368</v>
      </c>
      <c r="B13" s="19" t="s">
        <v>369</v>
      </c>
      <c r="C13" s="20" t="s">
        <v>372</v>
      </c>
      <c r="D13" s="21" t="s">
        <v>373</v>
      </c>
      <c r="E13" s="22">
        <v>1</v>
      </c>
      <c r="F13" s="18" t="s">
        <v>115</v>
      </c>
      <c r="G13" s="21"/>
      <c r="H13" s="21"/>
    </row>
    <row r="14" spans="1:8" ht="60" customHeight="1" x14ac:dyDescent="0.25">
      <c r="A14" s="14" t="s">
        <v>368</v>
      </c>
      <c r="B14" s="14" t="s">
        <v>369</v>
      </c>
      <c r="C14" s="15" t="s">
        <v>374</v>
      </c>
      <c r="D14" s="16" t="s">
        <v>375</v>
      </c>
      <c r="E14" s="23">
        <v>3</v>
      </c>
      <c r="F14" s="18" t="s">
        <v>26</v>
      </c>
      <c r="G14" s="16" t="s">
        <v>376</v>
      </c>
      <c r="H14" s="16"/>
    </row>
    <row r="15" spans="1:8" ht="18" customHeight="1" x14ac:dyDescent="0.25">
      <c r="A15" s="13" t="s">
        <v>377</v>
      </c>
      <c r="B15" s="13" t="s">
        <v>378</v>
      </c>
      <c r="C15" s="13"/>
      <c r="D15" s="13"/>
      <c r="E15" s="13"/>
      <c r="F15" s="13"/>
      <c r="G15" s="13"/>
      <c r="H15" s="13"/>
    </row>
    <row r="16" spans="1:8" ht="30" customHeight="1" x14ac:dyDescent="0.25">
      <c r="A16" s="14" t="s">
        <v>377</v>
      </c>
      <c r="B16" s="14" t="s">
        <v>378</v>
      </c>
      <c r="C16" s="15" t="s">
        <v>379</v>
      </c>
      <c r="D16" s="16" t="s">
        <v>380</v>
      </c>
      <c r="E16" s="17">
        <v>2</v>
      </c>
      <c r="F16" s="18" t="s">
        <v>115</v>
      </c>
      <c r="G16" s="16"/>
      <c r="H16" s="16"/>
    </row>
    <row r="17" spans="1:8" ht="30" customHeight="1" x14ac:dyDescent="0.25">
      <c r="A17" s="19" t="s">
        <v>377</v>
      </c>
      <c r="B17" s="19" t="s">
        <v>378</v>
      </c>
      <c r="C17" s="20" t="s">
        <v>381</v>
      </c>
      <c r="D17" s="21" t="s">
        <v>382</v>
      </c>
      <c r="E17" s="17">
        <v>2</v>
      </c>
      <c r="F17" s="18" t="s">
        <v>115</v>
      </c>
      <c r="G17" s="21"/>
      <c r="H17" s="21"/>
    </row>
    <row r="18" spans="1:8" ht="30" customHeight="1" x14ac:dyDescent="0.25">
      <c r="A18" s="14" t="s">
        <v>377</v>
      </c>
      <c r="B18" s="14" t="s">
        <v>378</v>
      </c>
      <c r="C18" s="15" t="s">
        <v>383</v>
      </c>
      <c r="D18" s="16" t="s">
        <v>384</v>
      </c>
      <c r="E18" s="17">
        <v>2</v>
      </c>
      <c r="F18" s="18" t="s">
        <v>115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L4" sqref="L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ht="18" customHeight="1" x14ac:dyDescent="0.25">
      <c r="A2" s="13" t="s">
        <v>385</v>
      </c>
      <c r="B2" s="13" t="s">
        <v>386</v>
      </c>
      <c r="C2" s="13"/>
      <c r="D2" s="13"/>
      <c r="E2" s="13"/>
      <c r="F2" s="13"/>
      <c r="G2" s="13"/>
      <c r="H2" s="13"/>
    </row>
    <row r="3" spans="1:8" ht="90" customHeight="1" x14ac:dyDescent="0.25">
      <c r="A3" s="14" t="s">
        <v>385</v>
      </c>
      <c r="B3" s="14" t="s">
        <v>386</v>
      </c>
      <c r="C3" s="15" t="s">
        <v>387</v>
      </c>
      <c r="D3" s="16" t="s">
        <v>388</v>
      </c>
      <c r="E3" s="22">
        <v>1</v>
      </c>
      <c r="F3" s="18" t="s">
        <v>17</v>
      </c>
      <c r="G3" s="16" t="s">
        <v>389</v>
      </c>
      <c r="H3" s="16" t="s">
        <v>390</v>
      </c>
    </row>
    <row r="4" spans="1:8" ht="75" customHeight="1" x14ac:dyDescent="0.25">
      <c r="A4" s="19" t="s">
        <v>385</v>
      </c>
      <c r="B4" s="19" t="s">
        <v>386</v>
      </c>
      <c r="C4" s="20" t="s">
        <v>391</v>
      </c>
      <c r="D4" s="21" t="s">
        <v>392</v>
      </c>
      <c r="E4" s="17">
        <v>2</v>
      </c>
      <c r="F4" s="18" t="s">
        <v>17</v>
      </c>
      <c r="G4" s="21" t="s">
        <v>393</v>
      </c>
      <c r="H4" s="21" t="s">
        <v>394</v>
      </c>
    </row>
    <row r="5" spans="1:8" ht="120" customHeight="1" x14ac:dyDescent="0.25">
      <c r="A5" s="14" t="s">
        <v>385</v>
      </c>
      <c r="B5" s="14" t="s">
        <v>386</v>
      </c>
      <c r="C5" s="15" t="s">
        <v>395</v>
      </c>
      <c r="D5" s="16" t="s">
        <v>396</v>
      </c>
      <c r="E5" s="17">
        <v>2</v>
      </c>
      <c r="F5" s="18" t="s">
        <v>17</v>
      </c>
      <c r="G5" s="16" t="s">
        <v>397</v>
      </c>
      <c r="H5" s="16" t="s">
        <v>398</v>
      </c>
    </row>
    <row r="6" spans="1:8" ht="18" customHeight="1" x14ac:dyDescent="0.25">
      <c r="A6" s="13" t="s">
        <v>399</v>
      </c>
      <c r="B6" s="13" t="s">
        <v>400</v>
      </c>
      <c r="C6" s="13"/>
      <c r="D6" s="13"/>
      <c r="E6" s="13"/>
      <c r="F6" s="13"/>
      <c r="G6" s="13"/>
      <c r="H6" s="13"/>
    </row>
    <row r="7" spans="1:8" ht="60" customHeight="1" x14ac:dyDescent="0.25">
      <c r="A7" s="14" t="s">
        <v>399</v>
      </c>
      <c r="B7" s="14" t="s">
        <v>400</v>
      </c>
      <c r="C7" s="15" t="s">
        <v>401</v>
      </c>
      <c r="D7" s="16" t="s">
        <v>402</v>
      </c>
      <c r="E7" s="22">
        <v>1</v>
      </c>
      <c r="F7" s="18" t="s">
        <v>17</v>
      </c>
      <c r="G7" s="16" t="s">
        <v>403</v>
      </c>
      <c r="H7" s="16" t="s">
        <v>404</v>
      </c>
    </row>
    <row r="8" spans="1:8" ht="60" customHeight="1" x14ac:dyDescent="0.25">
      <c r="A8" s="19" t="s">
        <v>399</v>
      </c>
      <c r="B8" s="19" t="s">
        <v>400</v>
      </c>
      <c r="C8" s="20" t="s">
        <v>405</v>
      </c>
      <c r="D8" s="21" t="s">
        <v>406</v>
      </c>
      <c r="E8" s="22">
        <v>1</v>
      </c>
      <c r="F8" s="18" t="s">
        <v>17</v>
      </c>
      <c r="G8" s="21" t="s">
        <v>407</v>
      </c>
      <c r="H8" s="21" t="s">
        <v>408</v>
      </c>
    </row>
    <row r="9" spans="1:8" ht="60" customHeight="1" x14ac:dyDescent="0.25">
      <c r="A9" s="14" t="s">
        <v>399</v>
      </c>
      <c r="B9" s="14" t="s">
        <v>400</v>
      </c>
      <c r="C9" s="15" t="s">
        <v>409</v>
      </c>
      <c r="D9" s="16" t="s">
        <v>410</v>
      </c>
      <c r="E9" s="22">
        <v>1</v>
      </c>
      <c r="F9" s="18" t="s">
        <v>17</v>
      </c>
      <c r="G9" s="16" t="s">
        <v>411</v>
      </c>
      <c r="H9" s="16"/>
    </row>
    <row r="10" spans="1:8" ht="105" customHeight="1" x14ac:dyDescent="0.25">
      <c r="A10" s="19" t="s">
        <v>399</v>
      </c>
      <c r="B10" s="19" t="s">
        <v>400</v>
      </c>
      <c r="C10" s="20" t="s">
        <v>412</v>
      </c>
      <c r="D10" s="21" t="s">
        <v>413</v>
      </c>
      <c r="E10" s="22">
        <v>1</v>
      </c>
      <c r="F10" s="18" t="s">
        <v>17</v>
      </c>
      <c r="G10" s="21" t="s">
        <v>414</v>
      </c>
      <c r="H10" s="21" t="s">
        <v>415</v>
      </c>
    </row>
    <row r="11" spans="1:8" ht="90" customHeight="1" x14ac:dyDescent="0.25">
      <c r="A11" s="14" t="s">
        <v>399</v>
      </c>
      <c r="B11" s="14" t="s">
        <v>400</v>
      </c>
      <c r="C11" s="15" t="s">
        <v>416</v>
      </c>
      <c r="D11" s="16" t="s">
        <v>417</v>
      </c>
      <c r="E11" s="22">
        <v>1</v>
      </c>
      <c r="F11" s="18" t="s">
        <v>17</v>
      </c>
      <c r="G11" s="16" t="s">
        <v>418</v>
      </c>
      <c r="H11" s="16" t="s">
        <v>419</v>
      </c>
    </row>
    <row r="12" spans="1:8" ht="60" customHeight="1" x14ac:dyDescent="0.25">
      <c r="A12" s="19" t="s">
        <v>399</v>
      </c>
      <c r="B12" s="19" t="s">
        <v>400</v>
      </c>
      <c r="C12" s="20" t="s">
        <v>420</v>
      </c>
      <c r="D12" s="21" t="s">
        <v>421</v>
      </c>
      <c r="E12" s="22">
        <v>1</v>
      </c>
      <c r="F12" s="18" t="s">
        <v>26</v>
      </c>
      <c r="G12" s="21" t="s">
        <v>422</v>
      </c>
      <c r="H12" s="21"/>
    </row>
    <row r="13" spans="1:8" ht="60" customHeight="1" x14ac:dyDescent="0.25">
      <c r="A13" s="14" t="s">
        <v>399</v>
      </c>
      <c r="B13" s="14" t="s">
        <v>400</v>
      </c>
      <c r="C13" s="15" t="s">
        <v>423</v>
      </c>
      <c r="D13" s="16" t="s">
        <v>424</v>
      </c>
      <c r="E13" s="22">
        <v>1</v>
      </c>
      <c r="F13" s="18" t="s">
        <v>26</v>
      </c>
      <c r="G13" s="16" t="s">
        <v>425</v>
      </c>
      <c r="H13" s="16"/>
    </row>
    <row r="14" spans="1:8" ht="75" customHeight="1" x14ac:dyDescent="0.25">
      <c r="A14" s="19" t="s">
        <v>399</v>
      </c>
      <c r="B14" s="19" t="s">
        <v>400</v>
      </c>
      <c r="C14" s="20" t="s">
        <v>426</v>
      </c>
      <c r="D14" s="21" t="s">
        <v>427</v>
      </c>
      <c r="E14" s="22">
        <v>1</v>
      </c>
      <c r="F14" s="18" t="s">
        <v>12</v>
      </c>
      <c r="G14" s="21" t="s">
        <v>428</v>
      </c>
      <c r="H14" s="21" t="s">
        <v>429</v>
      </c>
    </row>
    <row r="15" spans="1:8" ht="60" customHeight="1" x14ac:dyDescent="0.25">
      <c r="A15" s="14" t="s">
        <v>399</v>
      </c>
      <c r="B15" s="14" t="s">
        <v>400</v>
      </c>
      <c r="C15" s="15" t="s">
        <v>430</v>
      </c>
      <c r="D15" s="16" t="s">
        <v>431</v>
      </c>
      <c r="E15" s="17">
        <v>2</v>
      </c>
      <c r="F15" s="18" t="s">
        <v>17</v>
      </c>
      <c r="G15" s="16" t="s">
        <v>432</v>
      </c>
      <c r="H15" s="16" t="s">
        <v>433</v>
      </c>
    </row>
    <row r="16" spans="1:8" ht="60" customHeight="1" x14ac:dyDescent="0.25">
      <c r="A16" s="19" t="s">
        <v>399</v>
      </c>
      <c r="B16" s="19" t="s">
        <v>400</v>
      </c>
      <c r="C16" s="20" t="s">
        <v>434</v>
      </c>
      <c r="D16" s="21" t="s">
        <v>435</v>
      </c>
      <c r="E16" s="17">
        <v>2</v>
      </c>
      <c r="F16" s="18" t="s">
        <v>17</v>
      </c>
      <c r="G16" s="21" t="s">
        <v>436</v>
      </c>
      <c r="H16" s="21" t="s">
        <v>437</v>
      </c>
    </row>
    <row r="17" spans="1:8" ht="90" customHeight="1" x14ac:dyDescent="0.25">
      <c r="A17" s="14" t="s">
        <v>399</v>
      </c>
      <c r="B17" s="14" t="s">
        <v>400</v>
      </c>
      <c r="C17" s="15" t="s">
        <v>438</v>
      </c>
      <c r="D17" s="16" t="s">
        <v>439</v>
      </c>
      <c r="E17" s="17">
        <v>2</v>
      </c>
      <c r="F17" s="18" t="s">
        <v>17</v>
      </c>
      <c r="G17" s="16" t="s">
        <v>440</v>
      </c>
      <c r="H17" s="16" t="s">
        <v>441</v>
      </c>
    </row>
    <row r="18" spans="1:8" ht="105" customHeight="1" x14ac:dyDescent="0.25">
      <c r="A18" s="19" t="s">
        <v>399</v>
      </c>
      <c r="B18" s="19" t="s">
        <v>400</v>
      </c>
      <c r="C18" s="20" t="s">
        <v>442</v>
      </c>
      <c r="D18" s="21" t="s">
        <v>443</v>
      </c>
      <c r="E18" s="17">
        <v>2</v>
      </c>
      <c r="F18" s="18" t="s">
        <v>17</v>
      </c>
      <c r="G18" s="21" t="s">
        <v>444</v>
      </c>
      <c r="H18" s="21" t="s">
        <v>445</v>
      </c>
    </row>
    <row r="19" spans="1:8" ht="18" customHeight="1" x14ac:dyDescent="0.25">
      <c r="A19" s="13" t="s">
        <v>446</v>
      </c>
      <c r="B19" s="13" t="s">
        <v>447</v>
      </c>
      <c r="C19" s="13"/>
      <c r="D19" s="13"/>
      <c r="E19" s="13"/>
      <c r="F19" s="13"/>
      <c r="G19" s="13"/>
      <c r="H19" s="13"/>
    </row>
    <row r="20" spans="1:8" ht="75" customHeight="1" x14ac:dyDescent="0.25">
      <c r="A20" s="14" t="s">
        <v>446</v>
      </c>
      <c r="B20" s="14" t="s">
        <v>447</v>
      </c>
      <c r="C20" s="15" t="s">
        <v>448</v>
      </c>
      <c r="D20" s="16" t="s">
        <v>449</v>
      </c>
      <c r="E20" s="22">
        <v>1</v>
      </c>
      <c r="F20" s="18" t="s">
        <v>12</v>
      </c>
      <c r="G20" s="16" t="s">
        <v>450</v>
      </c>
      <c r="H20" s="16" t="s">
        <v>451</v>
      </c>
    </row>
    <row r="21" spans="1:8" ht="105" customHeight="1" x14ac:dyDescent="0.25">
      <c r="A21" s="19" t="s">
        <v>446</v>
      </c>
      <c r="B21" s="19" t="s">
        <v>447</v>
      </c>
      <c r="C21" s="20" t="s">
        <v>452</v>
      </c>
      <c r="D21" s="21" t="s">
        <v>453</v>
      </c>
      <c r="E21" s="22">
        <v>1</v>
      </c>
      <c r="F21" s="18" t="s">
        <v>12</v>
      </c>
      <c r="G21" s="21" t="s">
        <v>454</v>
      </c>
      <c r="H21" s="21" t="s">
        <v>455</v>
      </c>
    </row>
    <row r="22" spans="1:8" ht="165" customHeight="1" x14ac:dyDescent="0.25">
      <c r="A22" s="14" t="s">
        <v>446</v>
      </c>
      <c r="B22" s="14" t="s">
        <v>447</v>
      </c>
      <c r="C22" s="15" t="s">
        <v>456</v>
      </c>
      <c r="D22" s="16" t="s">
        <v>457</v>
      </c>
      <c r="E22" s="17">
        <v>2</v>
      </c>
      <c r="F22" s="18" t="s">
        <v>17</v>
      </c>
      <c r="G22" s="16" t="s">
        <v>458</v>
      </c>
      <c r="H22" s="16" t="s">
        <v>459</v>
      </c>
    </row>
    <row r="23" spans="1:8" ht="75" customHeight="1" x14ac:dyDescent="0.25">
      <c r="A23" s="19" t="s">
        <v>446</v>
      </c>
      <c r="B23" s="19" t="s">
        <v>447</v>
      </c>
      <c r="C23" s="20" t="s">
        <v>460</v>
      </c>
      <c r="D23" s="21" t="s">
        <v>461</v>
      </c>
      <c r="E23" s="17">
        <v>2</v>
      </c>
      <c r="F23" s="18" t="s">
        <v>17</v>
      </c>
      <c r="G23" s="21" t="s">
        <v>462</v>
      </c>
      <c r="H23" s="21" t="s">
        <v>463</v>
      </c>
    </row>
    <row r="24" spans="1:8" ht="30" customHeight="1" x14ac:dyDescent="0.25">
      <c r="A24" s="14" t="s">
        <v>446</v>
      </c>
      <c r="B24" s="14" t="s">
        <v>447</v>
      </c>
      <c r="C24" s="15" t="s">
        <v>464</v>
      </c>
      <c r="D24" s="16" t="s">
        <v>465</v>
      </c>
      <c r="E24" s="23">
        <v>3</v>
      </c>
      <c r="F24" s="18" t="s">
        <v>26</v>
      </c>
      <c r="G24" s="16"/>
      <c r="H24" s="16"/>
    </row>
    <row r="25" spans="1:8" ht="30" customHeight="1" x14ac:dyDescent="0.25">
      <c r="A25" s="19" t="s">
        <v>446</v>
      </c>
      <c r="B25" s="19" t="s">
        <v>447</v>
      </c>
      <c r="C25" s="20" t="s">
        <v>466</v>
      </c>
      <c r="D25" s="21" t="s">
        <v>467</v>
      </c>
      <c r="E25" s="23">
        <v>3</v>
      </c>
      <c r="F25" s="18" t="s">
        <v>26</v>
      </c>
      <c r="G25" s="21"/>
      <c r="H25" s="21"/>
    </row>
    <row r="26" spans="1:8" ht="30" customHeight="1" x14ac:dyDescent="0.25">
      <c r="A26" s="14" t="s">
        <v>446</v>
      </c>
      <c r="B26" s="14" t="s">
        <v>447</v>
      </c>
      <c r="C26" s="15" t="s">
        <v>468</v>
      </c>
      <c r="D26" s="16" t="s">
        <v>469</v>
      </c>
      <c r="E26" s="23">
        <v>3</v>
      </c>
      <c r="F26" s="18" t="s">
        <v>26</v>
      </c>
      <c r="G26" s="16"/>
      <c r="H26" s="16"/>
    </row>
    <row r="27" spans="1:8" ht="30" customHeight="1" x14ac:dyDescent="0.25">
      <c r="A27" s="19" t="s">
        <v>446</v>
      </c>
      <c r="B27" s="19" t="s">
        <v>447</v>
      </c>
      <c r="C27" s="20" t="s">
        <v>470</v>
      </c>
      <c r="D27" s="21" t="s">
        <v>471</v>
      </c>
      <c r="E27" s="23">
        <v>3</v>
      </c>
      <c r="F27" s="18" t="s">
        <v>26</v>
      </c>
      <c r="G27" s="21"/>
      <c r="H27" s="21"/>
    </row>
    <row r="28" spans="1:8" ht="18" customHeight="1" x14ac:dyDescent="0.25">
      <c r="A28" s="13" t="s">
        <v>472</v>
      </c>
      <c r="B28" s="13" t="s">
        <v>473</v>
      </c>
      <c r="C28" s="13"/>
      <c r="D28" s="13"/>
      <c r="E28" s="13"/>
      <c r="F28" s="13"/>
      <c r="G28" s="13"/>
      <c r="H28" s="13"/>
    </row>
    <row r="29" spans="1:8" ht="90" customHeight="1" x14ac:dyDescent="0.25">
      <c r="A29" s="14" t="s">
        <v>472</v>
      </c>
      <c r="B29" s="14" t="s">
        <v>473</v>
      </c>
      <c r="C29" s="15" t="s">
        <v>474</v>
      </c>
      <c r="D29" s="16" t="s">
        <v>475</v>
      </c>
      <c r="E29" s="22">
        <v>1</v>
      </c>
      <c r="F29" s="18" t="s">
        <v>17</v>
      </c>
      <c r="G29" s="16" t="s">
        <v>476</v>
      </c>
      <c r="H29" s="16" t="s">
        <v>477</v>
      </c>
    </row>
    <row r="30" spans="1:8" ht="90" customHeight="1" x14ac:dyDescent="0.25">
      <c r="A30" s="19" t="s">
        <v>472</v>
      </c>
      <c r="B30" s="19" t="s">
        <v>473</v>
      </c>
      <c r="C30" s="20" t="s">
        <v>478</v>
      </c>
      <c r="D30" s="21" t="s">
        <v>479</v>
      </c>
      <c r="E30" s="22">
        <v>1</v>
      </c>
      <c r="F30" s="18" t="s">
        <v>12</v>
      </c>
      <c r="G30" s="21" t="s">
        <v>480</v>
      </c>
      <c r="H30" s="21" t="s">
        <v>481</v>
      </c>
    </row>
    <row r="31" spans="1:8" ht="90" customHeight="1" x14ac:dyDescent="0.25">
      <c r="A31" s="14" t="s">
        <v>472</v>
      </c>
      <c r="B31" s="14" t="s">
        <v>473</v>
      </c>
      <c r="C31" s="15" t="s">
        <v>482</v>
      </c>
      <c r="D31" s="16" t="s">
        <v>483</v>
      </c>
      <c r="E31" s="17">
        <v>2</v>
      </c>
      <c r="F31" s="18" t="s">
        <v>17</v>
      </c>
      <c r="G31" s="16" t="s">
        <v>484</v>
      </c>
      <c r="H31" s="16"/>
    </row>
    <row r="32" spans="1:8" ht="60" customHeight="1" x14ac:dyDescent="0.25">
      <c r="A32" s="19" t="s">
        <v>472</v>
      </c>
      <c r="B32" s="19" t="s">
        <v>473</v>
      </c>
      <c r="C32" s="20" t="s">
        <v>485</v>
      </c>
      <c r="D32" s="21" t="s">
        <v>486</v>
      </c>
      <c r="E32" s="17">
        <v>2</v>
      </c>
      <c r="F32" s="18" t="s">
        <v>17</v>
      </c>
      <c r="G32" s="21" t="s">
        <v>487</v>
      </c>
      <c r="H32" s="21"/>
    </row>
    <row r="33" spans="1:8" ht="30" customHeight="1" x14ac:dyDescent="0.25">
      <c r="A33" s="14" t="s">
        <v>472</v>
      </c>
      <c r="B33" s="14" t="s">
        <v>473</v>
      </c>
      <c r="C33" s="15" t="s">
        <v>488</v>
      </c>
      <c r="D33" s="16" t="s">
        <v>489</v>
      </c>
      <c r="E33" s="23">
        <v>3</v>
      </c>
      <c r="F33" s="18" t="s">
        <v>26</v>
      </c>
      <c r="G33" s="16"/>
      <c r="H33" s="16"/>
    </row>
    <row r="34" spans="1:8" ht="30" customHeight="1" x14ac:dyDescent="0.25">
      <c r="A34" s="19" t="s">
        <v>472</v>
      </c>
      <c r="B34" s="19" t="s">
        <v>473</v>
      </c>
      <c r="C34" s="20" t="s">
        <v>490</v>
      </c>
      <c r="D34" s="21" t="s">
        <v>491</v>
      </c>
      <c r="E34" s="23">
        <v>3</v>
      </c>
      <c r="F34" s="18" t="s">
        <v>26</v>
      </c>
      <c r="G34" s="21"/>
      <c r="H34" s="21"/>
    </row>
    <row r="35" spans="1:8" ht="18" customHeight="1" x14ac:dyDescent="0.25">
      <c r="A35" s="13" t="s">
        <v>492</v>
      </c>
      <c r="B35" s="13" t="s">
        <v>493</v>
      </c>
      <c r="C35" s="13"/>
      <c r="D35" s="13"/>
      <c r="E35" s="13"/>
      <c r="F35" s="13"/>
      <c r="G35" s="13"/>
      <c r="H35" s="13"/>
    </row>
    <row r="36" spans="1:8" ht="75" customHeight="1" x14ac:dyDescent="0.25">
      <c r="A36" s="14" t="s">
        <v>492</v>
      </c>
      <c r="B36" s="14" t="s">
        <v>493</v>
      </c>
      <c r="C36" s="15" t="s">
        <v>494</v>
      </c>
      <c r="D36" s="16" t="s">
        <v>495</v>
      </c>
      <c r="E36" s="17">
        <v>2</v>
      </c>
      <c r="F36" s="18" t="s">
        <v>17</v>
      </c>
      <c r="G36" s="16" t="s">
        <v>496</v>
      </c>
      <c r="H36" s="16"/>
    </row>
    <row r="37" spans="1:8" ht="90" customHeight="1" x14ac:dyDescent="0.25">
      <c r="A37" s="19" t="s">
        <v>492</v>
      </c>
      <c r="B37" s="19" t="s">
        <v>493</v>
      </c>
      <c r="C37" s="20" t="s">
        <v>497</v>
      </c>
      <c r="D37" s="21" t="s">
        <v>498</v>
      </c>
      <c r="E37" s="17">
        <v>2</v>
      </c>
      <c r="F37" s="18" t="s">
        <v>17</v>
      </c>
      <c r="G37" s="21" t="s">
        <v>499</v>
      </c>
      <c r="H37" s="21"/>
    </row>
    <row r="38" spans="1:8" ht="105" customHeight="1" x14ac:dyDescent="0.25">
      <c r="A38" s="14" t="s">
        <v>492</v>
      </c>
      <c r="B38" s="14" t="s">
        <v>493</v>
      </c>
      <c r="C38" s="15" t="s">
        <v>500</v>
      </c>
      <c r="D38" s="16" t="s">
        <v>501</v>
      </c>
      <c r="E38" s="17">
        <v>2</v>
      </c>
      <c r="F38" s="18" t="s">
        <v>17</v>
      </c>
      <c r="G38" s="16" t="s">
        <v>502</v>
      </c>
      <c r="H38" s="16"/>
    </row>
    <row r="39" spans="1:8" ht="105" customHeight="1" x14ac:dyDescent="0.25">
      <c r="A39" s="19" t="s">
        <v>492</v>
      </c>
      <c r="B39" s="19" t="s">
        <v>493</v>
      </c>
      <c r="C39" s="20" t="s">
        <v>503</v>
      </c>
      <c r="D39" s="21" t="s">
        <v>504</v>
      </c>
      <c r="E39" s="17">
        <v>2</v>
      </c>
      <c r="F39" s="18" t="s">
        <v>17</v>
      </c>
      <c r="G39" s="21" t="s">
        <v>505</v>
      </c>
      <c r="H39" s="21"/>
    </row>
    <row r="40" spans="1:8" ht="75" customHeight="1" x14ac:dyDescent="0.25">
      <c r="A40" s="14" t="s">
        <v>492</v>
      </c>
      <c r="B40" s="14" t="s">
        <v>493</v>
      </c>
      <c r="C40" s="15" t="s">
        <v>506</v>
      </c>
      <c r="D40" s="16" t="s">
        <v>507</v>
      </c>
      <c r="E40" s="17">
        <v>2</v>
      </c>
      <c r="F40" s="18" t="s">
        <v>17</v>
      </c>
      <c r="G40" s="16" t="s">
        <v>508</v>
      </c>
      <c r="H40" s="16"/>
    </row>
    <row r="41" spans="1:8" ht="30" customHeight="1" x14ac:dyDescent="0.25">
      <c r="A41" s="19" t="s">
        <v>492</v>
      </c>
      <c r="B41" s="19" t="s">
        <v>493</v>
      </c>
      <c r="C41" s="20" t="s">
        <v>509</v>
      </c>
      <c r="D41" s="21" t="s">
        <v>510</v>
      </c>
      <c r="E41" s="23">
        <v>3</v>
      </c>
      <c r="F41" s="18" t="s">
        <v>26</v>
      </c>
      <c r="G41" s="21"/>
      <c r="H41" s="21"/>
    </row>
    <row r="42" spans="1:8" ht="30" customHeight="1" x14ac:dyDescent="0.25">
      <c r="A42" s="14" t="s">
        <v>492</v>
      </c>
      <c r="B42" s="14" t="s">
        <v>493</v>
      </c>
      <c r="C42" s="15" t="s">
        <v>511</v>
      </c>
      <c r="D42" s="16" t="s">
        <v>512</v>
      </c>
      <c r="E42" s="23">
        <v>3</v>
      </c>
      <c r="F42" s="18" t="s">
        <v>26</v>
      </c>
      <c r="G42" s="16"/>
      <c r="H42" s="16"/>
    </row>
    <row r="43" spans="1:8" ht="30" customHeight="1" x14ac:dyDescent="0.25">
      <c r="A43" s="19" t="s">
        <v>492</v>
      </c>
      <c r="B43" s="19" t="s">
        <v>493</v>
      </c>
      <c r="C43" s="20" t="s">
        <v>513</v>
      </c>
      <c r="D43" s="21" t="s">
        <v>514</v>
      </c>
      <c r="E43" s="23">
        <v>3</v>
      </c>
      <c r="F43" s="18" t="s">
        <v>26</v>
      </c>
      <c r="G43" s="21"/>
      <c r="H43" s="21"/>
    </row>
    <row r="44" spans="1:8" ht="18" customHeight="1" x14ac:dyDescent="0.25">
      <c r="A44" s="13" t="s">
        <v>515</v>
      </c>
      <c r="B44" s="13" t="s">
        <v>516</v>
      </c>
      <c r="C44" s="13"/>
      <c r="D44" s="13"/>
      <c r="E44" s="13"/>
      <c r="F44" s="13"/>
      <c r="G44" s="13"/>
      <c r="H44" s="13"/>
    </row>
    <row r="45" spans="1:8" ht="30" customHeight="1" x14ac:dyDescent="0.25">
      <c r="A45" s="14" t="s">
        <v>515</v>
      </c>
      <c r="B45" s="14" t="s">
        <v>516</v>
      </c>
      <c r="C45" s="15" t="s">
        <v>517</v>
      </c>
      <c r="D45" s="16" t="s">
        <v>518</v>
      </c>
      <c r="E45" s="17">
        <v>2</v>
      </c>
      <c r="F45" s="18" t="s">
        <v>26</v>
      </c>
      <c r="G45" s="16" t="s">
        <v>519</v>
      </c>
      <c r="H45" s="16"/>
    </row>
    <row r="46" spans="1:8" ht="30" customHeight="1" x14ac:dyDescent="0.25">
      <c r="A46" s="19" t="s">
        <v>515</v>
      </c>
      <c r="B46" s="19" t="s">
        <v>516</v>
      </c>
      <c r="C46" s="20" t="s">
        <v>520</v>
      </c>
      <c r="D46" s="21" t="s">
        <v>521</v>
      </c>
      <c r="E46" s="17">
        <v>2</v>
      </c>
      <c r="F46" s="18" t="s">
        <v>17</v>
      </c>
      <c r="G46" s="21" t="s">
        <v>522</v>
      </c>
      <c r="H46" s="21"/>
    </row>
    <row r="47" spans="1:8" ht="72" customHeight="1" x14ac:dyDescent="0.25">
      <c r="A47" s="14" t="s">
        <v>515</v>
      </c>
      <c r="B47" s="14" t="s">
        <v>516</v>
      </c>
      <c r="C47" s="15" t="s">
        <v>523</v>
      </c>
      <c r="D47" s="16" t="s">
        <v>524</v>
      </c>
      <c r="E47" s="17">
        <v>2</v>
      </c>
      <c r="F47" s="18" t="s">
        <v>17</v>
      </c>
      <c r="G47" s="16" t="s">
        <v>525</v>
      </c>
      <c r="H47" s="16"/>
    </row>
    <row r="48" spans="1:8" ht="30" customHeight="1" x14ac:dyDescent="0.25">
      <c r="A48" s="19" t="s">
        <v>515</v>
      </c>
      <c r="B48" s="19" t="s">
        <v>516</v>
      </c>
      <c r="C48" s="20" t="s">
        <v>526</v>
      </c>
      <c r="D48" s="21" t="s">
        <v>527</v>
      </c>
      <c r="E48" s="23">
        <v>3</v>
      </c>
      <c r="F48" s="18" t="s">
        <v>26</v>
      </c>
      <c r="G48" s="21"/>
      <c r="H48" s="21"/>
    </row>
    <row r="49" spans="1:8" ht="18" customHeight="1" x14ac:dyDescent="0.25">
      <c r="A49" s="13" t="s">
        <v>528</v>
      </c>
      <c r="B49" s="13" t="s">
        <v>529</v>
      </c>
      <c r="C49" s="13"/>
      <c r="D49" s="13"/>
      <c r="E49" s="13"/>
      <c r="F49" s="13"/>
      <c r="G49" s="13"/>
      <c r="H49" s="13"/>
    </row>
    <row r="50" spans="1:8" ht="30" customHeight="1" x14ac:dyDescent="0.25">
      <c r="A50" s="14" t="s">
        <v>528</v>
      </c>
      <c r="B50" s="14" t="s">
        <v>529</v>
      </c>
      <c r="C50" s="15" t="s">
        <v>530</v>
      </c>
      <c r="D50" s="16" t="s">
        <v>531</v>
      </c>
      <c r="E50" s="23">
        <v>3</v>
      </c>
      <c r="F50" s="18" t="s">
        <v>26</v>
      </c>
      <c r="G50" s="16"/>
      <c r="H50" s="16"/>
    </row>
    <row r="51" spans="1:8" ht="30" customHeight="1" x14ac:dyDescent="0.25">
      <c r="A51" s="19" t="s">
        <v>528</v>
      </c>
      <c r="B51" s="19" t="s">
        <v>529</v>
      </c>
      <c r="C51" s="20" t="s">
        <v>532</v>
      </c>
      <c r="D51" s="21" t="s">
        <v>533</v>
      </c>
      <c r="E51" s="23">
        <v>3</v>
      </c>
      <c r="F51" s="18" t="s">
        <v>26</v>
      </c>
      <c r="G51" s="21"/>
      <c r="H51" s="21"/>
    </row>
    <row r="52" spans="1:8" ht="18" customHeight="1" x14ac:dyDescent="0.25">
      <c r="A52" s="13" t="s">
        <v>534</v>
      </c>
      <c r="B52" s="13" t="s">
        <v>535</v>
      </c>
      <c r="C52" s="13"/>
      <c r="D52" s="13"/>
      <c r="E52" s="13"/>
      <c r="F52" s="13"/>
      <c r="G52" s="13"/>
      <c r="H52" s="13"/>
    </row>
    <row r="53" spans="1:8" ht="90" customHeight="1" x14ac:dyDescent="0.25">
      <c r="A53" s="14" t="s">
        <v>534</v>
      </c>
      <c r="B53" s="14" t="s">
        <v>535</v>
      </c>
      <c r="C53" s="15" t="s">
        <v>536</v>
      </c>
      <c r="D53" s="16" t="s">
        <v>537</v>
      </c>
      <c r="E53" s="17">
        <v>2</v>
      </c>
      <c r="F53" s="18" t="s">
        <v>26</v>
      </c>
      <c r="G53" s="16" t="s">
        <v>538</v>
      </c>
      <c r="H53" s="16"/>
    </row>
    <row r="54" spans="1:8" ht="90" customHeight="1" x14ac:dyDescent="0.25">
      <c r="A54" s="19" t="s">
        <v>534</v>
      </c>
      <c r="B54" s="19" t="s">
        <v>535</v>
      </c>
      <c r="C54" s="20" t="s">
        <v>539</v>
      </c>
      <c r="D54" s="21" t="s">
        <v>540</v>
      </c>
      <c r="E54" s="17">
        <v>2</v>
      </c>
      <c r="F54" s="18" t="s">
        <v>12</v>
      </c>
      <c r="G54" s="21" t="s">
        <v>541</v>
      </c>
      <c r="H54" s="21" t="s">
        <v>542</v>
      </c>
    </row>
    <row r="55" spans="1:8" ht="75" customHeight="1" x14ac:dyDescent="0.25">
      <c r="A55" s="14" t="s">
        <v>534</v>
      </c>
      <c r="B55" s="14" t="s">
        <v>535</v>
      </c>
      <c r="C55" s="15" t="s">
        <v>543</v>
      </c>
      <c r="D55" s="16" t="s">
        <v>544</v>
      </c>
      <c r="E55" s="17">
        <v>2</v>
      </c>
      <c r="F55" s="18" t="s">
        <v>17</v>
      </c>
      <c r="G55" s="16" t="s">
        <v>545</v>
      </c>
      <c r="H55" s="16" t="s">
        <v>546</v>
      </c>
    </row>
    <row r="56" spans="1:8" ht="150" customHeight="1" x14ac:dyDescent="0.25">
      <c r="A56" s="19" t="s">
        <v>534</v>
      </c>
      <c r="B56" s="19" t="s">
        <v>535</v>
      </c>
      <c r="C56" s="20" t="s">
        <v>547</v>
      </c>
      <c r="D56" s="21" t="s">
        <v>548</v>
      </c>
      <c r="E56" s="17">
        <v>2</v>
      </c>
      <c r="F56" s="18" t="s">
        <v>26</v>
      </c>
      <c r="G56" s="21" t="s">
        <v>549</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3"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550</v>
      </c>
      <c r="B2" s="13" t="s">
        <v>551</v>
      </c>
      <c r="C2" s="13"/>
      <c r="D2" s="13"/>
      <c r="E2" s="13"/>
      <c r="F2" s="13"/>
      <c r="G2" s="13"/>
      <c r="H2" s="13"/>
    </row>
    <row r="3" spans="1:8" ht="30" customHeight="1" x14ac:dyDescent="0.25">
      <c r="A3" s="14" t="s">
        <v>550</v>
      </c>
      <c r="B3" s="14" t="s">
        <v>551</v>
      </c>
      <c r="C3" s="15" t="s">
        <v>552</v>
      </c>
      <c r="D3" s="16" t="s">
        <v>553</v>
      </c>
      <c r="E3" s="17">
        <v>2</v>
      </c>
      <c r="F3" s="18" t="s">
        <v>17</v>
      </c>
      <c r="G3" s="16" t="s">
        <v>554</v>
      </c>
      <c r="H3" s="16" t="s">
        <v>555</v>
      </c>
    </row>
    <row r="4" spans="1:8" ht="30" customHeight="1" x14ac:dyDescent="0.25">
      <c r="A4" s="19" t="s">
        <v>550</v>
      </c>
      <c r="B4" s="19" t="s">
        <v>551</v>
      </c>
      <c r="C4" s="20" t="s">
        <v>556</v>
      </c>
      <c r="D4" s="21" t="s">
        <v>557</v>
      </c>
      <c r="E4" s="17">
        <v>2</v>
      </c>
      <c r="F4" s="18" t="s">
        <v>17</v>
      </c>
      <c r="G4" s="21" t="s">
        <v>558</v>
      </c>
      <c r="H4" s="21" t="s">
        <v>559</v>
      </c>
    </row>
    <row r="5" spans="1:8" ht="30" customHeight="1" x14ac:dyDescent="0.25">
      <c r="A5" s="14" t="s">
        <v>550</v>
      </c>
      <c r="B5" s="14" t="s">
        <v>551</v>
      </c>
      <c r="C5" s="15" t="s">
        <v>560</v>
      </c>
      <c r="D5" s="16" t="s">
        <v>561</v>
      </c>
      <c r="E5" s="17">
        <v>2</v>
      </c>
      <c r="F5" s="18" t="s">
        <v>17</v>
      </c>
      <c r="G5" s="16" t="s">
        <v>562</v>
      </c>
      <c r="H5" s="16" t="s">
        <v>563</v>
      </c>
    </row>
    <row r="6" spans="1:8" ht="18" customHeight="1" x14ac:dyDescent="0.25">
      <c r="A6" s="13" t="s">
        <v>564</v>
      </c>
      <c r="B6" s="13" t="s">
        <v>565</v>
      </c>
      <c r="C6" s="13"/>
      <c r="D6" s="13"/>
      <c r="E6" s="13"/>
      <c r="F6" s="13"/>
      <c r="G6" s="13"/>
      <c r="H6" s="13"/>
    </row>
    <row r="7" spans="1:8" ht="90" customHeight="1" x14ac:dyDescent="0.25">
      <c r="A7" s="14" t="s">
        <v>564</v>
      </c>
      <c r="B7" s="14" t="s">
        <v>565</v>
      </c>
      <c r="C7" s="15" t="s">
        <v>566</v>
      </c>
      <c r="D7" s="16" t="s">
        <v>567</v>
      </c>
      <c r="E7" s="22">
        <v>1</v>
      </c>
      <c r="F7" s="18" t="s">
        <v>12</v>
      </c>
      <c r="G7" s="16" t="s">
        <v>568</v>
      </c>
      <c r="H7" s="16"/>
    </row>
    <row r="8" spans="1:8" ht="120" customHeight="1" x14ac:dyDescent="0.25">
      <c r="A8" s="19" t="s">
        <v>564</v>
      </c>
      <c r="B8" s="19" t="s">
        <v>565</v>
      </c>
      <c r="C8" s="20" t="s">
        <v>569</v>
      </c>
      <c r="D8" s="21" t="s">
        <v>570</v>
      </c>
      <c r="E8" s="22">
        <v>1</v>
      </c>
      <c r="F8" s="18" t="s">
        <v>12</v>
      </c>
      <c r="G8" s="21" t="s">
        <v>571</v>
      </c>
      <c r="H8" s="21"/>
    </row>
    <row r="9" spans="1:8" ht="30" customHeight="1" x14ac:dyDescent="0.25">
      <c r="A9" s="14" t="s">
        <v>564</v>
      </c>
      <c r="B9" s="14" t="s">
        <v>565</v>
      </c>
      <c r="C9" s="15" t="s">
        <v>572</v>
      </c>
      <c r="D9" s="16" t="s">
        <v>573</v>
      </c>
      <c r="E9" s="22">
        <v>1</v>
      </c>
      <c r="F9" s="18" t="s">
        <v>26</v>
      </c>
      <c r="G9" s="16"/>
      <c r="H9" s="16"/>
    </row>
    <row r="10" spans="1:8" ht="105" customHeight="1" x14ac:dyDescent="0.25">
      <c r="A10" s="19" t="s">
        <v>564</v>
      </c>
      <c r="B10" s="19" t="s">
        <v>565</v>
      </c>
      <c r="C10" s="20" t="s">
        <v>574</v>
      </c>
      <c r="D10" s="21" t="s">
        <v>575</v>
      </c>
      <c r="E10" s="22">
        <v>1</v>
      </c>
      <c r="F10" s="18" t="s">
        <v>12</v>
      </c>
      <c r="G10" s="21" t="s">
        <v>576</v>
      </c>
      <c r="H10" s="21"/>
    </row>
    <row r="11" spans="1:8" ht="18" customHeight="1" x14ac:dyDescent="0.25">
      <c r="A11" s="13" t="s">
        <v>577</v>
      </c>
      <c r="B11" s="13" t="s">
        <v>578</v>
      </c>
      <c r="C11" s="13"/>
      <c r="D11" s="13"/>
      <c r="E11" s="13"/>
      <c r="F11" s="13"/>
      <c r="G11" s="13"/>
      <c r="H11" s="13"/>
    </row>
    <row r="12" spans="1:8" ht="30" customHeight="1" x14ac:dyDescent="0.25">
      <c r="A12" s="14" t="s">
        <v>577</v>
      </c>
      <c r="B12" s="14" t="s">
        <v>578</v>
      </c>
      <c r="C12" s="15" t="s">
        <v>579</v>
      </c>
      <c r="D12" s="16" t="s">
        <v>580</v>
      </c>
      <c r="E12" s="17">
        <v>2</v>
      </c>
      <c r="F12" s="18" t="s">
        <v>115</v>
      </c>
      <c r="G12" s="16"/>
      <c r="H12" s="16"/>
    </row>
    <row r="13" spans="1:8" ht="30" customHeight="1" x14ac:dyDescent="0.25">
      <c r="A13" s="19" t="s">
        <v>577</v>
      </c>
      <c r="B13" s="19" t="s">
        <v>578</v>
      </c>
      <c r="C13" s="20" t="s">
        <v>581</v>
      </c>
      <c r="D13" s="21" t="s">
        <v>582</v>
      </c>
      <c r="E13" s="17">
        <v>2</v>
      </c>
      <c r="F13" s="18" t="s">
        <v>115</v>
      </c>
      <c r="G13" s="21"/>
      <c r="H13" s="21"/>
    </row>
    <row r="14" spans="1:8" ht="18" customHeight="1" x14ac:dyDescent="0.25">
      <c r="A14" s="13" t="s">
        <v>583</v>
      </c>
      <c r="B14" s="13" t="s">
        <v>584</v>
      </c>
      <c r="C14" s="13"/>
      <c r="D14" s="13"/>
      <c r="E14" s="13"/>
      <c r="F14" s="13"/>
      <c r="G14" s="13"/>
      <c r="H14" s="13"/>
    </row>
    <row r="15" spans="1:8" ht="120" customHeight="1" x14ac:dyDescent="0.25">
      <c r="A15" s="14" t="s">
        <v>583</v>
      </c>
      <c r="B15" s="14" t="s">
        <v>584</v>
      </c>
      <c r="C15" s="15" t="s">
        <v>585</v>
      </c>
      <c r="D15" s="16" t="s">
        <v>586</v>
      </c>
      <c r="E15" s="22">
        <v>1</v>
      </c>
      <c r="F15" s="18" t="s">
        <v>12</v>
      </c>
      <c r="G15" s="16" t="s">
        <v>587</v>
      </c>
      <c r="H15" s="16"/>
    </row>
    <row r="16" spans="1:8" ht="30" customHeight="1" x14ac:dyDescent="0.25">
      <c r="A16" s="19" t="s">
        <v>583</v>
      </c>
      <c r="B16" s="19" t="s">
        <v>584</v>
      </c>
      <c r="C16" s="20" t="s">
        <v>588</v>
      </c>
      <c r="D16" s="21" t="s">
        <v>589</v>
      </c>
      <c r="E16" s="22">
        <v>1</v>
      </c>
      <c r="F16" s="18" t="s">
        <v>115</v>
      </c>
      <c r="G16" s="21"/>
      <c r="H16" s="21"/>
    </row>
    <row r="17" spans="1:8" ht="30" customHeight="1" x14ac:dyDescent="0.25">
      <c r="A17" s="14" t="s">
        <v>583</v>
      </c>
      <c r="B17" s="14" t="s">
        <v>584</v>
      </c>
      <c r="C17" s="15" t="s">
        <v>590</v>
      </c>
      <c r="D17" s="16" t="s">
        <v>591</v>
      </c>
      <c r="E17" s="17">
        <v>2</v>
      </c>
      <c r="F17" s="18" t="s">
        <v>115</v>
      </c>
      <c r="G17" s="16"/>
      <c r="H17" s="16"/>
    </row>
    <row r="18" spans="1:8" ht="30" customHeight="1" x14ac:dyDescent="0.25">
      <c r="A18" s="19" t="s">
        <v>583</v>
      </c>
      <c r="B18" s="19" t="s">
        <v>584</v>
      </c>
      <c r="C18" s="20" t="s">
        <v>592</v>
      </c>
      <c r="D18" s="21" t="s">
        <v>593</v>
      </c>
      <c r="E18" s="17">
        <v>2</v>
      </c>
      <c r="F18" s="18" t="s">
        <v>26</v>
      </c>
      <c r="G18" s="21"/>
      <c r="H18" s="21"/>
    </row>
    <row r="19" spans="1:8" ht="30" customHeight="1" x14ac:dyDescent="0.25">
      <c r="A19" s="14" t="s">
        <v>583</v>
      </c>
      <c r="B19" s="14" t="s">
        <v>584</v>
      </c>
      <c r="C19" s="15" t="s">
        <v>594</v>
      </c>
      <c r="D19" s="16" t="s">
        <v>595</v>
      </c>
      <c r="E19" s="17">
        <v>2</v>
      </c>
      <c r="F19" s="18" t="s">
        <v>115</v>
      </c>
      <c r="G19" s="16"/>
      <c r="H19" s="16"/>
    </row>
    <row r="20" spans="1:8" ht="18" customHeight="1" x14ac:dyDescent="0.25">
      <c r="A20" s="13" t="s">
        <v>596</v>
      </c>
      <c r="B20" s="13" t="s">
        <v>597</v>
      </c>
      <c r="C20" s="13"/>
      <c r="D20" s="13"/>
      <c r="E20" s="13"/>
      <c r="F20" s="13"/>
      <c r="G20" s="13"/>
      <c r="H20" s="13"/>
    </row>
    <row r="21" spans="1:8" ht="30" customHeight="1" x14ac:dyDescent="0.25">
      <c r="A21" s="14" t="s">
        <v>596</v>
      </c>
      <c r="B21" s="14" t="s">
        <v>597</v>
      </c>
      <c r="C21" s="15" t="s">
        <v>598</v>
      </c>
      <c r="D21" s="16" t="s">
        <v>599</v>
      </c>
      <c r="E21" s="17">
        <v>2</v>
      </c>
      <c r="F21" s="18" t="s">
        <v>115</v>
      </c>
      <c r="G21" s="16"/>
      <c r="H21" s="16"/>
    </row>
    <row r="22" spans="1:8" ht="30" customHeight="1" x14ac:dyDescent="0.25">
      <c r="A22" s="19" t="s">
        <v>596</v>
      </c>
      <c r="B22" s="19" t="s">
        <v>597</v>
      </c>
      <c r="C22" s="20" t="s">
        <v>600</v>
      </c>
      <c r="D22" s="21" t="s">
        <v>601</v>
      </c>
      <c r="E22" s="17">
        <v>2</v>
      </c>
      <c r="F22" s="18" t="s">
        <v>115</v>
      </c>
      <c r="G22" s="21"/>
      <c r="H22" s="21"/>
    </row>
    <row r="23" spans="1:8" ht="30" customHeight="1" x14ac:dyDescent="0.25">
      <c r="A23" s="14" t="s">
        <v>596</v>
      </c>
      <c r="B23" s="14" t="s">
        <v>597</v>
      </c>
      <c r="C23" s="15" t="s">
        <v>602</v>
      </c>
      <c r="D23" s="16" t="s">
        <v>603</v>
      </c>
      <c r="E23" s="23">
        <v>3</v>
      </c>
      <c r="F23" s="18" t="s">
        <v>26</v>
      </c>
      <c r="G23" s="16"/>
      <c r="H23" s="16"/>
    </row>
    <row r="24" spans="1:8" ht="18" customHeight="1" x14ac:dyDescent="0.25">
      <c r="A24" s="13" t="s">
        <v>604</v>
      </c>
      <c r="B24" s="13" t="s">
        <v>605</v>
      </c>
      <c r="C24" s="13"/>
      <c r="D24" s="13"/>
      <c r="E24" s="13"/>
      <c r="F24" s="13"/>
      <c r="G24" s="13"/>
      <c r="H24" s="13"/>
    </row>
    <row r="25" spans="1:8" ht="30" customHeight="1" x14ac:dyDescent="0.25">
      <c r="A25" s="14" t="s">
        <v>604</v>
      </c>
      <c r="B25" s="14" t="s">
        <v>605</v>
      </c>
      <c r="C25" s="15" t="s">
        <v>606</v>
      </c>
      <c r="D25" s="16" t="s">
        <v>607</v>
      </c>
      <c r="E25" s="17">
        <v>2</v>
      </c>
      <c r="F25" s="18" t="s">
        <v>115</v>
      </c>
      <c r="G25" s="16"/>
      <c r="H25" s="16"/>
    </row>
    <row r="26" spans="1:8" ht="105" customHeight="1" x14ac:dyDescent="0.25">
      <c r="A26" s="19" t="s">
        <v>604</v>
      </c>
      <c r="B26" s="19" t="s">
        <v>605</v>
      </c>
      <c r="C26" s="20" t="s">
        <v>608</v>
      </c>
      <c r="D26" s="21" t="s">
        <v>609</v>
      </c>
      <c r="E26" s="17">
        <v>2</v>
      </c>
      <c r="F26" s="18" t="s">
        <v>12</v>
      </c>
      <c r="G26" s="21" t="s">
        <v>610</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611</v>
      </c>
      <c r="B2" s="13" t="s">
        <v>612</v>
      </c>
      <c r="C2" s="13"/>
      <c r="D2" s="13"/>
      <c r="E2" s="13"/>
      <c r="F2" s="13"/>
      <c r="G2" s="13"/>
      <c r="H2" s="13"/>
    </row>
    <row r="3" spans="1:8" ht="30" customHeight="1" x14ac:dyDescent="0.25">
      <c r="A3" s="14" t="s">
        <v>611</v>
      </c>
      <c r="B3" s="14" t="s">
        <v>612</v>
      </c>
      <c r="C3" s="15" t="s">
        <v>613</v>
      </c>
      <c r="D3" s="16" t="s">
        <v>614</v>
      </c>
      <c r="E3" s="22">
        <v>1</v>
      </c>
      <c r="F3" s="18" t="s">
        <v>17</v>
      </c>
      <c r="G3" s="16" t="s">
        <v>615</v>
      </c>
      <c r="H3" s="16" t="s">
        <v>616</v>
      </c>
    </row>
    <row r="4" spans="1:8" ht="30" customHeight="1" x14ac:dyDescent="0.25">
      <c r="A4" s="19" t="s">
        <v>611</v>
      </c>
      <c r="B4" s="19" t="s">
        <v>612</v>
      </c>
      <c r="C4" s="20" t="s">
        <v>617</v>
      </c>
      <c r="D4" s="21" t="s">
        <v>618</v>
      </c>
      <c r="E4" s="17">
        <v>2</v>
      </c>
      <c r="F4" s="18" t="s">
        <v>17</v>
      </c>
      <c r="G4" s="21" t="s">
        <v>619</v>
      </c>
      <c r="H4" s="21" t="s">
        <v>620</v>
      </c>
    </row>
    <row r="5" spans="1:8" ht="30" customHeight="1" x14ac:dyDescent="0.25">
      <c r="A5" s="14" t="s">
        <v>611</v>
      </c>
      <c r="B5" s="14" t="s">
        <v>612</v>
      </c>
      <c r="C5" s="15" t="s">
        <v>621</v>
      </c>
      <c r="D5" s="16" t="s">
        <v>622</v>
      </c>
      <c r="E5" s="23">
        <v>3</v>
      </c>
      <c r="F5" s="18" t="s">
        <v>26</v>
      </c>
      <c r="G5" s="16" t="s">
        <v>623</v>
      </c>
      <c r="H5" s="16"/>
    </row>
    <row r="6" spans="1:8" ht="90" customHeight="1" x14ac:dyDescent="0.25">
      <c r="A6" s="19" t="s">
        <v>611</v>
      </c>
      <c r="B6" s="19" t="s">
        <v>612</v>
      </c>
      <c r="C6" s="20" t="s">
        <v>624</v>
      </c>
      <c r="D6" s="21" t="s">
        <v>625</v>
      </c>
      <c r="E6" s="23">
        <v>3</v>
      </c>
      <c r="F6" s="18" t="s">
        <v>26</v>
      </c>
      <c r="G6" s="21" t="s">
        <v>626</v>
      </c>
      <c r="H6" s="21"/>
    </row>
    <row r="7" spans="1:8" ht="18" customHeight="1" x14ac:dyDescent="0.25">
      <c r="A7" s="13" t="s">
        <v>627</v>
      </c>
      <c r="B7" s="13" t="s">
        <v>628</v>
      </c>
      <c r="C7" s="13"/>
      <c r="D7" s="13"/>
      <c r="E7" s="13"/>
      <c r="F7" s="13"/>
      <c r="G7" s="13"/>
      <c r="H7" s="13"/>
    </row>
    <row r="8" spans="1:8" ht="30" customHeight="1" x14ac:dyDescent="0.25">
      <c r="A8" s="14" t="s">
        <v>627</v>
      </c>
      <c r="B8" s="14" t="s">
        <v>628</v>
      </c>
      <c r="C8" s="15" t="s">
        <v>629</v>
      </c>
      <c r="D8" s="16" t="s">
        <v>630</v>
      </c>
      <c r="E8" s="22">
        <v>1</v>
      </c>
      <c r="F8" s="18" t="s">
        <v>12</v>
      </c>
      <c r="G8" s="16" t="s">
        <v>631</v>
      </c>
      <c r="H8" s="16" t="s">
        <v>632</v>
      </c>
    </row>
    <row r="9" spans="1:8" ht="30" customHeight="1" x14ac:dyDescent="0.25">
      <c r="A9" s="19" t="s">
        <v>627</v>
      </c>
      <c r="B9" s="19" t="s">
        <v>628</v>
      </c>
      <c r="C9" s="20" t="s">
        <v>633</v>
      </c>
      <c r="D9" s="21" t="s">
        <v>634</v>
      </c>
      <c r="E9" s="22">
        <v>1</v>
      </c>
      <c r="F9" s="18" t="s">
        <v>12</v>
      </c>
      <c r="G9" s="21" t="s">
        <v>635</v>
      </c>
      <c r="H9" s="21" t="s">
        <v>636</v>
      </c>
    </row>
    <row r="10" spans="1:8" ht="30" customHeight="1" x14ac:dyDescent="0.25">
      <c r="A10" s="14" t="s">
        <v>627</v>
      </c>
      <c r="B10" s="14" t="s">
        <v>628</v>
      </c>
      <c r="C10" s="15" t="s">
        <v>637</v>
      </c>
      <c r="D10" s="16" t="s">
        <v>638</v>
      </c>
      <c r="E10" s="17">
        <v>2</v>
      </c>
      <c r="F10" s="18" t="s">
        <v>12</v>
      </c>
      <c r="G10" s="16" t="s">
        <v>639</v>
      </c>
      <c r="H10" s="16" t="s">
        <v>640</v>
      </c>
    </row>
    <row r="11" spans="1:8" ht="105" customHeight="1" x14ac:dyDescent="0.25">
      <c r="A11" s="19" t="s">
        <v>627</v>
      </c>
      <c r="B11" s="19" t="s">
        <v>628</v>
      </c>
      <c r="C11" s="20" t="s">
        <v>641</v>
      </c>
      <c r="D11" s="21" t="s">
        <v>642</v>
      </c>
      <c r="E11" s="23">
        <v>3</v>
      </c>
      <c r="F11" s="18" t="s">
        <v>26</v>
      </c>
      <c r="G11" s="21" t="s">
        <v>643</v>
      </c>
      <c r="H11" s="21"/>
    </row>
    <row r="12" spans="1:8" ht="18" customHeight="1" x14ac:dyDescent="0.25">
      <c r="A12" s="13" t="s">
        <v>644</v>
      </c>
      <c r="B12" s="13" t="s">
        <v>645</v>
      </c>
      <c r="C12" s="13"/>
      <c r="D12" s="13"/>
      <c r="E12" s="13"/>
      <c r="F12" s="13"/>
      <c r="G12" s="13"/>
      <c r="H12" s="13"/>
    </row>
    <row r="13" spans="1:8" ht="60" customHeight="1" x14ac:dyDescent="0.25">
      <c r="A13" s="14" t="s">
        <v>644</v>
      </c>
      <c r="B13" s="14" t="s">
        <v>645</v>
      </c>
      <c r="C13" s="15" t="s">
        <v>646</v>
      </c>
      <c r="D13" s="16" t="s">
        <v>647</v>
      </c>
      <c r="E13" s="22">
        <v>1</v>
      </c>
      <c r="F13" s="18" t="s">
        <v>12</v>
      </c>
      <c r="G13" s="16" t="s">
        <v>648</v>
      </c>
      <c r="H13" s="16"/>
    </row>
    <row r="14" spans="1:8" ht="30" customHeight="1" x14ac:dyDescent="0.25">
      <c r="A14" s="19" t="s">
        <v>644</v>
      </c>
      <c r="B14" s="19" t="s">
        <v>645</v>
      </c>
      <c r="C14" s="20" t="s">
        <v>649</v>
      </c>
      <c r="D14" s="21" t="s">
        <v>650</v>
      </c>
      <c r="E14" s="23">
        <v>3</v>
      </c>
      <c r="F14" s="18" t="s">
        <v>26</v>
      </c>
      <c r="G14" s="21"/>
      <c r="H14" s="21"/>
    </row>
    <row r="15" spans="1:8" ht="30" customHeight="1" x14ac:dyDescent="0.25">
      <c r="A15" s="14" t="s">
        <v>644</v>
      </c>
      <c r="B15" s="14" t="s">
        <v>645</v>
      </c>
      <c r="C15" s="15" t="s">
        <v>651</v>
      </c>
      <c r="D15" s="16" t="s">
        <v>652</v>
      </c>
      <c r="E15" s="23">
        <v>3</v>
      </c>
      <c r="F15" s="18" t="s">
        <v>26</v>
      </c>
      <c r="G15" s="16" t="s">
        <v>653</v>
      </c>
      <c r="H15" s="16"/>
    </row>
    <row r="16" spans="1:8" ht="18" customHeight="1" x14ac:dyDescent="0.25">
      <c r="A16" s="13" t="s">
        <v>654</v>
      </c>
      <c r="B16" s="13" t="s">
        <v>655</v>
      </c>
      <c r="C16" s="13"/>
      <c r="D16" s="13"/>
      <c r="E16" s="13"/>
      <c r="F16" s="13"/>
      <c r="G16" s="13"/>
      <c r="H16" s="13"/>
    </row>
    <row r="17" spans="1:8" ht="30" customHeight="1" x14ac:dyDescent="0.25">
      <c r="A17" s="14" t="s">
        <v>654</v>
      </c>
      <c r="B17" s="14" t="s">
        <v>655</v>
      </c>
      <c r="C17" s="15" t="s">
        <v>656</v>
      </c>
      <c r="D17" s="16" t="s">
        <v>657</v>
      </c>
      <c r="E17" s="17">
        <v>2</v>
      </c>
      <c r="F17" s="18" t="s">
        <v>26</v>
      </c>
      <c r="G17" s="16" t="s">
        <v>658</v>
      </c>
      <c r="H17" s="16"/>
    </row>
    <row r="18" spans="1:8" ht="30" customHeight="1" x14ac:dyDescent="0.25">
      <c r="A18" s="19" t="s">
        <v>654</v>
      </c>
      <c r="B18" s="19" t="s">
        <v>655</v>
      </c>
      <c r="C18" s="20" t="s">
        <v>659</v>
      </c>
      <c r="D18" s="21" t="s">
        <v>660</v>
      </c>
      <c r="E18" s="23">
        <v>3</v>
      </c>
      <c r="F18" s="18" t="s">
        <v>26</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661</v>
      </c>
      <c r="B2" s="13" t="s">
        <v>662</v>
      </c>
      <c r="C2" s="13"/>
      <c r="D2" s="13"/>
      <c r="E2" s="13"/>
      <c r="F2" s="13"/>
      <c r="G2" s="13"/>
      <c r="H2" s="13"/>
    </row>
    <row r="3" spans="1:8" ht="90" customHeight="1" x14ac:dyDescent="0.25">
      <c r="A3" s="14" t="s">
        <v>661</v>
      </c>
      <c r="B3" s="14" t="s">
        <v>662</v>
      </c>
      <c r="C3" s="15" t="s">
        <v>663</v>
      </c>
      <c r="D3" s="16" t="s">
        <v>664</v>
      </c>
      <c r="E3" s="22">
        <v>1</v>
      </c>
      <c r="F3" s="18" t="s">
        <v>12</v>
      </c>
      <c r="G3" s="16" t="s">
        <v>665</v>
      </c>
      <c r="H3" s="16" t="s">
        <v>666</v>
      </c>
    </row>
    <row r="4" spans="1:8" ht="105" customHeight="1" x14ac:dyDescent="0.25">
      <c r="A4" s="19" t="s">
        <v>661</v>
      </c>
      <c r="B4" s="19" t="s">
        <v>662</v>
      </c>
      <c r="C4" s="20" t="s">
        <v>667</v>
      </c>
      <c r="D4" s="21" t="s">
        <v>668</v>
      </c>
      <c r="E4" s="22">
        <v>1</v>
      </c>
      <c r="F4" s="18" t="s">
        <v>12</v>
      </c>
      <c r="G4" s="21" t="s">
        <v>669</v>
      </c>
      <c r="H4" s="21" t="s">
        <v>670</v>
      </c>
    </row>
    <row r="5" spans="1:8" ht="105" customHeight="1" x14ac:dyDescent="0.25">
      <c r="A5" s="14" t="s">
        <v>661</v>
      </c>
      <c r="B5" s="14" t="s">
        <v>662</v>
      </c>
      <c r="C5" s="15" t="s">
        <v>671</v>
      </c>
      <c r="D5" s="16" t="s">
        <v>672</v>
      </c>
      <c r="E5" s="22">
        <v>1</v>
      </c>
      <c r="F5" s="18" t="s">
        <v>12</v>
      </c>
      <c r="G5" s="16" t="s">
        <v>673</v>
      </c>
      <c r="H5" s="16" t="s">
        <v>674</v>
      </c>
    </row>
    <row r="6" spans="1:8" ht="18" customHeight="1" x14ac:dyDescent="0.25">
      <c r="A6" s="13" t="s">
        <v>675</v>
      </c>
      <c r="B6" s="13" t="s">
        <v>676</v>
      </c>
      <c r="C6" s="13"/>
      <c r="D6" s="13"/>
      <c r="E6" s="13"/>
      <c r="F6" s="13"/>
      <c r="G6" s="13"/>
      <c r="H6" s="13"/>
    </row>
    <row r="7" spans="1:8" ht="75" customHeight="1" x14ac:dyDescent="0.25">
      <c r="A7" s="14" t="s">
        <v>675</v>
      </c>
      <c r="B7" s="14" t="s">
        <v>676</v>
      </c>
      <c r="C7" s="15" t="s">
        <v>677</v>
      </c>
      <c r="D7" s="16" t="s">
        <v>678</v>
      </c>
      <c r="E7" s="22">
        <v>1</v>
      </c>
      <c r="F7" s="18" t="s">
        <v>12</v>
      </c>
      <c r="G7" s="16" t="s">
        <v>679</v>
      </c>
      <c r="H7" s="16" t="s">
        <v>680</v>
      </c>
    </row>
    <row r="8" spans="1:8" ht="75" customHeight="1" x14ac:dyDescent="0.25">
      <c r="A8" s="19" t="s">
        <v>675</v>
      </c>
      <c r="B8" s="19" t="s">
        <v>676</v>
      </c>
      <c r="C8" s="20" t="s">
        <v>681</v>
      </c>
      <c r="D8" s="21" t="s">
        <v>682</v>
      </c>
      <c r="E8" s="17">
        <v>2</v>
      </c>
      <c r="F8" s="18" t="s">
        <v>17</v>
      </c>
      <c r="G8" s="21" t="s">
        <v>683</v>
      </c>
      <c r="H8" s="21" t="s">
        <v>684</v>
      </c>
    </row>
    <row r="9" spans="1:8" ht="75" customHeight="1" x14ac:dyDescent="0.25">
      <c r="A9" s="14" t="s">
        <v>675</v>
      </c>
      <c r="B9" s="14" t="s">
        <v>676</v>
      </c>
      <c r="C9" s="15" t="s">
        <v>685</v>
      </c>
      <c r="D9" s="16" t="s">
        <v>686</v>
      </c>
      <c r="E9" s="17">
        <v>2</v>
      </c>
      <c r="F9" s="18" t="s">
        <v>17</v>
      </c>
      <c r="G9" s="16" t="s">
        <v>687</v>
      </c>
      <c r="H9" s="16" t="s">
        <v>688</v>
      </c>
    </row>
    <row r="10" spans="1:8" ht="120" customHeight="1" x14ac:dyDescent="0.25">
      <c r="A10" s="19" t="s">
        <v>675</v>
      </c>
      <c r="B10" s="19" t="s">
        <v>676</v>
      </c>
      <c r="C10" s="20" t="s">
        <v>689</v>
      </c>
      <c r="D10" s="21" t="s">
        <v>690</v>
      </c>
      <c r="E10" s="17">
        <v>2</v>
      </c>
      <c r="F10" s="18" t="s">
        <v>17</v>
      </c>
      <c r="G10" s="21" t="s">
        <v>691</v>
      </c>
      <c r="H10" s="21" t="s">
        <v>692</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tabSelected="1" zoomScaleNormal="100" workbookViewId="0">
      <pane ySplit="1" topLeftCell="A31"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693</v>
      </c>
      <c r="B2" s="13" t="s">
        <v>694</v>
      </c>
      <c r="C2" s="13"/>
      <c r="D2" s="13"/>
      <c r="E2" s="13"/>
      <c r="F2" s="13"/>
      <c r="G2" s="13"/>
      <c r="H2" s="13"/>
    </row>
    <row r="3" spans="1:8" ht="75" customHeight="1" x14ac:dyDescent="0.25">
      <c r="A3" s="14" t="s">
        <v>693</v>
      </c>
      <c r="B3" s="14" t="s">
        <v>694</v>
      </c>
      <c r="C3" s="15" t="s">
        <v>695</v>
      </c>
      <c r="D3" s="16" t="s">
        <v>696</v>
      </c>
      <c r="E3" s="17">
        <v>2</v>
      </c>
      <c r="F3" s="18" t="s">
        <v>12</v>
      </c>
      <c r="G3" s="16" t="s">
        <v>697</v>
      </c>
      <c r="H3" s="16" t="s">
        <v>698</v>
      </c>
    </row>
    <row r="4" spans="1:8" ht="135" customHeight="1" x14ac:dyDescent="0.25">
      <c r="A4" s="19" t="s">
        <v>693</v>
      </c>
      <c r="B4" s="19" t="s">
        <v>694</v>
      </c>
      <c r="C4" s="20" t="s">
        <v>699</v>
      </c>
      <c r="D4" s="21" t="s">
        <v>700</v>
      </c>
      <c r="E4" s="17">
        <v>2</v>
      </c>
      <c r="F4" s="18" t="s">
        <v>12</v>
      </c>
      <c r="G4" s="21" t="s">
        <v>701</v>
      </c>
      <c r="H4" s="21" t="s">
        <v>702</v>
      </c>
    </row>
    <row r="5" spans="1:8" ht="18" customHeight="1" x14ac:dyDescent="0.25">
      <c r="A5" s="13" t="s">
        <v>703</v>
      </c>
      <c r="B5" s="13" t="s">
        <v>704</v>
      </c>
      <c r="C5" s="13"/>
      <c r="D5" s="13"/>
      <c r="E5" s="13"/>
      <c r="F5" s="13"/>
      <c r="G5" s="13"/>
      <c r="H5" s="13"/>
    </row>
    <row r="6" spans="1:8" ht="105" customHeight="1" x14ac:dyDescent="0.25">
      <c r="A6" s="14" t="s">
        <v>703</v>
      </c>
      <c r="B6" s="14" t="s">
        <v>704</v>
      </c>
      <c r="C6" s="15" t="s">
        <v>705</v>
      </c>
      <c r="D6" s="16" t="s">
        <v>706</v>
      </c>
      <c r="E6" s="17">
        <v>2</v>
      </c>
      <c r="F6" s="18" t="s">
        <v>26</v>
      </c>
      <c r="G6" s="16" t="s">
        <v>707</v>
      </c>
      <c r="H6" s="16"/>
    </row>
    <row r="7" spans="1:8" ht="75" customHeight="1" x14ac:dyDescent="0.25">
      <c r="A7" s="19" t="s">
        <v>703</v>
      </c>
      <c r="B7" s="19" t="s">
        <v>704</v>
      </c>
      <c r="C7" s="20" t="s">
        <v>708</v>
      </c>
      <c r="D7" s="21" t="s">
        <v>709</v>
      </c>
      <c r="E7" s="17">
        <v>2</v>
      </c>
      <c r="F7" s="18" t="s">
        <v>26</v>
      </c>
      <c r="G7" s="21" t="s">
        <v>710</v>
      </c>
      <c r="H7" s="21"/>
    </row>
    <row r="8" spans="1:8" ht="45" customHeight="1" x14ac:dyDescent="0.25">
      <c r="A8" s="14" t="s">
        <v>703</v>
      </c>
      <c r="B8" s="14" t="s">
        <v>704</v>
      </c>
      <c r="C8" s="15" t="s">
        <v>711</v>
      </c>
      <c r="D8" s="16" t="s">
        <v>712</v>
      </c>
      <c r="E8" s="23">
        <v>3</v>
      </c>
      <c r="F8" s="18" t="s">
        <v>26</v>
      </c>
      <c r="G8" s="16"/>
      <c r="H8" s="16"/>
    </row>
    <row r="9" spans="1:8" ht="18" customHeight="1" x14ac:dyDescent="0.25">
      <c r="A9" s="13" t="s">
        <v>713</v>
      </c>
      <c r="B9" s="13" t="s">
        <v>714</v>
      </c>
      <c r="C9" s="13"/>
      <c r="D9" s="13"/>
      <c r="E9" s="13"/>
      <c r="F9" s="13"/>
      <c r="G9" s="13"/>
      <c r="H9" s="13"/>
    </row>
    <row r="10" spans="1:8" ht="90" customHeight="1" x14ac:dyDescent="0.25">
      <c r="A10" s="14" t="s">
        <v>713</v>
      </c>
      <c r="B10" s="14" t="s">
        <v>714</v>
      </c>
      <c r="C10" s="15" t="s">
        <v>715</v>
      </c>
      <c r="D10" s="16" t="s">
        <v>716</v>
      </c>
      <c r="E10" s="17">
        <v>2</v>
      </c>
      <c r="F10" s="18" t="s">
        <v>12</v>
      </c>
      <c r="G10" s="16" t="s">
        <v>717</v>
      </c>
      <c r="H10" s="16" t="s">
        <v>718</v>
      </c>
    </row>
    <row r="11" spans="1:8" ht="106.5" customHeight="1" x14ac:dyDescent="0.25">
      <c r="A11" s="19" t="s">
        <v>713</v>
      </c>
      <c r="B11" s="19" t="s">
        <v>714</v>
      </c>
      <c r="C11" s="20" t="s">
        <v>719</v>
      </c>
      <c r="D11" s="21" t="s">
        <v>720</v>
      </c>
      <c r="E11" s="17">
        <v>2</v>
      </c>
      <c r="F11" s="18" t="s">
        <v>12</v>
      </c>
      <c r="G11" s="21" t="s">
        <v>721</v>
      </c>
      <c r="H11" s="21" t="s">
        <v>722</v>
      </c>
    </row>
    <row r="12" spans="1:8" ht="87" customHeight="1" x14ac:dyDescent="0.25">
      <c r="A12" s="14" t="s">
        <v>713</v>
      </c>
      <c r="B12" s="14" t="s">
        <v>714</v>
      </c>
      <c r="C12" s="15" t="s">
        <v>723</v>
      </c>
      <c r="D12" s="16" t="s">
        <v>724</v>
      </c>
      <c r="E12" s="17">
        <v>2</v>
      </c>
      <c r="F12" s="18" t="s">
        <v>12</v>
      </c>
      <c r="G12" s="16" t="s">
        <v>725</v>
      </c>
      <c r="H12" s="16" t="s">
        <v>726</v>
      </c>
    </row>
    <row r="13" spans="1:8" ht="73.150000000000006" customHeight="1" x14ac:dyDescent="0.25">
      <c r="A13" s="19" t="s">
        <v>713</v>
      </c>
      <c r="B13" s="19" t="s">
        <v>714</v>
      </c>
      <c r="C13" s="20" t="s">
        <v>727</v>
      </c>
      <c r="D13" s="21" t="s">
        <v>728</v>
      </c>
      <c r="E13" s="17">
        <v>2</v>
      </c>
      <c r="F13" s="18" t="s">
        <v>26</v>
      </c>
      <c r="G13" s="21" t="s">
        <v>729</v>
      </c>
      <c r="H13" s="21"/>
    </row>
    <row r="14" spans="1:8" ht="100.5" customHeight="1" x14ac:dyDescent="0.25">
      <c r="A14" s="14" t="s">
        <v>713</v>
      </c>
      <c r="B14" s="14" t="s">
        <v>714</v>
      </c>
      <c r="C14" s="15" t="s">
        <v>730</v>
      </c>
      <c r="D14" s="16" t="s">
        <v>731</v>
      </c>
      <c r="E14" s="23">
        <v>3</v>
      </c>
      <c r="F14" s="18" t="s">
        <v>26</v>
      </c>
      <c r="G14" s="16" t="s">
        <v>732</v>
      </c>
      <c r="H14" s="16"/>
    </row>
    <row r="15" spans="1:8" ht="18" customHeight="1" x14ac:dyDescent="0.25">
      <c r="A15" s="13" t="s">
        <v>733</v>
      </c>
      <c r="B15" s="13" t="s">
        <v>734</v>
      </c>
      <c r="C15" s="13"/>
      <c r="D15" s="13"/>
      <c r="E15" s="13"/>
      <c r="F15" s="13"/>
      <c r="G15" s="13"/>
      <c r="H15" s="13"/>
    </row>
    <row r="16" spans="1:8" ht="60" customHeight="1" x14ac:dyDescent="0.25">
      <c r="A16" s="14" t="s">
        <v>733</v>
      </c>
      <c r="B16" s="14" t="s">
        <v>734</v>
      </c>
      <c r="C16" s="15" t="s">
        <v>735</v>
      </c>
      <c r="D16" s="16" t="s">
        <v>736</v>
      </c>
      <c r="E16" s="22">
        <v>1</v>
      </c>
      <c r="F16" s="18" t="s">
        <v>12</v>
      </c>
      <c r="G16" s="16" t="s">
        <v>737</v>
      </c>
      <c r="H16" s="16" t="s">
        <v>738</v>
      </c>
    </row>
    <row r="17" spans="1:8" ht="90" customHeight="1" x14ac:dyDescent="0.25">
      <c r="A17" s="19" t="s">
        <v>733</v>
      </c>
      <c r="B17" s="19" t="s">
        <v>734</v>
      </c>
      <c r="C17" s="20" t="s">
        <v>739</v>
      </c>
      <c r="D17" s="21" t="s">
        <v>740</v>
      </c>
      <c r="E17" s="22">
        <v>1</v>
      </c>
      <c r="F17" s="18" t="s">
        <v>12</v>
      </c>
      <c r="G17" s="21" t="s">
        <v>741</v>
      </c>
      <c r="H17" s="21" t="s">
        <v>742</v>
      </c>
    </row>
    <row r="18" spans="1:8" ht="45" customHeight="1" x14ac:dyDescent="0.25">
      <c r="A18" s="14" t="s">
        <v>733</v>
      </c>
      <c r="B18" s="14" t="s">
        <v>734</v>
      </c>
      <c r="C18" s="15" t="s">
        <v>743</v>
      </c>
      <c r="D18" s="16" t="s">
        <v>744</v>
      </c>
      <c r="E18" s="22">
        <v>1</v>
      </c>
      <c r="F18" s="18" t="s">
        <v>12</v>
      </c>
      <c r="G18" s="16" t="s">
        <v>745</v>
      </c>
      <c r="H18" s="16" t="s">
        <v>746</v>
      </c>
    </row>
    <row r="19" spans="1:8" ht="105.75" customHeight="1" x14ac:dyDescent="0.25">
      <c r="A19" s="19" t="s">
        <v>733</v>
      </c>
      <c r="B19" s="19" t="s">
        <v>734</v>
      </c>
      <c r="C19" s="20" t="s">
        <v>747</v>
      </c>
      <c r="D19" s="21" t="s">
        <v>748</v>
      </c>
      <c r="E19" s="22">
        <v>1</v>
      </c>
      <c r="F19" s="18" t="s">
        <v>17</v>
      </c>
      <c r="G19" s="21" t="s">
        <v>749</v>
      </c>
      <c r="H19" s="21" t="s">
        <v>750</v>
      </c>
    </row>
    <row r="20" spans="1:8" ht="135" customHeight="1" x14ac:dyDescent="0.25">
      <c r="A20" s="14" t="s">
        <v>733</v>
      </c>
      <c r="B20" s="14" t="s">
        <v>734</v>
      </c>
      <c r="C20" s="15" t="s">
        <v>751</v>
      </c>
      <c r="D20" s="16" t="s">
        <v>752</v>
      </c>
      <c r="E20" s="22">
        <v>1</v>
      </c>
      <c r="F20" s="18" t="s">
        <v>12</v>
      </c>
      <c r="G20" s="16" t="s">
        <v>753</v>
      </c>
      <c r="H20" s="16" t="s">
        <v>754</v>
      </c>
    </row>
    <row r="21" spans="1:8" ht="105" customHeight="1" x14ac:dyDescent="0.25">
      <c r="A21" s="19" t="s">
        <v>733</v>
      </c>
      <c r="B21" s="19" t="s">
        <v>734</v>
      </c>
      <c r="C21" s="20" t="s">
        <v>755</v>
      </c>
      <c r="D21" s="21" t="s">
        <v>756</v>
      </c>
      <c r="E21" s="17">
        <v>2</v>
      </c>
      <c r="F21" s="18" t="s">
        <v>12</v>
      </c>
      <c r="G21" s="21" t="s">
        <v>757</v>
      </c>
      <c r="H21" s="21" t="s">
        <v>758</v>
      </c>
    </row>
    <row r="22" spans="1:8" ht="90" customHeight="1" x14ac:dyDescent="0.25">
      <c r="A22" s="14" t="s">
        <v>733</v>
      </c>
      <c r="B22" s="14" t="s">
        <v>734</v>
      </c>
      <c r="C22" s="15" t="s">
        <v>759</v>
      </c>
      <c r="D22" s="16" t="s">
        <v>760</v>
      </c>
      <c r="E22" s="17">
        <v>2</v>
      </c>
      <c r="F22" s="18" t="s">
        <v>26</v>
      </c>
      <c r="G22" s="16" t="s">
        <v>761</v>
      </c>
      <c r="H22" s="16"/>
    </row>
    <row r="23" spans="1:8" ht="73.900000000000006" customHeight="1" x14ac:dyDescent="0.25">
      <c r="A23" s="19" t="s">
        <v>733</v>
      </c>
      <c r="B23" s="19" t="s">
        <v>734</v>
      </c>
      <c r="C23" s="20" t="s">
        <v>762</v>
      </c>
      <c r="D23" s="21" t="s">
        <v>763</v>
      </c>
      <c r="E23" s="17">
        <v>2</v>
      </c>
      <c r="F23" s="18" t="s">
        <v>12</v>
      </c>
      <c r="G23" s="21" t="s">
        <v>764</v>
      </c>
      <c r="H23" s="21" t="s">
        <v>765</v>
      </c>
    </row>
    <row r="24" spans="1:8" ht="107.25" customHeight="1" x14ac:dyDescent="0.25">
      <c r="A24" s="14" t="s">
        <v>733</v>
      </c>
      <c r="B24" s="14" t="s">
        <v>734</v>
      </c>
      <c r="C24" s="15" t="s">
        <v>766</v>
      </c>
      <c r="D24" s="16" t="s">
        <v>767</v>
      </c>
      <c r="E24" s="17">
        <v>2</v>
      </c>
      <c r="F24" s="18" t="s">
        <v>12</v>
      </c>
      <c r="G24" s="16" t="s">
        <v>768</v>
      </c>
      <c r="H24" s="16" t="s">
        <v>769</v>
      </c>
    </row>
    <row r="25" spans="1:8" ht="90" customHeight="1" x14ac:dyDescent="0.25">
      <c r="A25" s="19" t="s">
        <v>733</v>
      </c>
      <c r="B25" s="19" t="s">
        <v>734</v>
      </c>
      <c r="C25" s="20" t="s">
        <v>770</v>
      </c>
      <c r="D25" s="21" t="s">
        <v>771</v>
      </c>
      <c r="E25" s="17">
        <v>2</v>
      </c>
      <c r="F25" s="18" t="s">
        <v>12</v>
      </c>
      <c r="G25" s="21" t="s">
        <v>772</v>
      </c>
      <c r="H25" s="21" t="s">
        <v>773</v>
      </c>
    </row>
    <row r="26" spans="1:8" ht="100.5" customHeight="1" x14ac:dyDescent="0.25">
      <c r="A26" s="14" t="s">
        <v>733</v>
      </c>
      <c r="B26" s="14" t="s">
        <v>734</v>
      </c>
      <c r="C26" s="15" t="s">
        <v>774</v>
      </c>
      <c r="D26" s="16" t="s">
        <v>775</v>
      </c>
      <c r="E26" s="17">
        <v>2</v>
      </c>
      <c r="F26" s="18" t="s">
        <v>12</v>
      </c>
      <c r="G26" s="16" t="s">
        <v>776</v>
      </c>
      <c r="H26" s="16" t="s">
        <v>777</v>
      </c>
    </row>
    <row r="27" spans="1:8" ht="75" customHeight="1" x14ac:dyDescent="0.25">
      <c r="A27" s="19" t="s">
        <v>733</v>
      </c>
      <c r="B27" s="19" t="s">
        <v>734</v>
      </c>
      <c r="C27" s="20" t="s">
        <v>778</v>
      </c>
      <c r="D27" s="21" t="s">
        <v>779</v>
      </c>
      <c r="E27" s="23">
        <v>3</v>
      </c>
      <c r="F27" s="18" t="s">
        <v>26</v>
      </c>
      <c r="G27" s="21" t="s">
        <v>780</v>
      </c>
      <c r="H27" s="21"/>
    </row>
    <row r="28" spans="1:8" ht="30" customHeight="1" x14ac:dyDescent="0.25">
      <c r="A28" s="14" t="s">
        <v>733</v>
      </c>
      <c r="B28" s="14" t="s">
        <v>734</v>
      </c>
      <c r="C28" s="15" t="s">
        <v>781</v>
      </c>
      <c r="D28" s="16" t="s">
        <v>782</v>
      </c>
      <c r="E28" s="23">
        <v>3</v>
      </c>
      <c r="F28" s="18" t="s">
        <v>26</v>
      </c>
      <c r="G28" s="16" t="s">
        <v>783</v>
      </c>
      <c r="H28" s="16"/>
    </row>
    <row r="29" spans="1:8" ht="60" customHeight="1" x14ac:dyDescent="0.25">
      <c r="A29" s="19" t="s">
        <v>733</v>
      </c>
      <c r="B29" s="19" t="s">
        <v>734</v>
      </c>
      <c r="C29" s="20" t="s">
        <v>784</v>
      </c>
      <c r="D29" s="21" t="s">
        <v>785</v>
      </c>
      <c r="E29" s="23">
        <v>3</v>
      </c>
      <c r="F29" s="18" t="s">
        <v>26</v>
      </c>
      <c r="G29" s="21" t="s">
        <v>786</v>
      </c>
      <c r="H29" s="21"/>
    </row>
    <row r="30" spans="1:8" ht="90" customHeight="1" x14ac:dyDescent="0.25">
      <c r="A30" s="14" t="s">
        <v>733</v>
      </c>
      <c r="B30" s="14" t="s">
        <v>734</v>
      </c>
      <c r="C30" s="15" t="s">
        <v>787</v>
      </c>
      <c r="D30" s="16" t="s">
        <v>788</v>
      </c>
      <c r="E30" s="23">
        <v>3</v>
      </c>
      <c r="F30" s="18" t="s">
        <v>26</v>
      </c>
      <c r="G30" s="16" t="s">
        <v>789</v>
      </c>
      <c r="H30" s="16"/>
    </row>
    <row r="31" spans="1:8" ht="75" customHeight="1" x14ac:dyDescent="0.25">
      <c r="A31" s="19" t="s">
        <v>733</v>
      </c>
      <c r="B31" s="19" t="s">
        <v>734</v>
      </c>
      <c r="C31" s="20" t="s">
        <v>790</v>
      </c>
      <c r="D31" s="21" t="s">
        <v>791</v>
      </c>
      <c r="E31" s="23">
        <v>3</v>
      </c>
      <c r="F31" s="18" t="s">
        <v>26</v>
      </c>
      <c r="G31" s="21" t="s">
        <v>792</v>
      </c>
      <c r="H31" s="21"/>
    </row>
    <row r="32" spans="1:8" ht="18" customHeight="1" x14ac:dyDescent="0.25">
      <c r="A32" s="13" t="s">
        <v>793</v>
      </c>
      <c r="B32" s="13" t="s">
        <v>794</v>
      </c>
      <c r="C32" s="13"/>
      <c r="D32" s="13"/>
      <c r="E32" s="13"/>
      <c r="F32" s="13"/>
      <c r="G32" s="13"/>
      <c r="H32" s="13"/>
    </row>
    <row r="33" spans="1:8" ht="90" customHeight="1" x14ac:dyDescent="0.25">
      <c r="A33" s="14" t="s">
        <v>793</v>
      </c>
      <c r="B33" s="14" t="s">
        <v>794</v>
      </c>
      <c r="C33" s="15" t="s">
        <v>795</v>
      </c>
      <c r="D33" s="16" t="s">
        <v>796</v>
      </c>
      <c r="E33" s="17">
        <v>2</v>
      </c>
      <c r="F33" s="18" t="s">
        <v>26</v>
      </c>
      <c r="G33" s="16" t="s">
        <v>797</v>
      </c>
      <c r="H33" s="16"/>
    </row>
    <row r="34" spans="1:8" ht="86.25" customHeight="1" x14ac:dyDescent="0.25">
      <c r="A34" s="19" t="s">
        <v>793</v>
      </c>
      <c r="B34" s="19" t="s">
        <v>794</v>
      </c>
      <c r="C34" s="20" t="s">
        <v>798</v>
      </c>
      <c r="D34" s="21" t="s">
        <v>799</v>
      </c>
      <c r="E34" s="17">
        <v>2</v>
      </c>
      <c r="F34" s="18" t="s">
        <v>12</v>
      </c>
      <c r="G34" s="21" t="s">
        <v>800</v>
      </c>
      <c r="H34" s="21" t="s">
        <v>801</v>
      </c>
    </row>
    <row r="35" spans="1:8" ht="120" customHeight="1" x14ac:dyDescent="0.25">
      <c r="A35" s="14" t="s">
        <v>793</v>
      </c>
      <c r="B35" s="14" t="s">
        <v>794</v>
      </c>
      <c r="C35" s="15" t="s">
        <v>802</v>
      </c>
      <c r="D35" s="16" t="s">
        <v>803</v>
      </c>
      <c r="E35" s="17">
        <v>2</v>
      </c>
      <c r="F35" s="18" t="s">
        <v>12</v>
      </c>
      <c r="G35" s="16" t="s">
        <v>804</v>
      </c>
      <c r="H35" s="16" t="s">
        <v>805</v>
      </c>
    </row>
    <row r="36" spans="1:8" ht="96" customHeight="1" x14ac:dyDescent="0.25">
      <c r="A36" s="19" t="s">
        <v>793</v>
      </c>
      <c r="B36" s="19" t="s">
        <v>794</v>
      </c>
      <c r="C36" s="20" t="s">
        <v>806</v>
      </c>
      <c r="D36" s="21" t="s">
        <v>807</v>
      </c>
      <c r="E36" s="17">
        <v>2</v>
      </c>
      <c r="F36" s="18" t="s">
        <v>12</v>
      </c>
      <c r="G36" s="21" t="s">
        <v>808</v>
      </c>
      <c r="H36" s="21" t="s">
        <v>809</v>
      </c>
    </row>
    <row r="37" spans="1:8" ht="105" customHeight="1" x14ac:dyDescent="0.25">
      <c r="A37" s="14" t="s">
        <v>793</v>
      </c>
      <c r="B37" s="14" t="s">
        <v>794</v>
      </c>
      <c r="C37" s="15" t="s">
        <v>810</v>
      </c>
      <c r="D37" s="16" t="s">
        <v>811</v>
      </c>
      <c r="E37" s="17">
        <v>2</v>
      </c>
      <c r="F37" s="18" t="s">
        <v>26</v>
      </c>
      <c r="G37" s="16" t="s">
        <v>812</v>
      </c>
      <c r="H37" s="16"/>
    </row>
    <row r="38" spans="1:8" ht="18" customHeight="1" x14ac:dyDescent="0.25">
      <c r="A38" s="13" t="s">
        <v>813</v>
      </c>
      <c r="B38" s="13" t="s">
        <v>814</v>
      </c>
      <c r="C38" s="13"/>
      <c r="D38" s="13"/>
      <c r="E38" s="13"/>
      <c r="F38" s="13"/>
      <c r="G38" s="13"/>
      <c r="H38" s="13"/>
    </row>
    <row r="39" spans="1:8" ht="75" customHeight="1" x14ac:dyDescent="0.25">
      <c r="A39" s="14" t="s">
        <v>813</v>
      </c>
      <c r="B39" s="14" t="s">
        <v>814</v>
      </c>
      <c r="C39" s="15" t="s">
        <v>815</v>
      </c>
      <c r="D39" s="16" t="s">
        <v>816</v>
      </c>
      <c r="E39" s="17">
        <v>2</v>
      </c>
      <c r="F39" s="18" t="s">
        <v>12</v>
      </c>
      <c r="G39" s="16" t="s">
        <v>817</v>
      </c>
      <c r="H39" s="16" t="s">
        <v>818</v>
      </c>
    </row>
    <row r="40" spans="1:8" ht="106.5" customHeight="1" x14ac:dyDescent="0.25">
      <c r="A40" s="19" t="s">
        <v>813</v>
      </c>
      <c r="B40" s="19" t="s">
        <v>814</v>
      </c>
      <c r="C40" s="20" t="s">
        <v>819</v>
      </c>
      <c r="D40" s="21" t="s">
        <v>820</v>
      </c>
      <c r="E40" s="17">
        <v>2</v>
      </c>
      <c r="F40" s="18" t="s">
        <v>12</v>
      </c>
      <c r="G40" s="21" t="s">
        <v>821</v>
      </c>
      <c r="H40" s="21" t="s">
        <v>822</v>
      </c>
    </row>
    <row r="41" spans="1:8" ht="18" customHeight="1" x14ac:dyDescent="0.25">
      <c r="A41" s="13" t="s">
        <v>823</v>
      </c>
      <c r="B41" s="13" t="s">
        <v>824</v>
      </c>
      <c r="C41" s="13"/>
      <c r="D41" s="13"/>
      <c r="E41" s="13"/>
      <c r="F41" s="13"/>
      <c r="G41" s="13"/>
      <c r="H41" s="13"/>
    </row>
    <row r="42" spans="1:8" ht="138" customHeight="1" x14ac:dyDescent="0.25">
      <c r="A42" s="14" t="s">
        <v>823</v>
      </c>
      <c r="B42" s="14" t="s">
        <v>824</v>
      </c>
      <c r="C42" s="15" t="s">
        <v>825</v>
      </c>
      <c r="D42" s="16" t="s">
        <v>826</v>
      </c>
      <c r="E42" s="17">
        <v>2</v>
      </c>
      <c r="F42" s="18" t="s">
        <v>12</v>
      </c>
      <c r="G42" s="16" t="s">
        <v>827</v>
      </c>
      <c r="H42" s="16" t="s">
        <v>828</v>
      </c>
    </row>
    <row r="43" spans="1:8" ht="105" customHeight="1" x14ac:dyDescent="0.25">
      <c r="A43" s="19" t="s">
        <v>823</v>
      </c>
      <c r="B43" s="19" t="s">
        <v>824</v>
      </c>
      <c r="C43" s="20" t="s">
        <v>829</v>
      </c>
      <c r="D43" s="21" t="s">
        <v>830</v>
      </c>
      <c r="E43" s="17">
        <v>2</v>
      </c>
      <c r="F43" s="18" t="s">
        <v>12</v>
      </c>
      <c r="G43" s="21" t="s">
        <v>831</v>
      </c>
      <c r="H43" s="21" t="s">
        <v>832</v>
      </c>
    </row>
    <row r="44" spans="1:8" ht="111" customHeight="1" x14ac:dyDescent="0.25">
      <c r="A44" s="14" t="s">
        <v>823</v>
      </c>
      <c r="B44" s="14" t="s">
        <v>824</v>
      </c>
      <c r="C44" s="15" t="s">
        <v>833</v>
      </c>
      <c r="D44" s="16" t="s">
        <v>834</v>
      </c>
      <c r="E44" s="17">
        <v>2</v>
      </c>
      <c r="F44" s="18" t="s">
        <v>12</v>
      </c>
      <c r="G44" s="16" t="s">
        <v>835</v>
      </c>
      <c r="H44" s="16" t="s">
        <v>836</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x14ac:dyDescent="0.25">
      <c r="A2" s="13" t="s">
        <v>837</v>
      </c>
      <c r="B2" s="13" t="s">
        <v>838</v>
      </c>
      <c r="C2" s="13"/>
      <c r="D2" s="13"/>
      <c r="E2" s="13"/>
      <c r="F2" s="13"/>
      <c r="G2" s="13"/>
      <c r="H2" s="13"/>
    </row>
    <row r="3" spans="1:8" ht="210" customHeight="1" x14ac:dyDescent="0.25">
      <c r="A3" s="14" t="s">
        <v>837</v>
      </c>
      <c r="B3" s="14" t="s">
        <v>838</v>
      </c>
      <c r="C3" s="15" t="s">
        <v>839</v>
      </c>
      <c r="D3" s="16" t="s">
        <v>840</v>
      </c>
      <c r="E3" s="17">
        <v>2</v>
      </c>
      <c r="F3" s="18" t="s">
        <v>17</v>
      </c>
      <c r="G3" s="16" t="s">
        <v>841</v>
      </c>
      <c r="H3" s="16" t="s">
        <v>842</v>
      </c>
    </row>
    <row r="4" spans="1:8" ht="180" customHeight="1" x14ac:dyDescent="0.25">
      <c r="A4" s="19" t="s">
        <v>837</v>
      </c>
      <c r="B4" s="19" t="s">
        <v>838</v>
      </c>
      <c r="C4" s="20" t="s">
        <v>843</v>
      </c>
      <c r="D4" s="21" t="s">
        <v>844</v>
      </c>
      <c r="E4" s="17">
        <v>2</v>
      </c>
      <c r="F4" s="18" t="s">
        <v>17</v>
      </c>
      <c r="G4" s="16" t="s">
        <v>845</v>
      </c>
      <c r="H4" s="21" t="s">
        <v>846</v>
      </c>
    </row>
    <row r="5" spans="1:8" ht="45" customHeight="1" x14ac:dyDescent="0.25">
      <c r="A5" s="14" t="s">
        <v>837</v>
      </c>
      <c r="B5" s="14" t="s">
        <v>838</v>
      </c>
      <c r="C5" s="15" t="s">
        <v>847</v>
      </c>
      <c r="D5" s="16" t="s">
        <v>848</v>
      </c>
      <c r="E5" s="23">
        <v>3</v>
      </c>
      <c r="F5" s="18" t="s">
        <v>26</v>
      </c>
      <c r="G5" s="21"/>
      <c r="H5" s="16"/>
    </row>
    <row r="6" spans="1:8" ht="60" customHeight="1" x14ac:dyDescent="0.25">
      <c r="A6" s="19" t="s">
        <v>837</v>
      </c>
      <c r="B6" s="19" t="s">
        <v>838</v>
      </c>
      <c r="C6" s="20" t="s">
        <v>849</v>
      </c>
      <c r="D6" s="21" t="s">
        <v>850</v>
      </c>
      <c r="E6" s="23">
        <v>3</v>
      </c>
      <c r="F6" s="18" t="s">
        <v>26</v>
      </c>
      <c r="G6" s="16"/>
      <c r="H6" s="21"/>
    </row>
    <row r="7" spans="1:8" x14ac:dyDescent="0.25">
      <c r="A7" s="13" t="s">
        <v>851</v>
      </c>
      <c r="B7" s="13" t="s">
        <v>852</v>
      </c>
      <c r="C7" s="13"/>
      <c r="D7" s="13"/>
      <c r="E7" s="13"/>
      <c r="F7" s="13"/>
      <c r="G7" s="13"/>
      <c r="H7" s="13"/>
    </row>
    <row r="8" spans="1:8" ht="165" customHeight="1" x14ac:dyDescent="0.25">
      <c r="A8" s="14" t="s">
        <v>851</v>
      </c>
      <c r="B8" s="14" t="s">
        <v>852</v>
      </c>
      <c r="C8" s="15" t="s">
        <v>853</v>
      </c>
      <c r="D8" s="16" t="s">
        <v>854</v>
      </c>
      <c r="E8" s="17">
        <v>2</v>
      </c>
      <c r="F8" s="18" t="s">
        <v>12</v>
      </c>
      <c r="G8" s="16" t="s">
        <v>855</v>
      </c>
      <c r="H8" s="16" t="s">
        <v>856</v>
      </c>
    </row>
    <row r="9" spans="1:8" ht="225" customHeight="1" x14ac:dyDescent="0.25">
      <c r="A9" s="19" t="s">
        <v>851</v>
      </c>
      <c r="B9" s="19" t="s">
        <v>852</v>
      </c>
      <c r="C9" s="20" t="s">
        <v>857</v>
      </c>
      <c r="D9" s="21" t="s">
        <v>858</v>
      </c>
      <c r="E9" s="17">
        <v>2</v>
      </c>
      <c r="F9" s="18" t="s">
        <v>17</v>
      </c>
      <c r="G9" s="21" t="s">
        <v>859</v>
      </c>
      <c r="H9" s="21" t="s">
        <v>860</v>
      </c>
    </row>
    <row r="10" spans="1:8" ht="150" customHeight="1" x14ac:dyDescent="0.25">
      <c r="A10" s="14" t="s">
        <v>851</v>
      </c>
      <c r="B10" s="14" t="s">
        <v>852</v>
      </c>
      <c r="C10" s="15" t="s">
        <v>861</v>
      </c>
      <c r="D10" s="16" t="s">
        <v>862</v>
      </c>
      <c r="E10" s="17">
        <v>2</v>
      </c>
      <c r="F10" s="18" t="s">
        <v>12</v>
      </c>
      <c r="G10" s="16" t="s">
        <v>863</v>
      </c>
      <c r="H10" s="16" t="s">
        <v>864</v>
      </c>
    </row>
    <row r="11" spans="1:8" ht="240" customHeight="1" x14ac:dyDescent="0.25">
      <c r="A11" s="19" t="s">
        <v>851</v>
      </c>
      <c r="B11" s="19" t="s">
        <v>852</v>
      </c>
      <c r="C11" s="20" t="s">
        <v>865</v>
      </c>
      <c r="D11" s="21" t="s">
        <v>866</v>
      </c>
      <c r="E11" s="23">
        <v>3</v>
      </c>
      <c r="F11" s="18" t="s">
        <v>12</v>
      </c>
      <c r="G11" s="21" t="s">
        <v>867</v>
      </c>
      <c r="H11" s="21" t="s">
        <v>868</v>
      </c>
    </row>
    <row r="12" spans="1:8" ht="195" customHeight="1" x14ac:dyDescent="0.25">
      <c r="A12" s="14" t="s">
        <v>851</v>
      </c>
      <c r="B12" s="14" t="s">
        <v>852</v>
      </c>
      <c r="C12" s="15" t="s">
        <v>869</v>
      </c>
      <c r="D12" s="16" t="s">
        <v>870</v>
      </c>
      <c r="E12" s="23">
        <v>3</v>
      </c>
      <c r="F12" s="18" t="s">
        <v>26</v>
      </c>
      <c r="G12" s="16" t="s">
        <v>871</v>
      </c>
      <c r="H12" s="16"/>
    </row>
    <row r="13" spans="1:8" x14ac:dyDescent="0.25">
      <c r="A13" s="13" t="s">
        <v>872</v>
      </c>
      <c r="B13" s="13" t="s">
        <v>873</v>
      </c>
      <c r="C13" s="13"/>
      <c r="D13" s="13"/>
      <c r="E13" s="13"/>
      <c r="F13" s="13"/>
      <c r="G13" s="13"/>
      <c r="H13" s="13"/>
    </row>
    <row r="14" spans="1:8" ht="150" customHeight="1" x14ac:dyDescent="0.25">
      <c r="A14" s="14" t="s">
        <v>872</v>
      </c>
      <c r="B14" s="14" t="s">
        <v>873</v>
      </c>
      <c r="C14" s="15" t="s">
        <v>874</v>
      </c>
      <c r="D14" s="16" t="s">
        <v>875</v>
      </c>
      <c r="E14" s="22">
        <v>1</v>
      </c>
      <c r="F14" s="18" t="s">
        <v>12</v>
      </c>
      <c r="G14" s="16" t="s">
        <v>876</v>
      </c>
      <c r="H14" s="16" t="s">
        <v>877</v>
      </c>
    </row>
    <row r="15" spans="1:8" ht="150" customHeight="1" x14ac:dyDescent="0.25">
      <c r="A15" s="19" t="s">
        <v>872</v>
      </c>
      <c r="B15" s="19" t="s">
        <v>873</v>
      </c>
      <c r="C15" s="20" t="s">
        <v>878</v>
      </c>
      <c r="D15" s="21" t="s">
        <v>879</v>
      </c>
      <c r="E15" s="22">
        <v>1</v>
      </c>
      <c r="F15" s="18" t="s">
        <v>12</v>
      </c>
      <c r="G15" s="21" t="s">
        <v>880</v>
      </c>
      <c r="H15" s="21" t="s">
        <v>881</v>
      </c>
    </row>
    <row r="16" spans="1:8" ht="150" customHeight="1" x14ac:dyDescent="0.25">
      <c r="A16" s="14" t="s">
        <v>872</v>
      </c>
      <c r="B16" s="14" t="s">
        <v>873</v>
      </c>
      <c r="C16" s="15" t="s">
        <v>882</v>
      </c>
      <c r="D16" s="16" t="s">
        <v>883</v>
      </c>
      <c r="E16" s="17">
        <v>2</v>
      </c>
      <c r="F16" s="18" t="s">
        <v>12</v>
      </c>
      <c r="G16" s="16" t="s">
        <v>884</v>
      </c>
      <c r="H16" s="16" t="s">
        <v>885</v>
      </c>
    </row>
    <row r="17" spans="1:8" ht="60" customHeight="1" x14ac:dyDescent="0.25">
      <c r="A17" s="19" t="s">
        <v>872</v>
      </c>
      <c r="B17" s="19" t="s">
        <v>873</v>
      </c>
      <c r="C17" s="20" t="s">
        <v>886</v>
      </c>
      <c r="D17" s="21" t="s">
        <v>887</v>
      </c>
      <c r="E17" s="23">
        <v>3</v>
      </c>
      <c r="F17" s="18" t="s">
        <v>26</v>
      </c>
      <c r="G17" s="21"/>
      <c r="H17" s="21"/>
    </row>
    <row r="18" spans="1:8" ht="195" customHeight="1" x14ac:dyDescent="0.25">
      <c r="A18" s="14" t="s">
        <v>872</v>
      </c>
      <c r="B18" s="14" t="s">
        <v>873</v>
      </c>
      <c r="C18" s="15" t="s">
        <v>888</v>
      </c>
      <c r="D18" s="16" t="s">
        <v>889</v>
      </c>
      <c r="E18" s="23">
        <v>3</v>
      </c>
      <c r="F18" s="18" t="s">
        <v>26</v>
      </c>
      <c r="G18" s="21" t="s">
        <v>890</v>
      </c>
      <c r="H18" s="16"/>
    </row>
    <row r="19" spans="1:8" x14ac:dyDescent="0.25">
      <c r="A19" s="13" t="s">
        <v>891</v>
      </c>
      <c r="B19" s="13" t="s">
        <v>892</v>
      </c>
      <c r="C19" s="13"/>
      <c r="D19" s="13"/>
      <c r="E19" s="13"/>
      <c r="F19" s="13"/>
      <c r="G19" s="13"/>
      <c r="H19" s="13"/>
    </row>
    <row r="20" spans="1:8" ht="135" customHeight="1" x14ac:dyDescent="0.25">
      <c r="A20" s="14" t="s">
        <v>891</v>
      </c>
      <c r="B20" s="14" t="s">
        <v>892</v>
      </c>
      <c r="C20" s="15" t="s">
        <v>893</v>
      </c>
      <c r="D20" s="16" t="s">
        <v>894</v>
      </c>
      <c r="E20" s="22">
        <v>1</v>
      </c>
      <c r="F20" s="18" t="s">
        <v>12</v>
      </c>
      <c r="G20" s="27" t="s">
        <v>895</v>
      </c>
      <c r="H20" s="16" t="s">
        <v>896</v>
      </c>
    </row>
    <row r="21" spans="1:8" ht="195" customHeight="1" x14ac:dyDescent="0.25">
      <c r="A21" s="19" t="s">
        <v>891</v>
      </c>
      <c r="B21" s="19" t="s">
        <v>892</v>
      </c>
      <c r="C21" s="20" t="s">
        <v>897</v>
      </c>
      <c r="D21" s="21" t="s">
        <v>898</v>
      </c>
      <c r="E21" s="17">
        <v>2</v>
      </c>
      <c r="F21" s="18" t="s">
        <v>12</v>
      </c>
      <c r="G21" s="27" t="s">
        <v>899</v>
      </c>
      <c r="H21" s="21" t="s">
        <v>900</v>
      </c>
    </row>
    <row r="22" spans="1:8" ht="180" customHeight="1" x14ac:dyDescent="0.25">
      <c r="A22" s="14" t="s">
        <v>891</v>
      </c>
      <c r="B22" s="14" t="s">
        <v>892</v>
      </c>
      <c r="C22" s="15" t="s">
        <v>901</v>
      </c>
      <c r="D22" s="16" t="s">
        <v>902</v>
      </c>
      <c r="E22" s="17">
        <v>2</v>
      </c>
      <c r="F22" s="18" t="s">
        <v>12</v>
      </c>
      <c r="G22" s="27" t="s">
        <v>903</v>
      </c>
      <c r="H22" s="16" t="s">
        <v>904</v>
      </c>
    </row>
    <row r="23" spans="1:8" ht="180" customHeight="1" x14ac:dyDescent="0.25">
      <c r="A23" s="19" t="s">
        <v>891</v>
      </c>
      <c r="B23" s="19" t="s">
        <v>892</v>
      </c>
      <c r="C23" s="20" t="s">
        <v>905</v>
      </c>
      <c r="D23" s="21" t="s">
        <v>906</v>
      </c>
      <c r="E23" s="17">
        <v>2</v>
      </c>
      <c r="F23" s="18" t="s">
        <v>12</v>
      </c>
      <c r="G23" s="21" t="s">
        <v>907</v>
      </c>
      <c r="H23" s="21" t="s">
        <v>908</v>
      </c>
    </row>
    <row r="24" spans="1:8" x14ac:dyDescent="0.25">
      <c r="A24" s="13" t="s">
        <v>909</v>
      </c>
      <c r="B24" s="13" t="s">
        <v>910</v>
      </c>
      <c r="C24" s="13"/>
      <c r="D24" s="13"/>
      <c r="E24" s="13"/>
      <c r="F24" s="13"/>
      <c r="G24" s="13"/>
      <c r="H24" s="13"/>
    </row>
    <row r="25" spans="1:8" ht="210" customHeight="1" x14ac:dyDescent="0.25">
      <c r="A25" s="14" t="s">
        <v>909</v>
      </c>
      <c r="B25" s="14" t="s">
        <v>910</v>
      </c>
      <c r="C25" s="15" t="s">
        <v>911</v>
      </c>
      <c r="D25" s="16" t="s">
        <v>912</v>
      </c>
      <c r="E25" s="17">
        <v>2</v>
      </c>
      <c r="F25" s="18" t="s">
        <v>17</v>
      </c>
      <c r="G25" s="16" t="s">
        <v>913</v>
      </c>
      <c r="H25" s="16" t="s">
        <v>914</v>
      </c>
    </row>
    <row r="26" spans="1:8" ht="210" customHeight="1" x14ac:dyDescent="0.25">
      <c r="A26" s="19" t="s">
        <v>909</v>
      </c>
      <c r="B26" s="19" t="s">
        <v>910</v>
      </c>
      <c r="C26" s="20" t="s">
        <v>915</v>
      </c>
      <c r="D26" s="21" t="s">
        <v>916</v>
      </c>
      <c r="E26" s="23">
        <v>3</v>
      </c>
      <c r="F26" s="18" t="s">
        <v>12</v>
      </c>
      <c r="G26" s="21" t="s">
        <v>917</v>
      </c>
      <c r="H26" s="21" t="s">
        <v>918</v>
      </c>
    </row>
    <row r="27" spans="1:8" x14ac:dyDescent="0.25">
      <c r="A27" s="13" t="s">
        <v>919</v>
      </c>
      <c r="B27" s="13" t="s">
        <v>920</v>
      </c>
      <c r="C27" s="13"/>
      <c r="D27" s="13"/>
      <c r="E27" s="13"/>
      <c r="F27" s="13"/>
      <c r="G27" s="13"/>
      <c r="H27" s="13"/>
    </row>
    <row r="28" spans="1:8" ht="210" customHeight="1" x14ac:dyDescent="0.25">
      <c r="A28" s="14" t="s">
        <v>919</v>
      </c>
      <c r="B28" s="14" t="s">
        <v>920</v>
      </c>
      <c r="C28" s="15" t="s">
        <v>921</v>
      </c>
      <c r="D28" s="16" t="s">
        <v>922</v>
      </c>
      <c r="E28" s="17">
        <v>2</v>
      </c>
      <c r="F28" s="18" t="s">
        <v>12</v>
      </c>
      <c r="G28" s="16" t="s">
        <v>923</v>
      </c>
      <c r="H28" s="16" t="s">
        <v>924</v>
      </c>
    </row>
    <row r="29" spans="1:8" ht="150" customHeight="1" x14ac:dyDescent="0.25">
      <c r="A29" s="19" t="s">
        <v>919</v>
      </c>
      <c r="B29" s="19" t="s">
        <v>920</v>
      </c>
      <c r="C29" s="20" t="s">
        <v>925</v>
      </c>
      <c r="D29" s="21" t="s">
        <v>926</v>
      </c>
      <c r="E29" s="23">
        <v>3</v>
      </c>
      <c r="F29" s="18" t="s">
        <v>26</v>
      </c>
      <c r="G29" s="21" t="s">
        <v>927</v>
      </c>
      <c r="H29" s="21"/>
    </row>
    <row r="30" spans="1:8" x14ac:dyDescent="0.25">
      <c r="A30" s="13" t="s">
        <v>928</v>
      </c>
      <c r="B30" s="13" t="s">
        <v>929</v>
      </c>
      <c r="C30" s="13"/>
      <c r="D30" s="13"/>
      <c r="E30" s="13"/>
      <c r="F30" s="13"/>
      <c r="G30" s="13"/>
      <c r="H30" s="13"/>
    </row>
    <row r="31" spans="1:8" ht="210" customHeight="1" x14ac:dyDescent="0.25">
      <c r="A31" s="14" t="s">
        <v>928</v>
      </c>
      <c r="B31" s="14" t="s">
        <v>929</v>
      </c>
      <c r="C31" s="15" t="s">
        <v>930</v>
      </c>
      <c r="D31" s="16" t="s">
        <v>931</v>
      </c>
      <c r="E31" s="23">
        <v>3</v>
      </c>
      <c r="F31" s="18" t="s">
        <v>26</v>
      </c>
      <c r="G31" s="16" t="s">
        <v>932</v>
      </c>
      <c r="H31" s="16"/>
    </row>
    <row r="32" spans="1:8" ht="45" customHeight="1" x14ac:dyDescent="0.25">
      <c r="A32" s="19" t="s">
        <v>928</v>
      </c>
      <c r="B32" s="19" t="s">
        <v>929</v>
      </c>
      <c r="C32" s="20" t="s">
        <v>933</v>
      </c>
      <c r="D32" s="21" t="s">
        <v>934</v>
      </c>
      <c r="E32" s="23">
        <v>3</v>
      </c>
      <c r="F32" s="18" t="s">
        <v>26</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935</v>
      </c>
      <c r="B2" s="13" t="s">
        <v>936</v>
      </c>
      <c r="C2" s="13"/>
      <c r="D2" s="13"/>
      <c r="E2" s="13"/>
      <c r="F2" s="13"/>
      <c r="G2" s="13"/>
      <c r="H2" s="13"/>
    </row>
    <row r="3" spans="1:8" ht="90" customHeight="1" x14ac:dyDescent="0.25">
      <c r="A3" s="14" t="s">
        <v>935</v>
      </c>
      <c r="B3" s="14" t="s">
        <v>936</v>
      </c>
      <c r="C3" s="15" t="s">
        <v>937</v>
      </c>
      <c r="D3" s="16" t="s">
        <v>938</v>
      </c>
      <c r="E3" s="22">
        <v>1</v>
      </c>
      <c r="F3" s="18" t="s">
        <v>17</v>
      </c>
      <c r="G3" s="16" t="s">
        <v>939</v>
      </c>
      <c r="H3" s="16" t="s">
        <v>940</v>
      </c>
    </row>
    <row r="4" spans="1:8" ht="90" customHeight="1" x14ac:dyDescent="0.25">
      <c r="A4" s="19" t="s">
        <v>935</v>
      </c>
      <c r="B4" s="19" t="s">
        <v>936</v>
      </c>
      <c r="C4" s="20" t="s">
        <v>941</v>
      </c>
      <c r="D4" s="21" t="s">
        <v>942</v>
      </c>
      <c r="E4" s="17">
        <v>2</v>
      </c>
      <c r="F4" s="18" t="s">
        <v>17</v>
      </c>
      <c r="G4" s="21" t="s">
        <v>943</v>
      </c>
      <c r="H4" s="21" t="s">
        <v>944</v>
      </c>
    </row>
    <row r="5" spans="1:8" ht="60" customHeight="1" x14ac:dyDescent="0.25">
      <c r="A5" s="14" t="s">
        <v>935</v>
      </c>
      <c r="B5" s="14" t="s">
        <v>936</v>
      </c>
      <c r="C5" s="15" t="s">
        <v>945</v>
      </c>
      <c r="D5" s="16" t="s">
        <v>946</v>
      </c>
      <c r="E5" s="17">
        <v>2</v>
      </c>
      <c r="F5" s="18" t="s">
        <v>26</v>
      </c>
      <c r="G5" s="16" t="s">
        <v>947</v>
      </c>
      <c r="H5" s="16"/>
    </row>
    <row r="6" spans="1:8" ht="30" customHeight="1" x14ac:dyDescent="0.25">
      <c r="A6" s="19" t="s">
        <v>935</v>
      </c>
      <c r="B6" s="19" t="s">
        <v>936</v>
      </c>
      <c r="C6" s="20" t="s">
        <v>948</v>
      </c>
      <c r="D6" s="21" t="s">
        <v>949</v>
      </c>
      <c r="E6" s="23">
        <v>3</v>
      </c>
      <c r="F6" s="18" t="s">
        <v>26</v>
      </c>
      <c r="G6" s="21"/>
      <c r="H6" s="21"/>
    </row>
    <row r="7" spans="1:8" ht="30" customHeight="1" x14ac:dyDescent="0.25">
      <c r="A7" s="14" t="s">
        <v>935</v>
      </c>
      <c r="B7" s="14" t="s">
        <v>936</v>
      </c>
      <c r="C7" s="15" t="s">
        <v>950</v>
      </c>
      <c r="D7" s="16" t="s">
        <v>951</v>
      </c>
      <c r="E7" s="23">
        <v>3</v>
      </c>
      <c r="F7" s="18" t="s">
        <v>26</v>
      </c>
      <c r="G7" s="16"/>
      <c r="H7" s="16"/>
    </row>
    <row r="8" spans="1:8" ht="18" customHeight="1" x14ac:dyDescent="0.25">
      <c r="A8" s="13" t="s">
        <v>952</v>
      </c>
      <c r="B8" s="13" t="s">
        <v>953</v>
      </c>
      <c r="C8" s="13"/>
      <c r="D8" s="13"/>
      <c r="E8" s="13"/>
      <c r="F8" s="13"/>
      <c r="G8" s="13"/>
      <c r="H8" s="13"/>
    </row>
    <row r="9" spans="1:8" ht="90" customHeight="1" x14ac:dyDescent="0.25">
      <c r="A9" s="14" t="s">
        <v>952</v>
      </c>
      <c r="B9" s="14" t="s">
        <v>953</v>
      </c>
      <c r="C9" s="15" t="s">
        <v>954</v>
      </c>
      <c r="D9" s="16" t="s">
        <v>955</v>
      </c>
      <c r="E9" s="22">
        <v>1</v>
      </c>
      <c r="F9" s="18" t="s">
        <v>17</v>
      </c>
      <c r="G9" s="16" t="s">
        <v>956</v>
      </c>
      <c r="H9" s="16" t="s">
        <v>957</v>
      </c>
    </row>
    <row r="10" spans="1:8" ht="90" customHeight="1" x14ac:dyDescent="0.25">
      <c r="A10" s="19" t="s">
        <v>952</v>
      </c>
      <c r="B10" s="19" t="s">
        <v>953</v>
      </c>
      <c r="C10" s="20" t="s">
        <v>958</v>
      </c>
      <c r="D10" s="21" t="s">
        <v>959</v>
      </c>
      <c r="E10" s="22">
        <v>1</v>
      </c>
      <c r="F10" s="18" t="s">
        <v>17</v>
      </c>
      <c r="G10" s="21" t="s">
        <v>960</v>
      </c>
      <c r="H10" s="21" t="s">
        <v>961</v>
      </c>
    </row>
    <row r="11" spans="1:8" ht="18" customHeight="1" x14ac:dyDescent="0.25">
      <c r="A11" s="13" t="s">
        <v>962</v>
      </c>
      <c r="B11" s="13" t="s">
        <v>963</v>
      </c>
      <c r="C11" s="13"/>
      <c r="D11" s="13"/>
      <c r="E11" s="13"/>
      <c r="F11" s="13"/>
      <c r="G11" s="13"/>
      <c r="H11" s="13"/>
    </row>
    <row r="12" spans="1:8" ht="30" customHeight="1" x14ac:dyDescent="0.25">
      <c r="A12" s="14" t="s">
        <v>962</v>
      </c>
      <c r="B12" s="14" t="s">
        <v>963</v>
      </c>
      <c r="C12" s="15" t="s">
        <v>964</v>
      </c>
      <c r="D12" s="16" t="s">
        <v>965</v>
      </c>
      <c r="E12" s="17">
        <v>2</v>
      </c>
      <c r="F12" s="18" t="s">
        <v>17</v>
      </c>
      <c r="G12" s="16" t="s">
        <v>966</v>
      </c>
      <c r="H12" s="16" t="s">
        <v>967</v>
      </c>
    </row>
    <row r="13" spans="1:8" ht="30" customHeight="1" x14ac:dyDescent="0.25">
      <c r="A13" s="19" t="s">
        <v>962</v>
      </c>
      <c r="B13" s="19" t="s">
        <v>963</v>
      </c>
      <c r="C13" s="20" t="s">
        <v>968</v>
      </c>
      <c r="D13" s="21" t="s">
        <v>969</v>
      </c>
      <c r="E13" s="17">
        <v>2</v>
      </c>
      <c r="F13" s="18" t="s">
        <v>17</v>
      </c>
      <c r="G13" s="21" t="s">
        <v>970</v>
      </c>
      <c r="H13" s="21" t="s">
        <v>971</v>
      </c>
    </row>
    <row r="14" spans="1:8" ht="30" customHeight="1" x14ac:dyDescent="0.25">
      <c r="A14" s="14" t="s">
        <v>962</v>
      </c>
      <c r="B14" s="14" t="s">
        <v>963</v>
      </c>
      <c r="C14" s="15" t="s">
        <v>972</v>
      </c>
      <c r="D14" s="16" t="s">
        <v>973</v>
      </c>
      <c r="E14" s="17">
        <v>2</v>
      </c>
      <c r="F14" s="18" t="s">
        <v>17</v>
      </c>
      <c r="G14" s="16" t="s">
        <v>974</v>
      </c>
      <c r="H14" s="16" t="s">
        <v>975</v>
      </c>
    </row>
    <row r="15" spans="1:8" ht="75" customHeight="1" x14ac:dyDescent="0.25">
      <c r="A15" s="19" t="s">
        <v>962</v>
      </c>
      <c r="B15" s="19" t="s">
        <v>963</v>
      </c>
      <c r="C15" s="20" t="s">
        <v>976</v>
      </c>
      <c r="D15" s="21" t="s">
        <v>977</v>
      </c>
      <c r="E15" s="17">
        <v>2</v>
      </c>
      <c r="F15" s="18" t="s">
        <v>17</v>
      </c>
      <c r="G15" s="21" t="s">
        <v>978</v>
      </c>
      <c r="H15" s="21" t="s">
        <v>979</v>
      </c>
    </row>
    <row r="16" spans="1:8" ht="30" customHeight="1" x14ac:dyDescent="0.25">
      <c r="A16" s="14" t="s">
        <v>962</v>
      </c>
      <c r="B16" s="14" t="s">
        <v>963</v>
      </c>
      <c r="C16" s="15" t="s">
        <v>980</v>
      </c>
      <c r="D16" s="16" t="s">
        <v>981</v>
      </c>
      <c r="E16" s="23">
        <v>3</v>
      </c>
      <c r="F16" s="18" t="s">
        <v>26</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3"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982</v>
      </c>
      <c r="B2" s="13" t="s">
        <v>983</v>
      </c>
      <c r="C2" s="13"/>
      <c r="D2" s="13"/>
      <c r="E2" s="13"/>
      <c r="F2" s="13"/>
      <c r="G2" s="13"/>
      <c r="H2" s="13"/>
    </row>
    <row r="3" spans="1:8" ht="30" customHeight="1" x14ac:dyDescent="0.25">
      <c r="A3" s="14" t="s">
        <v>982</v>
      </c>
      <c r="B3" s="14" t="s">
        <v>983</v>
      </c>
      <c r="C3" s="15" t="s">
        <v>984</v>
      </c>
      <c r="D3" s="16" t="s">
        <v>985</v>
      </c>
      <c r="E3" s="17">
        <v>2</v>
      </c>
      <c r="F3" s="18" t="s">
        <v>17</v>
      </c>
      <c r="G3" s="16" t="s">
        <v>986</v>
      </c>
      <c r="H3" s="16" t="s">
        <v>987</v>
      </c>
    </row>
    <row r="4" spans="1:8" ht="30" customHeight="1" x14ac:dyDescent="0.25">
      <c r="A4" s="19" t="s">
        <v>982</v>
      </c>
      <c r="B4" s="19" t="s">
        <v>983</v>
      </c>
      <c r="C4" s="20" t="s">
        <v>988</v>
      </c>
      <c r="D4" s="21" t="s">
        <v>989</v>
      </c>
      <c r="E4" s="23">
        <v>3</v>
      </c>
      <c r="F4" s="18" t="s">
        <v>26</v>
      </c>
      <c r="G4" s="21"/>
      <c r="H4" s="21"/>
    </row>
    <row r="5" spans="1:8" ht="30" customHeight="1" x14ac:dyDescent="0.25">
      <c r="A5" s="14" t="s">
        <v>982</v>
      </c>
      <c r="B5" s="14" t="s">
        <v>983</v>
      </c>
      <c r="C5" s="15" t="s">
        <v>990</v>
      </c>
      <c r="D5" s="16" t="s">
        <v>991</v>
      </c>
      <c r="E5" s="23">
        <v>3</v>
      </c>
      <c r="F5" s="18" t="s">
        <v>26</v>
      </c>
      <c r="G5" s="16"/>
      <c r="H5" s="16"/>
    </row>
    <row r="6" spans="1:8" ht="30" customHeight="1" x14ac:dyDescent="0.25">
      <c r="A6" s="19" t="s">
        <v>982</v>
      </c>
      <c r="B6" s="19" t="s">
        <v>983</v>
      </c>
      <c r="C6" s="20" t="s">
        <v>992</v>
      </c>
      <c r="D6" s="21" t="s">
        <v>993</v>
      </c>
      <c r="E6" s="23">
        <v>3</v>
      </c>
      <c r="F6" s="18" t="s">
        <v>26</v>
      </c>
      <c r="G6" s="21"/>
      <c r="H6" s="21"/>
    </row>
    <row r="7" spans="1:8" ht="18" customHeight="1" x14ac:dyDescent="0.25">
      <c r="A7" s="13" t="s">
        <v>994</v>
      </c>
      <c r="B7" s="13" t="s">
        <v>995</v>
      </c>
      <c r="C7" s="13"/>
      <c r="D7" s="13"/>
      <c r="E7" s="13"/>
      <c r="F7" s="13"/>
      <c r="G7" s="13"/>
      <c r="H7" s="13"/>
    </row>
    <row r="8" spans="1:8" ht="30" customHeight="1" x14ac:dyDescent="0.25">
      <c r="A8" s="14" t="s">
        <v>994</v>
      </c>
      <c r="B8" s="14" t="s">
        <v>995</v>
      </c>
      <c r="C8" s="15" t="s">
        <v>996</v>
      </c>
      <c r="D8" s="16" t="s">
        <v>997</v>
      </c>
      <c r="E8" s="17">
        <v>2</v>
      </c>
      <c r="F8" s="18" t="s">
        <v>115</v>
      </c>
      <c r="G8" s="16"/>
      <c r="H8" s="16"/>
    </row>
    <row r="9" spans="1:8" ht="30" customHeight="1" x14ac:dyDescent="0.25">
      <c r="A9" s="19" t="s">
        <v>994</v>
      </c>
      <c r="B9" s="19" t="s">
        <v>995</v>
      </c>
      <c r="C9" s="20" t="s">
        <v>998</v>
      </c>
      <c r="D9" s="21" t="s">
        <v>999</v>
      </c>
      <c r="E9" s="17">
        <v>2</v>
      </c>
      <c r="F9" s="18" t="s">
        <v>115</v>
      </c>
      <c r="G9" s="21"/>
      <c r="H9" s="21"/>
    </row>
    <row r="10" spans="1:8" ht="30" customHeight="1" x14ac:dyDescent="0.25">
      <c r="A10" s="14" t="s">
        <v>994</v>
      </c>
      <c r="B10" s="14" t="s">
        <v>995</v>
      </c>
      <c r="C10" s="15" t="s">
        <v>1000</v>
      </c>
      <c r="D10" s="16" t="s">
        <v>1001</v>
      </c>
      <c r="E10" s="17">
        <v>2</v>
      </c>
      <c r="F10" s="18" t="s">
        <v>26</v>
      </c>
      <c r="G10" s="16" t="s">
        <v>1002</v>
      </c>
      <c r="H10" s="16"/>
    </row>
    <row r="11" spans="1:8" ht="30" customHeight="1" x14ac:dyDescent="0.25">
      <c r="A11" s="19" t="s">
        <v>994</v>
      </c>
      <c r="B11" s="19" t="s">
        <v>995</v>
      </c>
      <c r="C11" s="20" t="s">
        <v>1003</v>
      </c>
      <c r="D11" s="21" t="s">
        <v>1004</v>
      </c>
      <c r="E11" s="17">
        <v>2</v>
      </c>
      <c r="F11" s="18" t="s">
        <v>115</v>
      </c>
      <c r="G11" s="21"/>
      <c r="H11" s="21"/>
    </row>
    <row r="12" spans="1:8" ht="30" customHeight="1" x14ac:dyDescent="0.25">
      <c r="A12" s="14" t="s">
        <v>994</v>
      </c>
      <c r="B12" s="14" t="s">
        <v>995</v>
      </c>
      <c r="C12" s="15" t="s">
        <v>1005</v>
      </c>
      <c r="D12" s="16" t="s">
        <v>1006</v>
      </c>
      <c r="E12" s="17">
        <v>2</v>
      </c>
      <c r="F12" s="18" t="s">
        <v>26</v>
      </c>
      <c r="G12" s="16" t="s">
        <v>1007</v>
      </c>
      <c r="H12" s="16"/>
    </row>
    <row r="13" spans="1:8" ht="30" customHeight="1" x14ac:dyDescent="0.25">
      <c r="A13" s="19" t="s">
        <v>994</v>
      </c>
      <c r="B13" s="19" t="s">
        <v>995</v>
      </c>
      <c r="C13" s="20" t="s">
        <v>1008</v>
      </c>
      <c r="D13" s="21" t="s">
        <v>1009</v>
      </c>
      <c r="E13" s="23">
        <v>3</v>
      </c>
      <c r="F13" s="18" t="s">
        <v>26</v>
      </c>
      <c r="G13" s="21"/>
      <c r="H13" s="21"/>
    </row>
    <row r="14" spans="1:8" ht="18" customHeight="1" x14ac:dyDescent="0.25">
      <c r="A14" s="13" t="s">
        <v>1010</v>
      </c>
      <c r="B14" s="13" t="s">
        <v>1011</v>
      </c>
      <c r="C14" s="13"/>
      <c r="D14" s="13"/>
      <c r="E14" s="13"/>
      <c r="F14" s="13"/>
      <c r="G14" s="13"/>
      <c r="H14" s="13"/>
    </row>
    <row r="15" spans="1:8" ht="30" customHeight="1" x14ac:dyDescent="0.25">
      <c r="A15" s="14" t="s">
        <v>1010</v>
      </c>
      <c r="B15" s="14" t="s">
        <v>1011</v>
      </c>
      <c r="C15" s="15" t="s">
        <v>1012</v>
      </c>
      <c r="D15" s="16" t="s">
        <v>1013</v>
      </c>
      <c r="E15" s="17">
        <v>2</v>
      </c>
      <c r="F15" s="18" t="s">
        <v>115</v>
      </c>
      <c r="G15" s="16"/>
      <c r="H15" s="16"/>
    </row>
    <row r="16" spans="1:8" ht="30" customHeight="1" x14ac:dyDescent="0.25">
      <c r="A16" s="19" t="s">
        <v>1010</v>
      </c>
      <c r="B16" s="19" t="s">
        <v>1011</v>
      </c>
      <c r="C16" s="20" t="s">
        <v>1014</v>
      </c>
      <c r="D16" s="21" t="s">
        <v>1015</v>
      </c>
      <c r="E16" s="17">
        <v>2</v>
      </c>
      <c r="F16" s="18" t="s">
        <v>115</v>
      </c>
      <c r="G16" s="21"/>
      <c r="H16" s="21"/>
    </row>
    <row r="17" spans="1:8" ht="30" customHeight="1" x14ac:dyDescent="0.25">
      <c r="A17" s="14" t="s">
        <v>1010</v>
      </c>
      <c r="B17" s="14" t="s">
        <v>1011</v>
      </c>
      <c r="C17" s="15" t="s">
        <v>1016</v>
      </c>
      <c r="D17" s="16" t="s">
        <v>1017</v>
      </c>
      <c r="E17" s="23">
        <v>3</v>
      </c>
      <c r="F17" s="18" t="s">
        <v>26</v>
      </c>
      <c r="G17" s="16"/>
      <c r="H17" s="16"/>
    </row>
    <row r="18" spans="1:8" ht="30" customHeight="1" x14ac:dyDescent="0.25">
      <c r="A18" s="19" t="s">
        <v>1010</v>
      </c>
      <c r="B18" s="19" t="s">
        <v>1011</v>
      </c>
      <c r="C18" s="20" t="s">
        <v>1018</v>
      </c>
      <c r="D18" s="21" t="s">
        <v>1019</v>
      </c>
      <c r="E18" s="23">
        <v>3</v>
      </c>
      <c r="F18" s="18" t="s">
        <v>26</v>
      </c>
      <c r="G18" s="21"/>
      <c r="H18" s="21"/>
    </row>
    <row r="19" spans="1:8" ht="18" customHeight="1" x14ac:dyDescent="0.25">
      <c r="A19" s="13" t="s">
        <v>1020</v>
      </c>
      <c r="B19" s="13" t="s">
        <v>1021</v>
      </c>
      <c r="C19" s="13"/>
      <c r="D19" s="13"/>
      <c r="E19" s="13"/>
      <c r="F19" s="13"/>
      <c r="G19" s="13"/>
      <c r="H19" s="13"/>
    </row>
    <row r="20" spans="1:8" ht="30" customHeight="1" x14ac:dyDescent="0.25">
      <c r="A20" s="14" t="s">
        <v>1020</v>
      </c>
      <c r="B20" s="14" t="s">
        <v>1021</v>
      </c>
      <c r="C20" s="15" t="s">
        <v>1022</v>
      </c>
      <c r="D20" s="16" t="s">
        <v>1023</v>
      </c>
      <c r="E20" s="22">
        <v>1</v>
      </c>
      <c r="F20" s="18" t="s">
        <v>115</v>
      </c>
      <c r="G20" s="16"/>
      <c r="H20" s="16"/>
    </row>
    <row r="21" spans="1:8" ht="30" customHeight="1" x14ac:dyDescent="0.25">
      <c r="A21" s="19" t="s">
        <v>1020</v>
      </c>
      <c r="B21" s="19" t="s">
        <v>1021</v>
      </c>
      <c r="C21" s="20" t="s">
        <v>1024</v>
      </c>
      <c r="D21" s="21" t="s">
        <v>1025</v>
      </c>
      <c r="E21" s="17">
        <v>2</v>
      </c>
      <c r="F21" s="18" t="s">
        <v>115</v>
      </c>
      <c r="G21" s="21"/>
      <c r="H21" s="21"/>
    </row>
    <row r="22" spans="1:8" ht="30" customHeight="1" x14ac:dyDescent="0.25">
      <c r="A22" s="14" t="s">
        <v>1020</v>
      </c>
      <c r="B22" s="14" t="s">
        <v>1021</v>
      </c>
      <c r="C22" s="15" t="s">
        <v>1026</v>
      </c>
      <c r="D22" s="16" t="s">
        <v>1027</v>
      </c>
      <c r="E22" s="17">
        <v>2</v>
      </c>
      <c r="F22" s="18" t="s">
        <v>26</v>
      </c>
      <c r="G22" s="16" t="s">
        <v>1028</v>
      </c>
      <c r="H22" s="16"/>
    </row>
    <row r="23" spans="1:8" ht="45" customHeight="1" x14ac:dyDescent="0.25">
      <c r="A23" s="19" t="s">
        <v>1020</v>
      </c>
      <c r="B23" s="19" t="s">
        <v>1021</v>
      </c>
      <c r="C23" s="20" t="s">
        <v>1029</v>
      </c>
      <c r="D23" s="21" t="s">
        <v>1030</v>
      </c>
      <c r="E23" s="17">
        <v>2</v>
      </c>
      <c r="F23" s="18" t="s">
        <v>115</v>
      </c>
      <c r="G23" s="21"/>
      <c r="H23" s="21"/>
    </row>
    <row r="24" spans="1:8" ht="30" customHeight="1" x14ac:dyDescent="0.25">
      <c r="A24" s="14" t="s">
        <v>1020</v>
      </c>
      <c r="B24" s="14" t="s">
        <v>1021</v>
      </c>
      <c r="C24" s="15" t="s">
        <v>1031</v>
      </c>
      <c r="D24" s="16" t="s">
        <v>1032</v>
      </c>
      <c r="E24" s="17">
        <v>2</v>
      </c>
      <c r="F24" s="18" t="s">
        <v>115</v>
      </c>
      <c r="G24" s="16"/>
      <c r="H24" s="16"/>
    </row>
    <row r="25" spans="1:8" ht="30" customHeight="1" x14ac:dyDescent="0.25">
      <c r="A25" s="19" t="s">
        <v>1020</v>
      </c>
      <c r="B25" s="19" t="s">
        <v>1021</v>
      </c>
      <c r="C25" s="20" t="s">
        <v>1033</v>
      </c>
      <c r="D25" s="21" t="s">
        <v>1034</v>
      </c>
      <c r="E25" s="23">
        <v>3</v>
      </c>
      <c r="F25" s="18" t="s">
        <v>26</v>
      </c>
      <c r="G25" s="21"/>
      <c r="H25" s="21"/>
    </row>
    <row r="26" spans="1:8" ht="30" customHeight="1" x14ac:dyDescent="0.25">
      <c r="A26" s="14" t="s">
        <v>1020</v>
      </c>
      <c r="B26" s="14" t="s">
        <v>1021</v>
      </c>
      <c r="C26" s="15" t="s">
        <v>1035</v>
      </c>
      <c r="D26" s="16" t="s">
        <v>1036</v>
      </c>
      <c r="E26" s="23">
        <v>3</v>
      </c>
      <c r="F26" s="18" t="s">
        <v>26</v>
      </c>
      <c r="G26" s="16" t="s">
        <v>1037</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0</v>
      </c>
      <c r="B1" s="12" t="s">
        <v>1</v>
      </c>
      <c r="C1" s="12" t="s">
        <v>2</v>
      </c>
      <c r="D1" s="12" t="s">
        <v>3</v>
      </c>
      <c r="E1" s="12" t="s">
        <v>4</v>
      </c>
      <c r="F1" s="12" t="s">
        <v>5</v>
      </c>
      <c r="G1" s="12" t="s">
        <v>6</v>
      </c>
      <c r="H1" s="12" t="s">
        <v>7</v>
      </c>
    </row>
    <row r="2" spans="1:8" ht="18" customHeight="1" x14ac:dyDescent="0.25">
      <c r="A2" s="13" t="s">
        <v>1038</v>
      </c>
      <c r="B2" s="13" t="s">
        <v>1039</v>
      </c>
      <c r="C2" s="13"/>
      <c r="D2" s="13"/>
      <c r="E2" s="13"/>
      <c r="F2" s="13"/>
      <c r="G2" s="13"/>
      <c r="H2" s="13"/>
    </row>
    <row r="3" spans="1:8" ht="120" customHeight="1" x14ac:dyDescent="0.25">
      <c r="A3" s="14" t="s">
        <v>1038</v>
      </c>
      <c r="B3" s="14" t="s">
        <v>1039</v>
      </c>
      <c r="C3" s="15" t="s">
        <v>1040</v>
      </c>
      <c r="D3" s="16" t="s">
        <v>1041</v>
      </c>
      <c r="E3" s="17">
        <v>2</v>
      </c>
      <c r="F3" s="18" t="s">
        <v>17</v>
      </c>
      <c r="G3" s="16" t="s">
        <v>1042</v>
      </c>
      <c r="H3" s="16" t="s">
        <v>1043</v>
      </c>
    </row>
    <row r="4" spans="1:8" ht="105.4" customHeight="1" x14ac:dyDescent="0.25">
      <c r="A4" s="19" t="s">
        <v>1038</v>
      </c>
      <c r="B4" s="19" t="s">
        <v>1039</v>
      </c>
      <c r="C4" s="20" t="s">
        <v>1044</v>
      </c>
      <c r="D4" s="21" t="s">
        <v>1045</v>
      </c>
      <c r="E4" s="17">
        <v>2</v>
      </c>
      <c r="F4" s="18" t="s">
        <v>26</v>
      </c>
      <c r="G4" s="21" t="s">
        <v>1046</v>
      </c>
      <c r="H4" s="21"/>
    </row>
    <row r="5" spans="1:8" ht="18" customHeight="1" x14ac:dyDescent="0.25">
      <c r="A5" s="13" t="s">
        <v>1047</v>
      </c>
      <c r="B5" s="13" t="s">
        <v>1048</v>
      </c>
      <c r="C5" s="13"/>
      <c r="D5" s="13"/>
      <c r="E5" s="13"/>
      <c r="F5" s="13"/>
      <c r="G5" s="13"/>
      <c r="H5" s="13"/>
    </row>
    <row r="6" spans="1:8" ht="90" customHeight="1" x14ac:dyDescent="0.25">
      <c r="A6" s="14" t="s">
        <v>1047</v>
      </c>
      <c r="B6" s="14" t="s">
        <v>1048</v>
      </c>
      <c r="C6" s="15" t="s">
        <v>1049</v>
      </c>
      <c r="D6" s="16" t="s">
        <v>1050</v>
      </c>
      <c r="E6" s="22">
        <v>1</v>
      </c>
      <c r="F6" s="18" t="s">
        <v>12</v>
      </c>
      <c r="G6" s="16" t="s">
        <v>1051</v>
      </c>
      <c r="H6" s="16" t="s">
        <v>1052</v>
      </c>
    </row>
    <row r="7" spans="1:8" ht="50.45" customHeight="1" x14ac:dyDescent="0.25">
      <c r="A7" s="19" t="s">
        <v>1047</v>
      </c>
      <c r="B7" s="19" t="s">
        <v>1048</v>
      </c>
      <c r="C7" s="20" t="s">
        <v>1053</v>
      </c>
      <c r="D7" s="21" t="s">
        <v>1054</v>
      </c>
      <c r="E7" s="17">
        <v>2</v>
      </c>
      <c r="F7" s="18" t="s">
        <v>17</v>
      </c>
      <c r="G7" s="21" t="s">
        <v>1055</v>
      </c>
      <c r="H7" s="21" t="s">
        <v>1056</v>
      </c>
    </row>
    <row r="8" spans="1:8" ht="68.650000000000006" customHeight="1" x14ac:dyDescent="0.25">
      <c r="A8" s="14" t="s">
        <v>1047</v>
      </c>
      <c r="B8" s="14" t="s">
        <v>1048</v>
      </c>
      <c r="C8" s="15" t="s">
        <v>1057</v>
      </c>
      <c r="D8" s="16" t="s">
        <v>1058</v>
      </c>
      <c r="E8" s="17">
        <v>2</v>
      </c>
      <c r="F8" s="18" t="s">
        <v>12</v>
      </c>
      <c r="G8" s="16" t="s">
        <v>1059</v>
      </c>
      <c r="H8" s="16" t="s">
        <v>1060</v>
      </c>
    </row>
    <row r="9" spans="1:8" ht="90" customHeight="1" x14ac:dyDescent="0.25">
      <c r="A9" s="19" t="s">
        <v>1047</v>
      </c>
      <c r="B9" s="19" t="s">
        <v>1048</v>
      </c>
      <c r="C9" s="20" t="s">
        <v>1061</v>
      </c>
      <c r="D9" s="21" t="s">
        <v>1062</v>
      </c>
      <c r="E9" s="17">
        <v>2</v>
      </c>
      <c r="F9" s="18" t="s">
        <v>17</v>
      </c>
      <c r="G9" s="21" t="s">
        <v>1063</v>
      </c>
      <c r="H9" s="21" t="s">
        <v>1064</v>
      </c>
    </row>
    <row r="10" spans="1:8" ht="30" customHeight="1" x14ac:dyDescent="0.25">
      <c r="A10" s="14" t="s">
        <v>1047</v>
      </c>
      <c r="B10" s="14" t="s">
        <v>1048</v>
      </c>
      <c r="C10" s="15" t="s">
        <v>1065</v>
      </c>
      <c r="D10" s="16" t="s">
        <v>1066</v>
      </c>
      <c r="E10" s="23">
        <v>3</v>
      </c>
      <c r="F10" s="18" t="s">
        <v>26</v>
      </c>
      <c r="G10" s="16"/>
      <c r="H10" s="16"/>
    </row>
    <row r="11" spans="1:8" ht="30" customHeight="1" x14ac:dyDescent="0.25">
      <c r="A11" s="19" t="s">
        <v>1047</v>
      </c>
      <c r="B11" s="19" t="s">
        <v>1048</v>
      </c>
      <c r="C11" s="20" t="s">
        <v>1067</v>
      </c>
      <c r="D11" s="21" t="s">
        <v>1068</v>
      </c>
      <c r="E11" s="23">
        <v>3</v>
      </c>
      <c r="F11" s="18" t="s">
        <v>26</v>
      </c>
      <c r="G11" s="21"/>
      <c r="H11" s="21"/>
    </row>
    <row r="12" spans="1:8" ht="30" customHeight="1" x14ac:dyDescent="0.25">
      <c r="A12" s="14" t="s">
        <v>1047</v>
      </c>
      <c r="B12" s="14" t="s">
        <v>1048</v>
      </c>
      <c r="C12" s="15" t="s">
        <v>1069</v>
      </c>
      <c r="D12" s="16" t="s">
        <v>1070</v>
      </c>
      <c r="E12" s="23">
        <v>3</v>
      </c>
      <c r="F12" s="18" t="s">
        <v>26</v>
      </c>
      <c r="G12" s="16"/>
      <c r="H12" s="16"/>
    </row>
    <row r="13" spans="1:8" ht="30" customHeight="1" x14ac:dyDescent="0.25">
      <c r="A13" s="19" t="s">
        <v>1047</v>
      </c>
      <c r="B13" s="19" t="s">
        <v>1048</v>
      </c>
      <c r="C13" s="20" t="s">
        <v>1071</v>
      </c>
      <c r="D13" s="21" t="s">
        <v>1072</v>
      </c>
      <c r="E13" s="23">
        <v>3</v>
      </c>
      <c r="F13" s="18" t="s">
        <v>26</v>
      </c>
      <c r="G13" s="21"/>
      <c r="H13" s="21"/>
    </row>
    <row r="14" spans="1:8" ht="18" customHeight="1" x14ac:dyDescent="0.25">
      <c r="A14" s="13" t="s">
        <v>1073</v>
      </c>
      <c r="B14" s="13" t="s">
        <v>1074</v>
      </c>
      <c r="C14" s="13"/>
      <c r="D14" s="13"/>
      <c r="E14" s="13"/>
      <c r="F14" s="13"/>
      <c r="G14" s="13"/>
      <c r="H14" s="13"/>
    </row>
    <row r="15" spans="1:8" ht="30" customHeight="1" x14ac:dyDescent="0.25">
      <c r="A15" s="14" t="s">
        <v>1073</v>
      </c>
      <c r="B15" s="14" t="s">
        <v>1074</v>
      </c>
      <c r="C15" s="15" t="s">
        <v>1075</v>
      </c>
      <c r="D15" s="16" t="s">
        <v>1076</v>
      </c>
      <c r="E15" s="22">
        <v>1</v>
      </c>
      <c r="F15" s="18" t="s">
        <v>26</v>
      </c>
      <c r="G15" s="16" t="s">
        <v>1077</v>
      </c>
      <c r="H15" s="16"/>
    </row>
    <row r="16" spans="1:8" ht="45" customHeight="1" x14ac:dyDescent="0.25">
      <c r="A16" s="19" t="s">
        <v>1073</v>
      </c>
      <c r="B16" s="19" t="s">
        <v>1074</v>
      </c>
      <c r="C16" s="20" t="s">
        <v>1078</v>
      </c>
      <c r="D16" s="21" t="s">
        <v>1079</v>
      </c>
      <c r="E16" s="17">
        <v>2</v>
      </c>
      <c r="F16" s="18" t="s">
        <v>17</v>
      </c>
      <c r="G16" s="21" t="s">
        <v>1080</v>
      </c>
      <c r="H16" s="21" t="s">
        <v>1081</v>
      </c>
    </row>
    <row r="17" spans="1:8" ht="45" customHeight="1" x14ac:dyDescent="0.25">
      <c r="A17" s="14" t="s">
        <v>1073</v>
      </c>
      <c r="B17" s="14" t="s">
        <v>1074</v>
      </c>
      <c r="C17" s="15" t="s">
        <v>1082</v>
      </c>
      <c r="D17" s="16" t="s">
        <v>1083</v>
      </c>
      <c r="E17" s="17">
        <v>2</v>
      </c>
      <c r="F17" s="18" t="s">
        <v>26</v>
      </c>
      <c r="G17" s="16" t="s">
        <v>1084</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0</v>
      </c>
      <c r="B1" s="12" t="s">
        <v>1</v>
      </c>
      <c r="C1" s="12" t="s">
        <v>2</v>
      </c>
      <c r="D1" s="12" t="s">
        <v>3</v>
      </c>
      <c r="E1" s="12" t="s">
        <v>4</v>
      </c>
      <c r="F1" s="12" t="s">
        <v>5</v>
      </c>
      <c r="G1" s="12" t="s">
        <v>6</v>
      </c>
      <c r="H1" s="12" t="s">
        <v>7</v>
      </c>
    </row>
    <row r="2" spans="1:8" x14ac:dyDescent="0.25">
      <c r="A2" s="13" t="s">
        <v>1085</v>
      </c>
      <c r="B2" s="13" t="s">
        <v>1086</v>
      </c>
      <c r="C2" s="13"/>
      <c r="D2" s="13"/>
      <c r="E2" s="13"/>
      <c r="F2" s="13"/>
      <c r="G2" s="13"/>
      <c r="H2" s="13"/>
    </row>
    <row r="3" spans="1:8" ht="105" customHeight="1" x14ac:dyDescent="0.25">
      <c r="A3" s="14" t="s">
        <v>1085</v>
      </c>
      <c r="B3" s="14" t="s">
        <v>1086</v>
      </c>
      <c r="C3" s="15" t="s">
        <v>1087</v>
      </c>
      <c r="D3" s="16" t="s">
        <v>1088</v>
      </c>
      <c r="E3" s="22">
        <v>1</v>
      </c>
      <c r="F3" s="18" t="s">
        <v>17</v>
      </c>
      <c r="G3" s="16" t="s">
        <v>1089</v>
      </c>
      <c r="H3" s="16" t="s">
        <v>1090</v>
      </c>
    </row>
    <row r="4" spans="1:8" ht="120" customHeight="1" x14ac:dyDescent="0.25">
      <c r="A4" s="19" t="s">
        <v>1085</v>
      </c>
      <c r="B4" s="19" t="s">
        <v>1086</v>
      </c>
      <c r="C4" s="20" t="s">
        <v>1091</v>
      </c>
      <c r="D4" s="21" t="s">
        <v>1092</v>
      </c>
      <c r="E4" s="17">
        <v>2</v>
      </c>
      <c r="F4" s="18" t="s">
        <v>17</v>
      </c>
      <c r="G4" s="21" t="s">
        <v>1093</v>
      </c>
      <c r="H4" s="21" t="s">
        <v>1094</v>
      </c>
    </row>
    <row r="5" spans="1:8" ht="150" customHeight="1" x14ac:dyDescent="0.25">
      <c r="A5" s="14" t="s">
        <v>1085</v>
      </c>
      <c r="B5" s="14" t="s">
        <v>1086</v>
      </c>
      <c r="C5" s="15" t="s">
        <v>1095</v>
      </c>
      <c r="D5" s="16" t="s">
        <v>1096</v>
      </c>
      <c r="E5" s="17">
        <v>2</v>
      </c>
      <c r="F5" s="18" t="s">
        <v>17</v>
      </c>
      <c r="G5" s="16" t="s">
        <v>1097</v>
      </c>
      <c r="H5" s="16" t="s">
        <v>1098</v>
      </c>
    </row>
    <row r="6" spans="1:8" ht="30" customHeight="1" x14ac:dyDescent="0.25">
      <c r="A6" s="19" t="s">
        <v>1085</v>
      </c>
      <c r="B6" s="19" t="s">
        <v>1086</v>
      </c>
      <c r="C6" s="20" t="s">
        <v>1099</v>
      </c>
      <c r="D6" s="21" t="s">
        <v>1100</v>
      </c>
      <c r="E6" s="23">
        <v>3</v>
      </c>
      <c r="F6" s="18" t="s">
        <v>26</v>
      </c>
      <c r="G6" s="21"/>
      <c r="H6" s="21"/>
    </row>
    <row r="7" spans="1:8" ht="255" customHeight="1" x14ac:dyDescent="0.25">
      <c r="A7" s="14" t="s">
        <v>1085</v>
      </c>
      <c r="B7" s="14" t="s">
        <v>1086</v>
      </c>
      <c r="C7" s="15" t="s">
        <v>1101</v>
      </c>
      <c r="D7" s="16" t="s">
        <v>1102</v>
      </c>
      <c r="E7" s="23">
        <v>3</v>
      </c>
      <c r="F7" s="18" t="s">
        <v>17</v>
      </c>
      <c r="G7" s="16" t="s">
        <v>1103</v>
      </c>
      <c r="H7" s="16" t="s">
        <v>1104</v>
      </c>
    </row>
    <row r="8" spans="1:8" x14ac:dyDescent="0.25">
      <c r="A8" s="13" t="s">
        <v>1105</v>
      </c>
      <c r="B8" s="13" t="s">
        <v>1106</v>
      </c>
      <c r="C8" s="13"/>
      <c r="D8" s="13"/>
      <c r="E8" s="13"/>
      <c r="F8" s="13"/>
      <c r="G8" s="13"/>
      <c r="H8" s="13"/>
    </row>
    <row r="9" spans="1:8" ht="150" customHeight="1" x14ac:dyDescent="0.25">
      <c r="A9" s="14" t="s">
        <v>1105</v>
      </c>
      <c r="B9" s="14" t="s">
        <v>1106</v>
      </c>
      <c r="C9" s="15" t="s">
        <v>1107</v>
      </c>
      <c r="D9" s="16" t="s">
        <v>1108</v>
      </c>
      <c r="E9" s="22">
        <v>1</v>
      </c>
      <c r="F9" s="18" t="s">
        <v>17</v>
      </c>
      <c r="G9" s="16" t="s">
        <v>1109</v>
      </c>
      <c r="H9" s="16" t="s">
        <v>1110</v>
      </c>
    </row>
    <row r="10" spans="1:8" ht="165" customHeight="1" x14ac:dyDescent="0.25">
      <c r="A10" s="19" t="s">
        <v>1105</v>
      </c>
      <c r="B10" s="19" t="s">
        <v>1106</v>
      </c>
      <c r="C10" s="20" t="s">
        <v>1111</v>
      </c>
      <c r="D10" s="21" t="s">
        <v>1112</v>
      </c>
      <c r="E10" s="17">
        <v>2</v>
      </c>
      <c r="F10" s="18" t="s">
        <v>12</v>
      </c>
      <c r="G10" s="21" t="s">
        <v>1113</v>
      </c>
      <c r="H10" s="21" t="s">
        <v>1114</v>
      </c>
    </row>
    <row r="11" spans="1:8" ht="150" customHeight="1" x14ac:dyDescent="0.25">
      <c r="A11" s="14" t="s">
        <v>1105</v>
      </c>
      <c r="B11" s="14" t="s">
        <v>1106</v>
      </c>
      <c r="C11" s="15" t="s">
        <v>1115</v>
      </c>
      <c r="D11" s="16" t="s">
        <v>1116</v>
      </c>
      <c r="E11" s="17">
        <v>2</v>
      </c>
      <c r="F11" s="18" t="s">
        <v>17</v>
      </c>
      <c r="G11" s="16" t="s">
        <v>1117</v>
      </c>
      <c r="H11" s="16" t="s">
        <v>1118</v>
      </c>
    </row>
    <row r="12" spans="1:8" ht="60" customHeight="1" x14ac:dyDescent="0.25">
      <c r="A12" s="19" t="s">
        <v>1105</v>
      </c>
      <c r="B12" s="19" t="s">
        <v>1106</v>
      </c>
      <c r="C12" s="20" t="s">
        <v>1119</v>
      </c>
      <c r="D12" s="21" t="s">
        <v>1120</v>
      </c>
      <c r="E12" s="23">
        <v>3</v>
      </c>
      <c r="F12" s="18" t="s">
        <v>26</v>
      </c>
      <c r="G12" s="21"/>
      <c r="H12" s="21"/>
    </row>
    <row r="13" spans="1:8" ht="285" customHeight="1" x14ac:dyDescent="0.25">
      <c r="A13" s="14" t="s">
        <v>1105</v>
      </c>
      <c r="B13" s="14" t="s">
        <v>1106</v>
      </c>
      <c r="C13" s="15" t="s">
        <v>1121</v>
      </c>
      <c r="D13" s="16" t="s">
        <v>1122</v>
      </c>
      <c r="E13" s="23">
        <v>3</v>
      </c>
      <c r="F13" s="18" t="s">
        <v>12</v>
      </c>
      <c r="G13" s="16" t="s">
        <v>1123</v>
      </c>
      <c r="H13" s="16" t="s">
        <v>1124</v>
      </c>
    </row>
    <row r="14" spans="1:8" x14ac:dyDescent="0.25">
      <c r="A14" s="13" t="s">
        <v>1125</v>
      </c>
      <c r="B14" s="13" t="s">
        <v>1126</v>
      </c>
      <c r="C14" s="13"/>
      <c r="D14" s="13"/>
      <c r="E14" s="13"/>
      <c r="F14" s="13"/>
      <c r="G14" s="13"/>
      <c r="H14" s="13"/>
    </row>
    <row r="15" spans="1:8" ht="165" customHeight="1" x14ac:dyDescent="0.25">
      <c r="A15" s="14" t="s">
        <v>1125</v>
      </c>
      <c r="B15" s="14" t="s">
        <v>1126</v>
      </c>
      <c r="C15" s="15" t="s">
        <v>1127</v>
      </c>
      <c r="D15" s="16" t="s">
        <v>1128</v>
      </c>
      <c r="E15" s="22">
        <v>1</v>
      </c>
      <c r="F15" s="18" t="s">
        <v>12</v>
      </c>
      <c r="G15" s="16" t="s">
        <v>1129</v>
      </c>
      <c r="H15" s="16" t="s">
        <v>1130</v>
      </c>
    </row>
    <row r="16" spans="1:8" ht="135" customHeight="1" x14ac:dyDescent="0.25">
      <c r="A16" s="19" t="s">
        <v>1125</v>
      </c>
      <c r="B16" s="19" t="s">
        <v>1126</v>
      </c>
      <c r="C16" s="20" t="s">
        <v>1131</v>
      </c>
      <c r="D16" s="21" t="s">
        <v>1132</v>
      </c>
      <c r="E16" s="17">
        <v>2</v>
      </c>
      <c r="F16" s="18" t="s">
        <v>17</v>
      </c>
      <c r="G16" s="21" t="s">
        <v>1133</v>
      </c>
      <c r="H16" s="21" t="s">
        <v>1134</v>
      </c>
    </row>
    <row r="17" spans="1:8" ht="165" customHeight="1" x14ac:dyDescent="0.25">
      <c r="A17" s="14" t="s">
        <v>1125</v>
      </c>
      <c r="B17" s="14" t="s">
        <v>1126</v>
      </c>
      <c r="C17" s="15" t="s">
        <v>1135</v>
      </c>
      <c r="D17" s="16" t="s">
        <v>1136</v>
      </c>
      <c r="E17" s="17">
        <v>2</v>
      </c>
      <c r="F17" s="18" t="s">
        <v>12</v>
      </c>
      <c r="G17" s="16" t="s">
        <v>1137</v>
      </c>
      <c r="H17" s="16" t="s">
        <v>1138</v>
      </c>
    </row>
    <row r="18" spans="1:8" ht="165" customHeight="1" x14ac:dyDescent="0.25">
      <c r="A18" s="19" t="s">
        <v>1125</v>
      </c>
      <c r="B18" s="19" t="s">
        <v>1126</v>
      </c>
      <c r="C18" s="20" t="s">
        <v>1139</v>
      </c>
      <c r="D18" s="21" t="s">
        <v>1140</v>
      </c>
      <c r="E18" s="17">
        <v>2</v>
      </c>
      <c r="F18" s="18" t="s">
        <v>17</v>
      </c>
      <c r="G18" s="21" t="s">
        <v>1141</v>
      </c>
      <c r="H18" s="21" t="s">
        <v>1142</v>
      </c>
    </row>
    <row r="19" spans="1:8" ht="135" customHeight="1" x14ac:dyDescent="0.25">
      <c r="A19" s="14" t="s">
        <v>1125</v>
      </c>
      <c r="B19" s="14" t="s">
        <v>1126</v>
      </c>
      <c r="C19" s="15" t="s">
        <v>1143</v>
      </c>
      <c r="D19" s="16" t="s">
        <v>1144</v>
      </c>
      <c r="E19" s="17">
        <v>2</v>
      </c>
      <c r="F19" s="18" t="s">
        <v>12</v>
      </c>
      <c r="G19" s="16" t="s">
        <v>1145</v>
      </c>
      <c r="H19" s="16" t="s">
        <v>1146</v>
      </c>
    </row>
    <row r="20" spans="1:8" ht="105" customHeight="1" x14ac:dyDescent="0.25">
      <c r="A20" s="19" t="s">
        <v>1125</v>
      </c>
      <c r="B20" s="19" t="s">
        <v>1126</v>
      </c>
      <c r="C20" s="20" t="s">
        <v>1147</v>
      </c>
      <c r="D20" s="21" t="s">
        <v>1148</v>
      </c>
      <c r="E20" s="17">
        <v>2</v>
      </c>
      <c r="F20" s="18" t="s">
        <v>26</v>
      </c>
      <c r="G20" s="21" t="s">
        <v>1149</v>
      </c>
      <c r="H20" s="21"/>
    </row>
    <row r="21" spans="1:8" ht="165" customHeight="1" x14ac:dyDescent="0.25">
      <c r="A21" s="14" t="s">
        <v>1125</v>
      </c>
      <c r="B21" s="14" t="s">
        <v>1126</v>
      </c>
      <c r="C21" s="15" t="s">
        <v>1150</v>
      </c>
      <c r="D21" s="16" t="s">
        <v>1151</v>
      </c>
      <c r="E21" s="17">
        <v>2</v>
      </c>
      <c r="F21" s="18" t="s">
        <v>12</v>
      </c>
      <c r="G21" s="16" t="s">
        <v>1152</v>
      </c>
      <c r="H21" s="16" t="s">
        <v>1153</v>
      </c>
    </row>
    <row r="22" spans="1:8" x14ac:dyDescent="0.25">
      <c r="A22" s="13" t="s">
        <v>1154</v>
      </c>
      <c r="B22" s="13" t="s">
        <v>1155</v>
      </c>
      <c r="C22" s="13"/>
      <c r="D22" s="13"/>
      <c r="E22" s="13"/>
      <c r="F22" s="13"/>
      <c r="G22" s="13"/>
      <c r="H22" s="13"/>
    </row>
    <row r="23" spans="1:8" ht="75" customHeight="1" x14ac:dyDescent="0.25">
      <c r="A23" s="14" t="s">
        <v>1154</v>
      </c>
      <c r="B23" s="14" t="s">
        <v>1155</v>
      </c>
      <c r="C23" s="15" t="s">
        <v>1156</v>
      </c>
      <c r="D23" s="16" t="s">
        <v>1157</v>
      </c>
      <c r="E23" s="23">
        <v>3</v>
      </c>
      <c r="F23" s="18" t="s">
        <v>26</v>
      </c>
      <c r="G23" s="16"/>
      <c r="H23" s="16"/>
    </row>
    <row r="24" spans="1:8" ht="90" customHeight="1" x14ac:dyDescent="0.25">
      <c r="A24" s="19" t="s">
        <v>1154</v>
      </c>
      <c r="B24" s="19" t="s">
        <v>1155</v>
      </c>
      <c r="C24" s="20" t="s">
        <v>1158</v>
      </c>
      <c r="D24" s="21" t="s">
        <v>1159</v>
      </c>
      <c r="E24" s="23">
        <v>3</v>
      </c>
      <c r="F24" s="18" t="s">
        <v>26</v>
      </c>
      <c r="G24" s="21"/>
      <c r="H24" s="21"/>
    </row>
    <row r="25" spans="1:8" ht="75" customHeight="1" x14ac:dyDescent="0.25">
      <c r="A25" s="14" t="s">
        <v>1154</v>
      </c>
      <c r="B25" s="14" t="s">
        <v>1155</v>
      </c>
      <c r="C25" s="15" t="s">
        <v>1160</v>
      </c>
      <c r="D25" s="16" t="s">
        <v>1161</v>
      </c>
      <c r="E25" s="23">
        <v>3</v>
      </c>
      <c r="F25" s="18" t="s">
        <v>26</v>
      </c>
      <c r="G25" s="16"/>
      <c r="H25" s="16"/>
    </row>
    <row r="26" spans="1:8" ht="60" customHeight="1" x14ac:dyDescent="0.25">
      <c r="A26" s="19" t="s">
        <v>1154</v>
      </c>
      <c r="B26" s="19" t="s">
        <v>1155</v>
      </c>
      <c r="C26" s="20" t="s">
        <v>1162</v>
      </c>
      <c r="D26" s="21" t="s">
        <v>1163</v>
      </c>
      <c r="E26" s="23">
        <v>3</v>
      </c>
      <c r="F26" s="18" t="s">
        <v>26</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0</v>
      </c>
      <c r="B1" s="12" t="s">
        <v>1</v>
      </c>
      <c r="C1" s="12" t="s">
        <v>2</v>
      </c>
      <c r="D1" s="12" t="s">
        <v>3</v>
      </c>
      <c r="E1" s="12" t="s">
        <v>4</v>
      </c>
      <c r="F1" s="12" t="s">
        <v>5</v>
      </c>
      <c r="G1" s="12" t="s">
        <v>6</v>
      </c>
      <c r="H1" s="12" t="s">
        <v>7</v>
      </c>
    </row>
    <row r="2" spans="1:8" x14ac:dyDescent="0.25">
      <c r="A2" s="13" t="s">
        <v>1164</v>
      </c>
      <c r="B2" s="13" t="s">
        <v>1165</v>
      </c>
      <c r="C2" s="13"/>
      <c r="D2" s="13"/>
      <c r="E2" s="13"/>
      <c r="F2" s="13"/>
      <c r="G2" s="13"/>
      <c r="H2" s="13"/>
    </row>
    <row r="3" spans="1:8" ht="195" customHeight="1" x14ac:dyDescent="0.25">
      <c r="A3" s="14" t="s">
        <v>1164</v>
      </c>
      <c r="B3" s="14" t="s">
        <v>1165</v>
      </c>
      <c r="C3" s="15" t="s">
        <v>1166</v>
      </c>
      <c r="D3" s="16" t="s">
        <v>1167</v>
      </c>
      <c r="E3" s="17">
        <v>2</v>
      </c>
      <c r="F3" s="18" t="s">
        <v>17</v>
      </c>
      <c r="G3" s="16" t="s">
        <v>1168</v>
      </c>
      <c r="H3" s="16" t="s">
        <v>1169</v>
      </c>
    </row>
    <row r="4" spans="1:8" x14ac:dyDescent="0.25">
      <c r="A4" s="13" t="s">
        <v>1170</v>
      </c>
      <c r="B4" s="13" t="s">
        <v>1171</v>
      </c>
      <c r="C4" s="13"/>
      <c r="D4" s="13"/>
      <c r="E4" s="13"/>
      <c r="F4" s="13"/>
      <c r="G4" s="13"/>
      <c r="H4" s="13"/>
    </row>
    <row r="5" spans="1:8" ht="150" customHeight="1" x14ac:dyDescent="0.25">
      <c r="A5" s="14" t="s">
        <v>1170</v>
      </c>
      <c r="B5" s="14" t="s">
        <v>1171</v>
      </c>
      <c r="C5" s="15" t="s">
        <v>1172</v>
      </c>
      <c r="D5" s="16" t="s">
        <v>1173</v>
      </c>
      <c r="E5" s="17">
        <v>2</v>
      </c>
      <c r="F5" s="18" t="s">
        <v>17</v>
      </c>
      <c r="G5" s="16" t="s">
        <v>1174</v>
      </c>
      <c r="H5" s="16" t="s">
        <v>1175</v>
      </c>
    </row>
    <row r="6" spans="1:8" ht="180" customHeight="1" x14ac:dyDescent="0.25">
      <c r="A6" s="19" t="s">
        <v>1170</v>
      </c>
      <c r="B6" s="19" t="s">
        <v>1171</v>
      </c>
      <c r="C6" s="20" t="s">
        <v>1176</v>
      </c>
      <c r="D6" s="21" t="s">
        <v>1177</v>
      </c>
      <c r="E6" s="17">
        <v>2</v>
      </c>
      <c r="F6" s="18" t="s">
        <v>12</v>
      </c>
      <c r="G6" s="21" t="s">
        <v>1178</v>
      </c>
      <c r="H6" s="21" t="s">
        <v>1179</v>
      </c>
    </row>
    <row r="7" spans="1:8" ht="135" customHeight="1" x14ac:dyDescent="0.25">
      <c r="A7" s="14" t="s">
        <v>1170</v>
      </c>
      <c r="B7" s="14" t="s">
        <v>1171</v>
      </c>
      <c r="C7" s="15" t="s">
        <v>1180</v>
      </c>
      <c r="D7" s="16" t="s">
        <v>1181</v>
      </c>
      <c r="E7" s="17">
        <v>2</v>
      </c>
      <c r="F7" s="18" t="s">
        <v>12</v>
      </c>
      <c r="G7" s="16" t="s">
        <v>1182</v>
      </c>
      <c r="H7" s="16" t="s">
        <v>1183</v>
      </c>
    </row>
    <row r="8" spans="1:8" ht="165" customHeight="1" x14ac:dyDescent="0.25">
      <c r="A8" s="19" t="s">
        <v>1170</v>
      </c>
      <c r="B8" s="19" t="s">
        <v>1171</v>
      </c>
      <c r="C8" s="20" t="s">
        <v>1184</v>
      </c>
      <c r="D8" s="21" t="s">
        <v>1185</v>
      </c>
      <c r="E8" s="17">
        <v>2</v>
      </c>
      <c r="F8" s="18" t="s">
        <v>17</v>
      </c>
      <c r="G8" s="21" t="s">
        <v>1186</v>
      </c>
      <c r="H8" s="21" t="s">
        <v>1187</v>
      </c>
    </row>
    <row r="9" spans="1:8" ht="210" customHeight="1" x14ac:dyDescent="0.25">
      <c r="A9" s="14" t="s">
        <v>1170</v>
      </c>
      <c r="B9" s="14" t="s">
        <v>1171</v>
      </c>
      <c r="C9" s="15" t="s">
        <v>1188</v>
      </c>
      <c r="D9" s="16" t="s">
        <v>1189</v>
      </c>
      <c r="E9" s="17">
        <v>2</v>
      </c>
      <c r="F9" s="18" t="s">
        <v>17</v>
      </c>
      <c r="G9" s="16" t="s">
        <v>1190</v>
      </c>
      <c r="H9" s="16" t="s">
        <v>1191</v>
      </c>
    </row>
    <row r="10" spans="1:8" x14ac:dyDescent="0.25">
      <c r="A10" s="13" t="s">
        <v>1192</v>
      </c>
      <c r="B10" s="13" t="s">
        <v>1193</v>
      </c>
      <c r="C10" s="13"/>
      <c r="D10" s="13"/>
      <c r="E10" s="13"/>
      <c r="F10" s="13"/>
      <c r="G10" s="13"/>
      <c r="H10" s="13"/>
    </row>
    <row r="11" spans="1:8" ht="210" customHeight="1" x14ac:dyDescent="0.25">
      <c r="A11" s="14" t="s">
        <v>1192</v>
      </c>
      <c r="B11" s="14" t="s">
        <v>1193</v>
      </c>
      <c r="C11" s="15" t="s">
        <v>1194</v>
      </c>
      <c r="D11" s="16" t="s">
        <v>1195</v>
      </c>
      <c r="E11" s="17">
        <v>2</v>
      </c>
      <c r="F11" s="18" t="s">
        <v>17</v>
      </c>
      <c r="G11" s="16" t="s">
        <v>1196</v>
      </c>
      <c r="H11" s="16" t="s">
        <v>1197</v>
      </c>
    </row>
    <row r="12" spans="1:8" ht="180" customHeight="1" x14ac:dyDescent="0.25">
      <c r="A12" s="19" t="s">
        <v>1192</v>
      </c>
      <c r="B12" s="19" t="s">
        <v>1193</v>
      </c>
      <c r="C12" s="20" t="s">
        <v>1198</v>
      </c>
      <c r="D12" s="21" t="s">
        <v>1199</v>
      </c>
      <c r="E12" s="17">
        <v>2</v>
      </c>
      <c r="F12" s="18" t="s">
        <v>12</v>
      </c>
      <c r="G12" s="21" t="s">
        <v>1200</v>
      </c>
      <c r="H12" s="21" t="s">
        <v>1201</v>
      </c>
    </row>
    <row r="13" spans="1:8" ht="165" customHeight="1" x14ac:dyDescent="0.25">
      <c r="A13" s="14" t="s">
        <v>1192</v>
      </c>
      <c r="B13" s="14" t="s">
        <v>1193</v>
      </c>
      <c r="C13" s="15" t="s">
        <v>1202</v>
      </c>
      <c r="D13" s="16" t="s">
        <v>1203</v>
      </c>
      <c r="E13" s="17">
        <v>2</v>
      </c>
      <c r="F13" s="18" t="s">
        <v>17</v>
      </c>
      <c r="G13" s="16" t="s">
        <v>1204</v>
      </c>
      <c r="H13" s="16" t="s">
        <v>1205</v>
      </c>
    </row>
    <row r="14" spans="1:8" ht="180" customHeight="1" x14ac:dyDescent="0.25">
      <c r="A14" s="19" t="s">
        <v>1192</v>
      </c>
      <c r="B14" s="19" t="s">
        <v>1193</v>
      </c>
      <c r="C14" s="20" t="s">
        <v>1206</v>
      </c>
      <c r="D14" s="21" t="s">
        <v>1207</v>
      </c>
      <c r="E14" s="17">
        <v>2</v>
      </c>
      <c r="F14" s="18" t="s">
        <v>26</v>
      </c>
      <c r="G14" s="21" t="s">
        <v>1208</v>
      </c>
      <c r="H14" s="21"/>
    </row>
    <row r="15" spans="1:8" x14ac:dyDescent="0.25">
      <c r="A15" s="13" t="s">
        <v>1209</v>
      </c>
      <c r="B15" s="13" t="s">
        <v>1210</v>
      </c>
      <c r="C15" s="13"/>
      <c r="D15" s="13"/>
      <c r="E15" s="13"/>
      <c r="F15" s="13"/>
      <c r="G15" s="13"/>
      <c r="H15" s="13"/>
    </row>
    <row r="16" spans="1:8" ht="195" customHeight="1" x14ac:dyDescent="0.25">
      <c r="A16" s="14" t="s">
        <v>1209</v>
      </c>
      <c r="B16" s="14" t="s">
        <v>1210</v>
      </c>
      <c r="C16" s="15" t="s">
        <v>1211</v>
      </c>
      <c r="D16" s="16" t="s">
        <v>1212</v>
      </c>
      <c r="E16" s="17">
        <v>2</v>
      </c>
      <c r="F16" s="18" t="s">
        <v>17</v>
      </c>
      <c r="G16" s="16" t="s">
        <v>1213</v>
      </c>
      <c r="H16" s="16" t="s">
        <v>1214</v>
      </c>
    </row>
    <row r="17" spans="1:8" ht="165" customHeight="1" x14ac:dyDescent="0.25">
      <c r="A17" s="19" t="s">
        <v>1209</v>
      </c>
      <c r="B17" s="19" t="s">
        <v>1210</v>
      </c>
      <c r="C17" s="20" t="s">
        <v>1215</v>
      </c>
      <c r="D17" s="21" t="s">
        <v>1216</v>
      </c>
      <c r="E17" s="17">
        <v>2</v>
      </c>
      <c r="F17" s="18" t="s">
        <v>17</v>
      </c>
      <c r="G17" s="21" t="s">
        <v>1217</v>
      </c>
      <c r="H17" s="21" t="s">
        <v>1218</v>
      </c>
    </row>
    <row r="18" spans="1:8" ht="150" customHeight="1" x14ac:dyDescent="0.25">
      <c r="A18" s="14" t="s">
        <v>1209</v>
      </c>
      <c r="B18" s="14" t="s">
        <v>1210</v>
      </c>
      <c r="C18" s="15" t="s">
        <v>1219</v>
      </c>
      <c r="D18" s="16" t="s">
        <v>1220</v>
      </c>
      <c r="E18" s="17">
        <v>2</v>
      </c>
      <c r="F18" s="18" t="s">
        <v>26</v>
      </c>
      <c r="G18" s="16" t="s">
        <v>1221</v>
      </c>
      <c r="H18" s="16"/>
    </row>
    <row r="19" spans="1:8" x14ac:dyDescent="0.25">
      <c r="A19" s="13" t="s">
        <v>1222</v>
      </c>
      <c r="B19" s="13" t="s">
        <v>1223</v>
      </c>
      <c r="C19" s="13"/>
      <c r="D19" s="13"/>
      <c r="E19" s="13"/>
      <c r="F19" s="13"/>
      <c r="G19" s="13"/>
      <c r="H19" s="13"/>
    </row>
    <row r="20" spans="1:8" ht="180" customHeight="1" x14ac:dyDescent="0.25">
      <c r="A20" s="14" t="s">
        <v>1222</v>
      </c>
      <c r="B20" s="14" t="s">
        <v>1223</v>
      </c>
      <c r="C20" s="15" t="s">
        <v>1224</v>
      </c>
      <c r="D20" s="16" t="s">
        <v>1225</v>
      </c>
      <c r="E20" s="17">
        <v>2</v>
      </c>
      <c r="F20" s="18" t="s">
        <v>12</v>
      </c>
      <c r="G20" s="16" t="s">
        <v>1226</v>
      </c>
      <c r="H20" s="16" t="s">
        <v>1227</v>
      </c>
    </row>
    <row r="21" spans="1:8" ht="195" customHeight="1" x14ac:dyDescent="0.25">
      <c r="A21" s="19" t="s">
        <v>1222</v>
      </c>
      <c r="B21" s="19" t="s">
        <v>1223</v>
      </c>
      <c r="C21" s="20" t="s">
        <v>1228</v>
      </c>
      <c r="D21" s="21" t="s">
        <v>1229</v>
      </c>
      <c r="E21" s="17">
        <v>2</v>
      </c>
      <c r="F21" s="18" t="s">
        <v>17</v>
      </c>
      <c r="G21" s="21" t="s">
        <v>1230</v>
      </c>
      <c r="H21" s="21" t="s">
        <v>1231</v>
      </c>
    </row>
    <row r="22" spans="1:8" ht="195" customHeight="1" x14ac:dyDescent="0.25">
      <c r="A22" s="14" t="s">
        <v>1222</v>
      </c>
      <c r="B22" s="14" t="s">
        <v>1223</v>
      </c>
      <c r="C22" s="15" t="s">
        <v>1232</v>
      </c>
      <c r="D22" s="16" t="s">
        <v>1233</v>
      </c>
      <c r="E22" s="17">
        <v>2</v>
      </c>
      <c r="F22" s="18" t="s">
        <v>12</v>
      </c>
      <c r="G22" s="16" t="s">
        <v>1234</v>
      </c>
      <c r="H22" s="16" t="s">
        <v>1235</v>
      </c>
    </row>
    <row r="23" spans="1:8" ht="225" customHeight="1" x14ac:dyDescent="0.25">
      <c r="A23" s="19" t="s">
        <v>1222</v>
      </c>
      <c r="B23" s="19" t="s">
        <v>1223</v>
      </c>
      <c r="C23" s="20" t="s">
        <v>1236</v>
      </c>
      <c r="D23" s="21" t="s">
        <v>1237</v>
      </c>
      <c r="E23" s="23">
        <v>3</v>
      </c>
      <c r="F23" s="18" t="s">
        <v>12</v>
      </c>
      <c r="G23" s="21" t="s">
        <v>1238</v>
      </c>
      <c r="H23" s="21" t="s">
        <v>1239</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0</v>
      </c>
      <c r="B1" s="12" t="s">
        <v>1</v>
      </c>
      <c r="C1" s="12" t="s">
        <v>2</v>
      </c>
      <c r="D1" s="12" t="s">
        <v>3</v>
      </c>
      <c r="E1" s="12" t="s">
        <v>4</v>
      </c>
      <c r="F1" s="12" t="s">
        <v>5</v>
      </c>
      <c r="G1" s="12" t="s">
        <v>6</v>
      </c>
      <c r="H1" s="12" t="s">
        <v>7</v>
      </c>
    </row>
    <row r="2" spans="1:8" x14ac:dyDescent="0.25">
      <c r="A2" s="13" t="s">
        <v>1240</v>
      </c>
      <c r="B2" s="13" t="s">
        <v>1241</v>
      </c>
      <c r="C2" s="13"/>
      <c r="D2" s="13"/>
      <c r="E2" s="13"/>
      <c r="F2" s="13"/>
      <c r="G2" s="13"/>
      <c r="H2" s="13"/>
    </row>
    <row r="3" spans="1:8" ht="60" customHeight="1" x14ac:dyDescent="0.25">
      <c r="A3" s="14" t="s">
        <v>1240</v>
      </c>
      <c r="B3" s="14" t="s">
        <v>1241</v>
      </c>
      <c r="C3" s="15" t="s">
        <v>1242</v>
      </c>
      <c r="D3" s="16" t="s">
        <v>1243</v>
      </c>
      <c r="E3" s="17">
        <v>2</v>
      </c>
      <c r="F3" s="18" t="s">
        <v>26</v>
      </c>
      <c r="G3" s="16" t="s">
        <v>1244</v>
      </c>
      <c r="H3" s="16"/>
    </row>
    <row r="4" spans="1:8" ht="45" customHeight="1" x14ac:dyDescent="0.25">
      <c r="A4" s="19" t="s">
        <v>1240</v>
      </c>
      <c r="B4" s="19" t="s">
        <v>1241</v>
      </c>
      <c r="C4" s="20" t="s">
        <v>1245</v>
      </c>
      <c r="D4" s="21" t="s">
        <v>1246</v>
      </c>
      <c r="E4" s="23">
        <v>3</v>
      </c>
      <c r="F4" s="18" t="s">
        <v>26</v>
      </c>
      <c r="G4" s="21" t="s">
        <v>1247</v>
      </c>
      <c r="H4" s="21"/>
    </row>
    <row r="5" spans="1:8" x14ac:dyDescent="0.25">
      <c r="A5" s="13" t="s">
        <v>1248</v>
      </c>
      <c r="B5" s="13" t="s">
        <v>1249</v>
      </c>
      <c r="C5" s="13"/>
      <c r="D5" s="13"/>
      <c r="E5" s="13"/>
      <c r="F5" s="13"/>
      <c r="G5" s="13"/>
      <c r="H5" s="13"/>
    </row>
    <row r="6" spans="1:8" ht="60" customHeight="1" x14ac:dyDescent="0.25">
      <c r="A6" s="14" t="s">
        <v>1248</v>
      </c>
      <c r="B6" s="14" t="s">
        <v>1249</v>
      </c>
      <c r="C6" s="15" t="s">
        <v>1250</v>
      </c>
      <c r="D6" s="16" t="s">
        <v>1251</v>
      </c>
      <c r="E6" s="17">
        <v>2</v>
      </c>
      <c r="F6" s="18" t="s">
        <v>26</v>
      </c>
      <c r="G6" s="16" t="s">
        <v>1252</v>
      </c>
      <c r="H6" s="16"/>
    </row>
    <row r="7" spans="1:8" ht="75" customHeight="1" x14ac:dyDescent="0.25">
      <c r="A7" s="19" t="s">
        <v>1248</v>
      </c>
      <c r="B7" s="19" t="s">
        <v>1249</v>
      </c>
      <c r="C7" s="20" t="s">
        <v>1253</v>
      </c>
      <c r="D7" s="21" t="s">
        <v>1254</v>
      </c>
      <c r="E7" s="17">
        <v>2</v>
      </c>
      <c r="F7" s="18" t="s">
        <v>26</v>
      </c>
      <c r="G7" s="21" t="s">
        <v>1255</v>
      </c>
      <c r="H7" s="21"/>
    </row>
    <row r="8" spans="1:8" ht="75" customHeight="1" x14ac:dyDescent="0.25">
      <c r="A8" s="14" t="s">
        <v>1248</v>
      </c>
      <c r="B8" s="14" t="s">
        <v>1249</v>
      </c>
      <c r="C8" s="15" t="s">
        <v>1256</v>
      </c>
      <c r="D8" s="16" t="s">
        <v>1257</v>
      </c>
      <c r="E8" s="17">
        <v>2</v>
      </c>
      <c r="F8" s="18" t="s">
        <v>26</v>
      </c>
      <c r="G8" s="16" t="s">
        <v>1258</v>
      </c>
      <c r="H8" s="16"/>
    </row>
    <row r="9" spans="1:8" ht="45" customHeight="1" x14ac:dyDescent="0.25">
      <c r="A9" s="19" t="s">
        <v>1248</v>
      </c>
      <c r="B9" s="19" t="s">
        <v>1249</v>
      </c>
      <c r="C9" s="20" t="s">
        <v>1259</v>
      </c>
      <c r="D9" s="21" t="s">
        <v>1260</v>
      </c>
      <c r="E9" s="17">
        <v>2</v>
      </c>
      <c r="F9" s="18" t="s">
        <v>26</v>
      </c>
      <c r="G9" s="21" t="s">
        <v>1261</v>
      </c>
      <c r="H9" s="21"/>
    </row>
    <row r="10" spans="1:8" ht="45" customHeight="1" x14ac:dyDescent="0.25">
      <c r="A10" s="14" t="s">
        <v>1248</v>
      </c>
      <c r="B10" s="14" t="s">
        <v>1249</v>
      </c>
      <c r="C10" s="15" t="s">
        <v>1262</v>
      </c>
      <c r="D10" s="16" t="s">
        <v>1263</v>
      </c>
      <c r="E10" s="23">
        <v>3</v>
      </c>
      <c r="F10" s="18" t="s">
        <v>26</v>
      </c>
      <c r="G10" s="16" t="s">
        <v>1264</v>
      </c>
      <c r="H10" s="16"/>
    </row>
    <row r="11" spans="1:8" ht="60" customHeight="1" x14ac:dyDescent="0.25">
      <c r="A11" s="19" t="s">
        <v>1248</v>
      </c>
      <c r="B11" s="19" t="s">
        <v>1249</v>
      </c>
      <c r="C11" s="20" t="s">
        <v>1265</v>
      </c>
      <c r="D11" s="21" t="s">
        <v>1266</v>
      </c>
      <c r="E11" s="23">
        <v>3</v>
      </c>
      <c r="F11" s="18" t="s">
        <v>26</v>
      </c>
      <c r="G11" s="21" t="s">
        <v>1267</v>
      </c>
      <c r="H11" s="21"/>
    </row>
    <row r="12" spans="1:8" ht="60" customHeight="1" x14ac:dyDescent="0.25">
      <c r="A12" s="14" t="s">
        <v>1248</v>
      </c>
      <c r="B12" s="14" t="s">
        <v>1249</v>
      </c>
      <c r="C12" s="15" t="s">
        <v>1268</v>
      </c>
      <c r="D12" s="16" t="s">
        <v>1269</v>
      </c>
      <c r="E12" s="23">
        <v>3</v>
      </c>
      <c r="F12" s="18" t="s">
        <v>26</v>
      </c>
      <c r="G12" s="16" t="s">
        <v>1270</v>
      </c>
      <c r="H12" s="16"/>
    </row>
    <row r="13" spans="1:8" ht="60" customHeight="1" x14ac:dyDescent="0.25">
      <c r="A13" s="19" t="s">
        <v>1248</v>
      </c>
      <c r="B13" s="19" t="s">
        <v>1249</v>
      </c>
      <c r="C13" s="20" t="s">
        <v>1271</v>
      </c>
      <c r="D13" s="21" t="s">
        <v>1272</v>
      </c>
      <c r="E13" s="23">
        <v>3</v>
      </c>
      <c r="F13" s="18" t="s">
        <v>26</v>
      </c>
      <c r="G13" s="21" t="s">
        <v>1273</v>
      </c>
      <c r="H13" s="21"/>
    </row>
    <row r="14" spans="1:8" x14ac:dyDescent="0.25">
      <c r="A14" s="13" t="s">
        <v>1274</v>
      </c>
      <c r="B14" s="13" t="s">
        <v>1275</v>
      </c>
      <c r="C14" s="13"/>
      <c r="D14" s="13"/>
      <c r="E14" s="13"/>
      <c r="F14" s="13"/>
      <c r="G14" s="13"/>
      <c r="H14" s="13"/>
    </row>
    <row r="15" spans="1:8" ht="60" customHeight="1" x14ac:dyDescent="0.25">
      <c r="A15" s="14" t="s">
        <v>1274</v>
      </c>
      <c r="B15" s="14" t="s">
        <v>1275</v>
      </c>
      <c r="C15" s="15" t="s">
        <v>1276</v>
      </c>
      <c r="D15" s="16" t="s">
        <v>1277</v>
      </c>
      <c r="E15" s="17">
        <v>2</v>
      </c>
      <c r="F15" s="18" t="s">
        <v>26</v>
      </c>
      <c r="G15" s="16" t="s">
        <v>1278</v>
      </c>
      <c r="H15" s="16"/>
    </row>
    <row r="16" spans="1:8" ht="90" customHeight="1" x14ac:dyDescent="0.25">
      <c r="A16" s="19" t="s">
        <v>1274</v>
      </c>
      <c r="B16" s="19" t="s">
        <v>1275</v>
      </c>
      <c r="C16" s="20" t="s">
        <v>1279</v>
      </c>
      <c r="D16" s="21" t="s">
        <v>1280</v>
      </c>
      <c r="E16" s="17">
        <v>2</v>
      </c>
      <c r="F16" s="18" t="s">
        <v>26</v>
      </c>
      <c r="G16" s="21" t="s">
        <v>1281</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Manuel Oliveira Pereira</cp:lastModifiedBy>
  <cp:revision>3</cp:revision>
  <cp:lastPrinted>2026-04-15T19:56:57Z</cp:lastPrinted>
  <dcterms:created xsi:type="dcterms:W3CDTF">2026-03-04T10:14:28Z</dcterms:created>
  <dcterms:modified xsi:type="dcterms:W3CDTF">2026-05-17T23:14:33Z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