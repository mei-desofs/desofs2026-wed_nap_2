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dmopm\IdeaProjects\desofs2026-wed_nap_2\Deliverables\"/>
    </mc:Choice>
  </mc:AlternateContent>
  <xr:revisionPtr revIDLastSave="0" documentId="13_ncr:1_{A5146C59-015F-4EE0-8FE4-0E3FF26EECD7}" xr6:coauthVersionLast="47" xr6:coauthVersionMax="47" xr10:uidLastSave="{00000000-0000-0000-0000-000000000000}"/>
  <bookViews>
    <workbookView xWindow="-120" yWindow="-120" windowWidth="29040" windowHeight="15720" tabRatio="500" firstSheet="2" activeTab="4"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1" l="1"/>
  <c r="F23" i="1"/>
  <c r="C23" i="1"/>
  <c r="B23" i="1"/>
  <c r="L22" i="1"/>
  <c r="M22" i="1" s="1"/>
  <c r="J22" i="1"/>
  <c r="K22" i="1" s="1"/>
  <c r="G22" i="1"/>
  <c r="H22" i="1" s="1"/>
  <c r="L21" i="1"/>
  <c r="M21" i="1" s="1"/>
  <c r="J21" i="1"/>
  <c r="K21" i="1" s="1"/>
  <c r="G21" i="1"/>
  <c r="H21" i="1" s="1"/>
  <c r="L20" i="1"/>
  <c r="M20" i="1" s="1"/>
  <c r="J20" i="1"/>
  <c r="K20" i="1" s="1"/>
  <c r="G20" i="1"/>
  <c r="H20" i="1" s="1"/>
  <c r="D20" i="1"/>
  <c r="E20" i="1" s="1"/>
  <c r="L19" i="1"/>
  <c r="M19" i="1" s="1"/>
  <c r="J19" i="1"/>
  <c r="K19" i="1" s="1"/>
  <c r="G19" i="1"/>
  <c r="H19" i="1" s="1"/>
  <c r="D19" i="1"/>
  <c r="E19" i="1" s="1"/>
  <c r="L18" i="1"/>
  <c r="M18" i="1" s="1"/>
  <c r="J18" i="1"/>
  <c r="K18" i="1" s="1"/>
  <c r="G18" i="1"/>
  <c r="H18" i="1" s="1"/>
  <c r="D18" i="1"/>
  <c r="E18" i="1" s="1"/>
  <c r="L17" i="1"/>
  <c r="M17" i="1" s="1"/>
  <c r="J17" i="1"/>
  <c r="K17" i="1" s="1"/>
  <c r="G17" i="1"/>
  <c r="H17" i="1" s="1"/>
  <c r="D17" i="1"/>
  <c r="E17" i="1" s="1"/>
  <c r="L16" i="1"/>
  <c r="M16" i="1" s="1"/>
  <c r="J16" i="1"/>
  <c r="K16" i="1" s="1"/>
  <c r="G16" i="1"/>
  <c r="H16" i="1" s="1"/>
  <c r="D16" i="1"/>
  <c r="E16" i="1" s="1"/>
  <c r="L15" i="1"/>
  <c r="M15" i="1" s="1"/>
  <c r="J15" i="1"/>
  <c r="K15" i="1" s="1"/>
  <c r="G15" i="1"/>
  <c r="H15" i="1" s="1"/>
  <c r="D15" i="1"/>
  <c r="E15" i="1" s="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E11" i="1" s="1"/>
  <c r="L10" i="1"/>
  <c r="M10" i="1" s="1"/>
  <c r="J10" i="1"/>
  <c r="K10" i="1" s="1"/>
  <c r="G10" i="1"/>
  <c r="H10" i="1" s="1"/>
  <c r="D10" i="1"/>
  <c r="E10" i="1" s="1"/>
  <c r="L9" i="1"/>
  <c r="M9" i="1" s="1"/>
  <c r="J9" i="1"/>
  <c r="K9" i="1" s="1"/>
  <c r="G9" i="1"/>
  <c r="H9" i="1" s="1"/>
  <c r="D9" i="1"/>
  <c r="E9" i="1" s="1"/>
  <c r="L8" i="1"/>
  <c r="M8" i="1" s="1"/>
  <c r="J8" i="1"/>
  <c r="K8" i="1" s="1"/>
  <c r="G8" i="1"/>
  <c r="H8" i="1" s="1"/>
  <c r="D8" i="1"/>
  <c r="E8" i="1" s="1"/>
  <c r="L7" i="1"/>
  <c r="M7" i="1" s="1"/>
  <c r="J7" i="1"/>
  <c r="K7" i="1" s="1"/>
  <c r="G7" i="1"/>
  <c r="H7" i="1" s="1"/>
  <c r="D7" i="1"/>
  <c r="E7" i="1" s="1"/>
  <c r="L6" i="1"/>
  <c r="L23" i="1" s="1"/>
  <c r="J6" i="1"/>
  <c r="J23" i="1" s="1"/>
  <c r="G6" i="1"/>
  <c r="G23" i="1" s="1"/>
  <c r="D6" i="1"/>
  <c r="E6" i="1" s="1"/>
  <c r="E23" i="1" s="1"/>
  <c r="D23" i="1" l="1"/>
  <c r="H6" i="1"/>
  <c r="H23" i="1" s="1"/>
  <c r="K6" i="1"/>
  <c r="K23" i="1" s="1"/>
  <c r="M6" i="1"/>
  <c r="M23" i="1" s="1"/>
</calcChain>
</file>

<file path=xl/sharedStrings.xml><?xml version="1.0" encoding="utf-8"?>
<sst xmlns="http://schemas.openxmlformats.org/spreadsheetml/2006/main" count="2447" uniqueCount="1283">
  <si>
    <t>Section ID</t>
  </si>
  <si>
    <t>Section Name</t>
  </si>
  <si>
    <t>Req ID</t>
  </si>
  <si>
    <t>Description</t>
  </si>
  <si>
    <t>Level</t>
  </si>
  <si>
    <t>Status</t>
  </si>
  <si>
    <t>Observations</t>
  </si>
  <si>
    <t>Reference / Link</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</si>
  <si>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</si>
  <si>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</si>
  <si>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</si>
  <si>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</si>
  <si>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In Progress</t>
  </si>
  <si>
    <t>The application must document how rate limiting, anti-automation, and adaptive response mechanisms are applied to authentication endpoints, particularly the login and registration flows.</t>
  </si>
  <si>
    <t>Api/src/main/.../Security/RateLimitFilter.java (Bucket4j, 20 req/min per IP); Security/SecurityAuditService.java (alert threshold at 10 events/window)</t>
  </si>
  <si>
    <t>V6.1.2</t>
  </si>
  <si>
    <t>Verify that a list of context-specific words is documented in order to prevent their use in passwords. The list could include permutations of organization names, product names, system identifiers, project codenames, department or role names, and similar.</t>
  </si>
  <si>
    <t>The application must maintain and enforce a list of context-specific words (e.g. "ArcadeHaven", "pixel", "vault", "admin") that cannot be used as passwords or as part of passwords.</t>
  </si>
  <si>
    <t>Api/src/main/.../Service/PasswordPolicyService.java (CONTEXT_BLOCKLIST: arcadehaven, arcade, haven, gaming, admin, gamer, password, etc.)</t>
  </si>
  <si>
    <t>V6.1.3</t>
  </si>
  <si>
    <t>Verify that, if the application includes multiple authentication pathways, these are all documented together with the security controls and authentication strength which must be consistently enforced across them.</t>
  </si>
  <si>
    <t>All authentication pathways must be documented together with their associated security controls. ArcadeHaven's JWT-based authentication flow must include documentation of token issuance, validation, expiration, and revocation mechanisms.</t>
  </si>
  <si>
    <t>Api/src/main/.../Service/AuthService.java (login, register, logout flows); Controller/AuthController.java; Security/SecurityConfig.java</t>
  </si>
  <si>
    <t>V6.2</t>
  </si>
  <si>
    <t>Password Security</t>
  </si>
  <si>
    <t>V6.2.1</t>
  </si>
  <si>
    <t>Verify that user set passwords are at least 8 characters in length although a minimum of 15 characters is strongly recommended.</t>
  </si>
  <si>
    <t>The application must enforce a minimum password length of 12 characters for all user-set passwords, validated server-side on registration and password change.</t>
  </si>
  <si>
    <t>Api/src/main/.../Dto/Request/RegisterRequest.java (@Size(min=12, max=128) on password field)</t>
  </si>
  <si>
    <t>V6.2.2</t>
  </si>
  <si>
    <t>Verify that users can change their password.</t>
  </si>
  <si>
    <t>The application must provide all authenticated users with the ability to change their own password through a dedicated and secured endpoint.</t>
  </si>
  <si>
    <t>Api/src/main/.../Controller/ProfileController.java (@PatchMapping /api/profile); Service/ProfileService.java (updateProfile)</t>
  </si>
  <si>
    <t>V6.2.3</t>
  </si>
  <si>
    <t>Verify that password change functionality requires the user's current and new password.</t>
  </si>
  <si>
    <t>The password change endpoint must require the user's current password and new password. The current password must be verified before the change is applied.</t>
  </si>
  <si>
    <t>V6.2.4</t>
  </si>
  <si>
    <t>Verify that passwords submitted during account registration or password change are checked against an available set of, at least, the top 3000 passwords which match the application's password policy, e.g. minimum length.</t>
  </si>
  <si>
    <t>The application must check all passwords submitted during registration or password change against a blocklist of at least the top 3000 most common passwords. Passwords found on the blocklist must be rejected with an appropriate error message.</t>
  </si>
  <si>
    <t>Api/src/main/.../Service/PasswordPolicyService.java (checkHibp: k-anonymity SHA-1 prefix HIBP check; checkCommonPasswords: 3000+ blocked passwords)</t>
  </si>
  <si>
    <t>V6.2.5</t>
  </si>
  <si>
    <t>Verify that passwords of any composition can be used, without rules limiting the type of characters permitted. There must be no requirement for a minimum number of upper or lower case characters, numbers, or special characters.</t>
  </si>
  <si>
    <t>The application must not impose character composition rules on passwords. No requirement for uppercase, lowercase, numbers, or special characters shall be enforced. Only minimum length will be validated.</t>
  </si>
  <si>
    <t>Api/src/main/.../Service/PasswordPolicyService.java (only length/blocklist/HIBP checks enforced, no character composition restrictions)</t>
  </si>
  <si>
    <t>V6.2.6</t>
  </si>
  <si>
    <t>Verify that password input fields use type=password to mask the entry. Applications may allow the user to temporarily view the entire masked password, or the last typed character of the password.</t>
  </si>
  <si>
    <t>Not Applicable</t>
  </si>
  <si>
    <t>ArcadeHaven is a REST API with no front-end. Password masking is a client-side concern and falls outside the project scope.</t>
  </si>
  <si>
    <t>V6.2.7</t>
  </si>
  <si>
    <t>Verify that "paste" functionality, browser password helpers, and external password managers are permitted.</t>
  </si>
  <si>
    <t>ArcadeHaven is a REST API with no front-end. Paste functionality and password manager compatibility are client-side concerns outside the project scope.</t>
  </si>
  <si>
    <t>V6.2.8</t>
  </si>
  <si>
    <t>Verify that the application verifies the user's password exactly as received from the user, without any modifications such as truncation or case transformation.</t>
  </si>
  <si>
    <t>Compliant</t>
  </si>
  <si>
    <t>The application must verify passwords exactly as received. No truncation, trimming, or transformation of any kind shall be applied to passwords before hashing or comparison.</t>
  </si>
  <si>
    <t>Api/src/main/.../Service/AuthService.java</t>
  </si>
  <si>
    <t>V6.2.9</t>
  </si>
  <si>
    <t>Verify that passwords of at least 64 characters are permitted.</t>
  </si>
  <si>
    <t>The application must permit passwords of at least 64 characters in length. The database schema and all validation layers must support this without truncation.</t>
  </si>
  <si>
    <t>Api/src/main/.../Dto/Request/RegisterRequest.java (@Size(max=128) allows passwords up to 128 chars)</t>
  </si>
  <si>
    <t>V6.2.10</t>
  </si>
  <si>
    <t>Verify that a user's password stays valid until it is discovered to be compromised or the user rotates it. The application must not require periodic credential rotation.</t>
  </si>
  <si>
    <t>The application must not enforce periodic password expiration. Passwords remain valid until the user changes them voluntarily or a breach is detected.</t>
  </si>
  <si>
    <t>Api/src/main/.../Service/AuthService.java (Keycloak manages password lifecycle); Config/KeycloakAdminConfig.java</t>
  </si>
  <si>
    <t>V6.2.11</t>
  </si>
  <si>
    <t>Verify that the documented list of context specific words is used to prevent easy to guess passwords being created.</t>
  </si>
  <si>
    <t>The application must actively validate passwords against the context-specific blocklist defined in previously during registration and password change, rejecting any password that contains a blocked term.</t>
  </si>
  <si>
    <t>Api/src/main/.../Service/PasswordPolicyService.java (checkContextSpecific: blocklist enforced at registration)</t>
  </si>
  <si>
    <t>V6.2.12</t>
  </si>
  <si>
    <t>Verify that passwords submitted during account registration or password changes are checked against a set of breached passwords.</t>
  </si>
  <si>
    <t>The application must check passwords submitted during registration and password changes against a breached password database. The HaveIBeenPwned API (k-anonymity model) will be used to perform this check without exposing the plain-text password.</t>
  </si>
  <si>
    <t>Api/src/main/.../Service/PasswordPolicyService.java (checkHibp: Have I Been Pwned k-anonymity integration)</t>
  </si>
  <si>
    <t>V6.3</t>
  </si>
  <si>
    <t>General Authentication Security</t>
  </si>
  <si>
    <t>V6.3.1</t>
  </si>
  <si>
    <t>Verify that controls to prevent attacks such as credential stuffing and password brute force are implemented according to the application's security documentation.</t>
  </si>
  <si>
    <t>The application must implement rate limiting on authentication endpoints and enforce temporary account lockout after a configurable number of consecutive failed login attempts.</t>
  </si>
  <si>
    <t>Api/src/main/.../Security/RateLimitFilter.java (Bucket4j, 20 req/min per IP)</t>
  </si>
  <si>
    <t>V6.3.2</t>
  </si>
  <si>
    <t>Verify that default user accounts (e.g., "root", "admin", or "sa") are not present in the application or are disabled.</t>
  </si>
  <si>
    <t>The application must not include any default or well-known user accounts. Any seed accounts required for initial setup must use randomly generated credentials injected via environment variables and must be documented in the operations guide.</t>
  </si>
  <si>
    <t>Api/src/main/.../Config/AdminInitializer.java (env vars ADMIN_USERNAME/ADMIN_PASSWORD)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</si>
  <si>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</si>
  <si>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</si>
  <si>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The application must support multi-factor authentication. MFA must be mandatory for ADMIN role accounts and optional for PUBLISHER and BUYER roles. TOTP (RFC 6238) is the target mechanism.</t>
  </si>
  <si>
    <t>Api/src/main/.../Service/AuthService.java (Keycloak MFA delegation); Config/KeycloakAdminConfig.java</t>
  </si>
  <si>
    <t>V6.3.4</t>
  </si>
  <si>
    <t>Verify that, if the application includes multiple authentication pathways, there are no undocumented pathways and that security controls and authentication strength are enforced consistently.</t>
  </si>
  <si>
    <t>All authentication pathways must be documented and subject to the same security controls. No undocumented or backdoor authentication pathways are permitted.</t>
  </si>
  <si>
    <t>Api/src/main/.../Service/AuthService.java (login/register/logout); Security/SecurityConfig.java (consistent JWT validation across all endpoints)</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</si>
  <si>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</si>
  <si>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</si>
  <si>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</si>
  <si>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</si>
  <si>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</si>
  <si>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</si>
  <si>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</si>
  <si>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</si>
  <si>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</si>
  <si>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</si>
  <si>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</si>
  <si>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</si>
  <si>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System-generated passwords and activation codes must be generated using a cryptographically secure random number generator (SecureRandom), comply with the password policy, and expire within 24 hours of generation.</t>
  </si>
  <si>
    <t>Api/src/main/.../Config/AdminInitializer.java (env-var ADMIN_PASSWORD for initial admin account)</t>
  </si>
  <si>
    <t>V6.4.2</t>
  </si>
  <si>
    <t>Verify that password hints or knowledge-based authentication (so-called "secret questions") are not present.</t>
  </si>
  <si>
    <t>The application must not implement password hints or knowledge-based authentication (secret questions). Password recovery must use secure, time-limited tokens delivered to the user's registered email address.</t>
  </si>
  <si>
    <t>Api/src/main/.../Dto/Request/RegisterRequest.java (no secret-question field)</t>
  </si>
  <si>
    <t>V6.4.3</t>
  </si>
  <si>
    <t>Verify that a secure process for resetting a forgotten password is implemented, that does not bypass any enabled multi-factor authentication mechanisms.</t>
  </si>
  <si>
    <t>The password reset process must use a cryptographically secure, single-use token with a maximum validity of 1 hour. The process must not bypass MFA and must invalidate the token immediately after use.</t>
  </si>
  <si>
    <t>V6.4.4</t>
  </si>
  <si>
    <t>Verify that if a multi-factor authentication factor is lost, evidence of identity proofing is performed at the same level as during enrollment.</t>
  </si>
  <si>
    <t>Account recovery following loss of an MFA factor must require identity verification at the same assurance level as the original enrollment process.</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</si>
  <si>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</si>
  <si>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</si>
  <si>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</si>
  <si>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</si>
  <si>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V6.5</t>
  </si>
  <si>
    <t>General Multi-factor authentication requirements</t>
  </si>
  <si>
    <t>V6.5.1</t>
  </si>
  <si>
    <t>Verify that lookup secrets, out-of-band authentication requests or codes, and time-based one-time passwords (TOTPs) are only successfully usable once.</t>
  </si>
  <si>
    <t>All one-time passwords, lookup secrets, and out-of-band codes must be invalidated immediately after a single successful use. Replay of used codes must be rejected.</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</si>
  <si>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</si>
  <si>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</si>
  <si>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All lookup secrets stored in the database must be hashed using BCrypt or an equivalent approved password hashing algorithm. Plain-text storage of any secret is strictly prohibited.</t>
  </si>
  <si>
    <t>V6.5.3</t>
  </si>
  <si>
    <t>Verify that lookup secrets, out-of-band authentication code, and time-based one-time password seeds, are generated using a Cryptographically Secure Pseudorandom Number Generator (CSPRNG) to avoid predictable values.</t>
  </si>
  <si>
    <t>All lookup secrets, out-of-band authentication codes, and TOTP seeds must be generated using SecureRandom or an equivalent CSPRNG. Use of Math.random() or similar non-cryptographic generators is strictly prohibited.</t>
  </si>
  <si>
    <t>V6.5.4</t>
  </si>
  <si>
    <t>Verify that lookup secrets and out-of-band authentication codes have a minimum of 20 bits of entropy (typically 4 random alphanumeric characters or 6 random digits is sufficient).</t>
  </si>
  <si>
    <t>All lookup secrets and out-of-band authentication codes must have a minimum of 20 bits of entropy. ArcadeHaven will use 6-character alphanumeric codes as the baseline, providing at least 31 bits of entropy.</t>
  </si>
  <si>
    <t>V6.5.5</t>
  </si>
  <si>
    <t>Verify that out-of-band authentication requests, codes, or tokens, as well as time-based one-time passwords (TOTPs) have a defined lifetime. Out of band requests must have a maximum lifetime of 10 minutes and for TOTP a maximum lifetime of 30 seconds.</t>
  </si>
  <si>
    <t>Out-of-band authentication codes must expire after a maximum of 5 minutes. TOTP validation must use a time window of ±1 step (30 seconds). Expired codes must be rejected.</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</si>
  <si>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</si>
  <si>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</si>
  <si>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</si>
  <si>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</si>
  <si>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</si>
  <si>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</si>
  <si>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</si>
  <si>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</si>
  <si>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</si>
  <si>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</si>
  <si>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ArcadeHaven does not use PSTN (SMS/phone) for OTP delivery. MFA is implemented via TOTP only.</t>
  </si>
  <si>
    <t>V6.6.2</t>
  </si>
  <si>
    <t>Verify that out-of-band authentication requests, codes, or tokens are bound to the original authentication request for which they were generated and are not usable for a previous or subsequent one.</t>
  </si>
  <si>
    <t>All out-of-band authentication codes must be cryptographically bound to the specific authentication request and session for which they were generated. Cross-session reuse must be rejected.</t>
  </si>
  <si>
    <t>V6.6.3</t>
  </si>
  <si>
    <t>Verify that a code based out-of-band authentication mechanism is protected against brute force attacks by using rate limiting. Consider also using a code with at least 64 bits of entropy.</t>
  </si>
  <si>
    <t>OTP verification endpoints must enforce rate limiting, rejecting further attempts after 5 consecutive failures. Codes must expire after a maximum of 5 minutes as defined in V6.5.5.</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</si>
  <si>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</si>
  <si>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</si>
  <si>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</si>
  <si>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</si>
  <si>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</si>
  <si>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</si>
  <si>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</si>
  <si>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</si>
  <si>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</si>
  <si>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</si>
  <si>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</si>
  <si>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</si>
  <si>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ArcadeHaven does not support external identity providers in the current phase. If OAuth2/OIDC is introduced in future phases, this requirement must be revisited.</t>
  </si>
  <si>
    <t>V6.8.2</t>
  </si>
  <si>
    <t>Verify that the presence and integrity of digital signatures on authentication assertions (for example on JWTs or SAML assertions) are always validated, rejecting any assertions that are unsigned or have invalid signatures.</t>
  </si>
  <si>
    <t>All JWT tokens must be signed using RS256 or HS256. The signature must be validated on every request. Unsigned tokens, tokens with alg: none, and tokens with invalid signatures must be rejected with a 401 response.</t>
  </si>
  <si>
    <t>Api/src/main/.../Security/SecurityConfig.java; Api/src/main/resources/application.properties (jwk-set-uri)</t>
  </si>
  <si>
    <t>V6.8.3</t>
  </si>
  <si>
    <t>Verify that SAML assertions are uniquely processed and used only once within the validity period to prevent replay attacks.</t>
  </si>
  <si>
    <t>JWT access tokens must have a maximum validity of 15 minutes. A token denylist mechanism must be implemented to support immediate invalidation upon logout or security events.</t>
  </si>
  <si>
    <t>Api/src/main/.../Service/AuthService.java (logout() calls keycloak.realm().users().get().logout() revoking all sessions); Controller/AuthController.java</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</si>
  <si>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</si>
  <si>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</si>
  <si>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ArcadeHaven does not use a separate Identity Provider in the current phase. This requirement does not apply to the current project scope.</t>
  </si>
  <si>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</si>
  <si>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</si>
  <si>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</si>
  <si>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</si>
  <si>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</si>
  <si>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</si>
  <si>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</si>
  <si>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</si>
  <si>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</si>
  <si>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</si>
  <si>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</si>
  <si>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</si>
  <si>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</si>
  <si>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</si>
  <si>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</si>
  <si>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</si>
  <si>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</si>
  <si>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</si>
  <si>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</si>
  <si>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</si>
  <si>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</si>
  <si>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</si>
  <si>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</si>
  <si>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</si>
  <si>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</si>
  <si>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</si>
  <si>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</si>
  <si>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</si>
  <si>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</si>
  <si>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</si>
  <si>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</si>
  <si>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</si>
  <si>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</si>
  <si>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</si>
  <si>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</si>
  <si>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</si>
  <si>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</si>
  <si>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ArcadeHeaven uses Spring Boot which automatically deserializes JSON inputs into Java objects ensuring a canonical form at entry. Validation will be enforced using Bean Validation</t>
  </si>
  <si>
    <t>Api/src/main/.../Dto/Request/RegisterRequest.java; Api/src/main/.../Validation/NoHtmlValidator.java</t>
  </si>
  <si>
    <t>V1.1.2</t>
  </si>
  <si>
    <t>Verify that the application performs output encoding and escaping either as a final step before being used by the interpreter for which it is intended or by the interpreter itself.</t>
  </si>
  <si>
    <t>Output is mainly JSON responses and server generated files (PDF invoices, activation keys). When writing files to filesystem, untrusted data will be properly escaped or sanitized</t>
  </si>
  <si>
    <t>Api/src/main/.../Exception/GlobalExceptionHandler.java (JSON error responses, no raw stack traces); Security/SecurityEventHandler.java (writeJson via ObjectMapper)</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</si>
  <si>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</si>
  <si>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</si>
  <si>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</si>
  <si>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</si>
  <si>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ArcadeHaven does not generate HTML or XML content</t>
  </si>
  <si>
    <t>V1.2.2</t>
  </si>
  <si>
    <t>Verify that when dynamically building URLs, untrusted data is encoded according to its context (e.g., URL encoding or base64url encoding for query or path parameters). Ensure that only safe URL protocols are permitted (e.g., disallow javascript: or data:).</t>
  </si>
  <si>
    <t>Not Started</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</si>
  <si>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</si>
  <si>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</si>
  <si>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</si>
  <si>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</si>
  <si>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The entire data access layer uses Spring Data JPA with typed repositories</t>
  </si>
  <si>
    <t>V1.2.5</t>
  </si>
  <si>
    <t>Verify that the application protects against OS command injection and that operating system calls use parameterized OS queries or use contextual command line output encoding.</t>
  </si>
  <si>
    <t>ArcadeHaven does not use operating system commands</t>
  </si>
  <si>
    <t>V1.2.6</t>
  </si>
  <si>
    <t>Verify that the application protects against LDAP injection vulnerabilities, or that specific security controls to prevent LDAP injection have been implemented.</t>
  </si>
  <si>
    <t>No LDAP integration is used in ArcadeHaven</t>
  </si>
  <si>
    <t>V1.2.7</t>
  </si>
  <si>
    <t>Verify that the application is protected against XPath injection attacks by using query parameterization or precompiled queries.</t>
  </si>
  <si>
    <t>No XPath or XML quering is used in ArcadeHeaven</t>
  </si>
  <si>
    <t>V1.2.8</t>
  </si>
  <si>
    <t>Verify that LaTeX processors are configured securely (such as not using the "--shell-escape" flag) and an allowlist of commands is used to prevent LaTeX injection attacks.</t>
  </si>
  <si>
    <t>No LaTeX processing is used in ArcadeHaven</t>
  </si>
  <si>
    <t>V1.2.9</t>
  </si>
  <si>
    <t>Verify that the application escapes special characters in regular expressions (typically using a backslash) to prevent them from being misinterpreted as metacharacters.</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</si>
  <si>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</si>
  <si>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</si>
  <si>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No CSV or Spreedsheet export is implemented in ArcadeHaven</t>
  </si>
  <si>
    <t>V1.3</t>
  </si>
  <si>
    <t>Sanitization</t>
  </si>
  <si>
    <t>V1.3.1</t>
  </si>
  <si>
    <t>Verify that all untrusted HTML input from WYSIWYG editors or similar is sanitized using a well-known and secure HTML sanitization library or framework feature.</t>
  </si>
  <si>
    <t>No WYSIWYG or HTML input is accepted</t>
  </si>
  <si>
    <t>V1.3.2</t>
  </si>
  <si>
    <t>Verify that the application avoids the use of eval() or other dynamic code execution features such as Spring Expression Language (SpEL). Where there is no alternative, any user input being included must be sanitized before being executed.</t>
  </si>
  <si>
    <t>ArcadeHaven does not use SpEL with user input. The @PreAuthorize annotations use SpEL with static expressions (“hasRole(‘ADMIN’)”)</t>
  </si>
  <si>
    <t>V1.3.3</t>
  </si>
  <si>
    <t>Verify that data being passed to a potentially dangerous context is sanitized beforehand to enforce safety measures, such as only allowing characters which are safe for this context and trimming input which is too long.</t>
  </si>
  <si>
    <t>V1.3.4</t>
  </si>
  <si>
    <t>Verify that user-supplied Scalable Vector Graphics (SVG) scriptable content is validated or sanitized to contain only tags and attributes (such as draw graphics) that are safe for the application, e.g., do not contain scripts and foreignObject.</t>
  </si>
  <si>
    <t>SVG files are explicitly rejected during file upload validation</t>
  </si>
  <si>
    <t>V1.3.5</t>
  </si>
  <si>
    <t>Verify that the application sanitizes or disables user-supplied scriptable or expression template language content, such as Markdown, CSS or XSL stylesheets, BBCode, or similar.</t>
  </si>
  <si>
    <t>No scriptable content (Markdown, CSS, BBCode) is processed</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</si>
  <si>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</si>
  <si>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</si>
  <si>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</si>
  <si>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</si>
  <si>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</si>
  <si>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</si>
  <si>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No JNDI usage is present</t>
  </si>
  <si>
    <t>V1.3.9</t>
  </si>
  <si>
    <t>Verify that the application sanitizes content before it is sent to memcache to prevent injection attacks.</t>
  </si>
  <si>
    <t>No memcache usage is present</t>
  </si>
  <si>
    <t>V1.3.10</t>
  </si>
  <si>
    <t>Verify that format strings which might resolve in an unexpected or malicious way when used are sanitized before being processed.</t>
  </si>
  <si>
    <t>Logging uses only SLF4J with parameterized placeholders (log.warn(“message: {}”, value))</t>
  </si>
  <si>
    <t>V1.3.11</t>
  </si>
  <si>
    <t>Verify that the application sanitizes user input before passing to mail systems to protect against SMTP or IMAP injection.</t>
  </si>
  <si>
    <t>No email functionality is implemented</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</si>
  <si>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</si>
  <si>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</si>
  <si>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</si>
  <si>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</si>
  <si>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</si>
  <si>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</si>
  <si>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Java provides built-in memory safety so no manual memory management is used</t>
  </si>
  <si>
    <t>V1.4.2</t>
  </si>
  <si>
    <t>Verify that sign, range, and input validation techniques are used to prevent integer overflows.</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</si>
  <si>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</si>
  <si>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</si>
  <si>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</si>
  <si>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</si>
  <si>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</si>
  <si>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</si>
  <si>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</si>
  <si>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</si>
  <si>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</si>
  <si>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</si>
  <si>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</si>
  <si>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</si>
  <si>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</si>
  <si>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</si>
  <si>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Input validation rules will be formally defined using DTO constraints and documented per endpoint</t>
  </si>
  <si>
    <t>Api/src/main/.../Dto/Request/RegisterRequest.java (@NoHtml, @Size, @Email, @NotBlank); Dto/Request/CreateGameRequest.java; Validation/NoHtmlValidator.java; Validation/FileValidator.java</t>
  </si>
  <si>
    <t>V2.1.2</t>
  </si>
  <si>
    <t>Verify that the application's documentation defines how to validate the logical and contextual consistency of combined data items, such as checking that suburb and ZIP code match.</t>
  </si>
  <si>
    <t>Logical consistency rules will be documented, including constraints such as valid price ranges, non-negative quantities, and consistency between related fields</t>
  </si>
  <si>
    <t>Api/src/main/.../Domain/Order.java; Domain/Library.java; Service/OrderService.java (domain-level business rule enforcement)</t>
  </si>
  <si>
    <t>V2.1.3</t>
  </si>
  <si>
    <t>Verify that expectations for business logic limits and validations are documented, including both per-user and globally across the application.</t>
  </si>
  <si>
    <t>Business rules will be defined for both per-user and global constraints</t>
  </si>
  <si>
    <t>Api/src/main/.../Domain/Order.java (status transitions); Service/OrderService.java (item limits, status checks); Service/LibraryService.java</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</si>
  <si>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</si>
  <si>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</si>
  <si>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</si>
  <si>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</si>
  <si>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All request DTOs use Bean Validation</t>
  </si>
  <si>
    <t>V2.2.2</t>
  </si>
  <si>
    <t>Verify that the application is designed to enforce input validation at a trusted service layer. While client-side validation improves usability and should be encouraged, it must not be relied upon as a security control.</t>
  </si>
  <si>
    <t>All validation is performed server-side using Spring Bean Validation in the controller/service layer. There is no frontend implementation that performs client-side validation, so there is no risk of bypass. The tracker must be updated.</t>
  </si>
  <si>
    <t>V2.2.3</t>
  </si>
  <si>
    <t>Verify that the application ensures that combinations of related data items are reasonable according to the pre-defined rules.</t>
  </si>
  <si>
    <t>V2.3</t>
  </si>
  <si>
    <t>Business Logic Security</t>
  </si>
  <si>
    <t>V2.3.1</t>
  </si>
  <si>
    <t>Verify that the application will only process business logic flows for the same user in the expected sequential step order and without skipping steps.</t>
  </si>
  <si>
    <t>The Order uses a state machine (OrderStatus: PENDING → COMPLETED), and the Order.complete() method validates that the status is PENDING before transitioning. The LibraryEntry is only created after the Order is COMPLETED. The game follows the PENDING → APPROVED/REJECTED flow with validation in the AdminService. The tracker must be updated.</t>
  </si>
  <si>
    <t>V2.3.2</t>
  </si>
  <si>
    <t>Verify that business logic limits are implemented per the application's documentation to avoid business logic flaws being exploited.</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</si>
  <si>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</si>
  <si>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</si>
  <si>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</si>
  <si>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</si>
  <si>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</si>
  <si>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</si>
  <si>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The system does not include high-risk operations requiring multiple user approval</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</si>
  <si>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</si>
  <si>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</si>
  <si>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</si>
  <si>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</si>
  <si>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V2.4.2</t>
  </si>
  <si>
    <t>Verify that business logic flows require realistic human timing, preventing excessively rapid transaction submissions.</t>
  </si>
  <si>
    <t>c</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</si>
  <si>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</si>
  <si>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</si>
  <si>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</si>
  <si>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</si>
  <si>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REST API with no browser-facing front-end. No browser security features need to be documented.</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</si>
  <si>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</si>
  <si>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</si>
  <si>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</si>
  <si>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</si>
  <si>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</si>
  <si>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</si>
  <si>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No HTML rendering occurs in the API. All responses are JSON or binary file content.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</si>
  <si>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</si>
  <si>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</si>
  <si>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No client-side JavaScript is used. ArcadeHaven is a back-end REST API only.</t>
  </si>
  <si>
    <t>V3.3</t>
  </si>
  <si>
    <t>Cookie Setup</t>
  </si>
  <si>
    <t>V3.3.1</t>
  </si>
  <si>
    <t>Verify that cookies have the 'Secure' attribute set, and if the '\__Host-' prefix is not used for the cookie name, the '__Secure-' prefix must be used for the cookie name.</t>
  </si>
  <si>
    <t>Uses JWT tokens in the Authorization header, not cookies.</t>
  </si>
  <si>
    <t>V3.3.2</t>
  </si>
  <si>
    <t>Verify that each cookie's 'SameSite' attribute value is set according to the purpose of the cookie, to limit exposure to user interface redress attacks and browser-based request forgery attacks, commonly known as cross-site request forgery (CSRF).</t>
  </si>
  <si>
    <t>No cookies are used. Authentication is handled via JWT Bearer tokens.</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</si>
  <si>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</si>
  <si>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</si>
  <si>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</si>
  <si>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</si>
  <si>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No session cookies are used. JWTs are transmitted via the Authorization header only.</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</si>
  <si>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</si>
  <si>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</si>
  <si>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No cookies are used.</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</si>
  <si>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</si>
  <si>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</si>
  <si>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</si>
  <si>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</si>
  <si>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HSTS header (`Strict-Transport-Security: max-age=31536000; includeSubDomains`) will be enforced on all API responses via Spring Security</t>
  </si>
  <si>
    <t>Api/src/main/.../Security/SecurityConfig.java (hsts maxAge=31536000, includeSubDomains=true)</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</si>
  <si>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</si>
  <si>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</si>
  <si>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CORS will be configured with a strict allowlist of trusted origins. `Access-Control-Allow-Origin: *` will not be used on authenticated endpoints.</t>
  </si>
  <si>
    <t>Api/src/main/.../Security/SecurityConfig.java (corsConfigurationSource, explicit allowlist); application.properties (security.cors.allowed-origins)</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</si>
  <si>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</si>
  <si>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</si>
  <si>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 xml:space="preserve">CSP not applicable to JSON REST API without HTML responses.   </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</si>
  <si>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</si>
  <si>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</si>
  <si>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`X-Content-Type-Options: nosniff` will be included on all API responses via Spring Security headers configuration.</t>
  </si>
  <si>
    <t>Api/src/main/.../Security/SecurityConfig.java (contentTypeOptions nosniff)</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</si>
  <si>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</si>
  <si>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</si>
  <si>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 xml:space="preserve">Referrer-Policy has minimal relevance in API-only context.   </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</si>
  <si>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</si>
  <si>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</si>
  <si>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 xml:space="preserve">Frame-ancestors not applicable (no browser rendering).           </t>
  </si>
  <si>
    <t>V3.4.7</t>
  </si>
  <si>
    <t>Verify that the Content-Security-Policy header field specifies a location to report violations.</t>
  </si>
  <si>
    <t>CSP reporting not applicable without CSP usage.</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</si>
  <si>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</si>
  <si>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</si>
  <si>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 xml:space="preserve"> ArcadeHaven does not serve HTML documents. `Cross-Origin-Opener-Policy` is not applicable to a JSON REST API.</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</si>
  <si>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</si>
  <si>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</si>
  <si>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</si>
  <si>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</si>
  <si>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All sensitive endpoints require a valid JWT Bearer token in the `Authorization` header, which is not a CORS-safelisted header, effectively preventing CSRF.</t>
  </si>
  <si>
    <t>Api/src/main/.../Security/SecurityConfig.java</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</si>
  <si>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</si>
  <si>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</si>
  <si>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All state-changing API calls require `Content-Type: application/json`, which triggers a CORS preflight. Requests without this header will be rejected.</t>
  </si>
  <si>
    <t>Api/src/main/.../Security/SecurityConfig.java; Controller/AuthController.java; Controller/OrderController.java; Controller/PublisherController.java; Controller/AdminController.java</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</si>
  <si>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</si>
  <si>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</si>
  <si>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All sensitive operations use appropriate HTTP methods (POST, PUT, PATCH, DELETE). GET endpoints are read-only and do not expose sensitive functionality.</t>
  </si>
  <si>
    <t>Api/src/main/.../Controller/OrderController.java; Controller/PublisherController.java; Controller/AdminController.java; Controller/GameController.java</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</si>
  <si>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</si>
  <si>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</si>
  <si>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Single backend; hostname separation not applicable.</t>
  </si>
  <si>
    <t>V3.5.5</t>
  </si>
  <si>
    <t>Verify that messages received by the postMessage interface are discarded if the origin of the message is not trusted, or if the syntax of the message is invalid.</t>
  </si>
  <si>
    <t>No client-side messaging (postMessage).</t>
  </si>
  <si>
    <t>V3.5.6</t>
  </si>
  <si>
    <t>Verify that JSONP functionality is not enabled anywhere across the application to avoid Cross-Site Script Inclusion (XSSI) attacks.</t>
  </si>
  <si>
    <t>JSONP not used.</t>
  </si>
  <si>
    <t>V3.5.7</t>
  </si>
  <si>
    <t>Verify that data requiring authorization is not included in script resource responses, like JavaScript files, to prevent Cross-Site Script Inclusion (XSSI) attacks.</t>
  </si>
  <si>
    <t>API does not serve JavaScript files or executable client-side code.</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</si>
  <si>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</si>
  <si>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</si>
  <si>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</si>
  <si>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</si>
  <si>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</si>
  <si>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</si>
  <si>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Not serve or load any external client-side assets (JS libraries, CSS, fonts). No CDN resources are used in the back-end API.</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</si>
  <si>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</si>
  <si>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</si>
  <si>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</si>
  <si>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</si>
  <si>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Uses no client-side technologies. No plugins, Flash, ActiveX, or applets are used.</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</si>
  <si>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</si>
  <si>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</si>
  <si>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</si>
  <si>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</si>
  <si>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REST API No user-facing redirect notifications are applicable.</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</si>
  <si>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</si>
  <si>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</si>
  <si>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</si>
  <si>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</si>
  <si>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REST API with no browser-facing interface. Browser feature detection is not applicable.</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</si>
  <si>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</si>
  <si>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</si>
  <si>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</si>
  <si>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</si>
  <si>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All API responses will include `Content-Type: application/json; charset=UTF-8`. File download endpoints will use the appropriate MIME type (e.g. `application/pdf`, `image/png`). Enforced globally via Spring Boot's response configuration.</t>
  </si>
  <si>
    <t>Api/src/main/.../Controller/LibraryController.java; Controller/OrderController.java</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</si>
  <si>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</si>
  <si>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</si>
  <si>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All HTTP traffic is redirected to HTTPS at the reverse proxy level. The application itself is only exposed over HTTPS.</t>
  </si>
  <si>
    <t>Api/src/main/.../Security/RateLimitFilter.java (Bucket4j, 20 req/min per IP on /api/auth/login, /api/auth/register, /api/publisher/games)</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</si>
  <si>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</si>
  <si>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</si>
  <si>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Headers such as `X-Real-IP` and `X-Forwarded-For` set by intermediary layers (e.g. reverse proxy, Docker network) will be validated server-side. End-users will not be able to override these headers. Configuration will be enforced in the Spring Boot application and documented in the deployment guide.</t>
  </si>
  <si>
    <t>Api/src/main/.../Security/SecurityConfig.java; Security/RateLimitFilter.java; Dto/Request/ (Bean Validation annotations)</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</si>
  <si>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</si>
  <si>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</si>
  <si>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</si>
  <si>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</si>
  <si>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</si>
  <si>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</si>
  <si>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</si>
  <si>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</si>
  <si>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ArcadeHaven will use HTTP/1.1 initially via Spring Boot embedded Tomcat, which handles Transfer-Encoding and Content-Length boundaries correctly by default. HTTP/2 support will be evaluated in Phase 2 with explicit validation of DATA frame consistency.</t>
  </si>
  <si>
    <t>Api/pom.xml (spring-boot-starter-web -&gt; embedded Tomcat)</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</si>
  <si>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</si>
  <si>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</si>
  <si>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</si>
  <si>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</si>
  <si>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</si>
  <si>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</si>
  <si>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</si>
  <si>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</si>
  <si>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</si>
  <si>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</si>
  <si>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</si>
  <si>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</si>
  <si>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ArcadeHaven uses a REST API, not GraphQL. This requirement is not applicable.</t>
  </si>
  <si>
    <t>V4.3.2</t>
  </si>
  <si>
    <t>Verify that GraphQL introspection queries are disabled in the production environment unless the GraphQL API is meant to be used by other parties.</t>
  </si>
  <si>
    <t>ArcadeHaven uses a REST API, not GraphQL. Introspection queries do not exist in this context.</t>
  </si>
  <si>
    <t>V4.4</t>
  </si>
  <si>
    <t>WebSocket</t>
  </si>
  <si>
    <t>V4.4.1</t>
  </si>
  <si>
    <t>Verify that WebSocket over TLS (WSS) is used for all WebSocket connections.</t>
  </si>
  <si>
    <t>ArcadeHaven does not implement WebSocket connections. All communication is via standard HTTPS REST API calls.</t>
  </si>
  <si>
    <t>V4.4.2</t>
  </si>
  <si>
    <t>Verify that, during the initial HTTP WebSocket handshake, the Origin header field is checked against a list of origins allowed for the application.</t>
  </si>
  <si>
    <t>No WebSocket handshake is performed. Not applicable to the current project scope.</t>
  </si>
  <si>
    <t>V4.4.3</t>
  </si>
  <si>
    <t>Verify that, if the application's standard session management cannot be used, dedicated tokens are being used for this, which comply with the relevant Session Management security requirements.</t>
  </si>
  <si>
    <t>No WebSocket connections are used. Session management is handled via JWT Bearer tokens over HTTPS.</t>
  </si>
  <si>
    <t>V4.4.4</t>
  </si>
  <si>
    <t>Verify that dedicated WebSocket session management tokens are initially obtained or validated through the previously authenticated HTTPS session when transitioning an existing HTTPS session to a WebSocket channel.</t>
  </si>
  <si>
    <t>No WebSocket connections are used. Not applicable to the current project scope.</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</si>
  <si>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</si>
  <si>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</si>
  <si>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</si>
  <si>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</si>
  <si>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Documentation will define permitted file types per upload feature: game images (JPEG, PNG, WebP - max 5MB), game cover art (JPEG, PNG - max 2MB). System-generated files (PDF invoices, TXT activation keys) have no upload surface. The documentation will also specify behaviour when a malicious file is detected (reject with 400, log the event, notify the admin).</t>
  </si>
  <si>
    <t>Api/src/main/.../Validation/FileValidator.java (ALLOWED_TYPES map per FileType enum); Domain/Enums/FileType.java (IMAGE, SCREENSHOT, COVER)</t>
  </si>
  <si>
    <t>V5.2</t>
  </si>
  <si>
    <t>File Upload and Content</t>
  </si>
  <si>
    <t>V5.2.1</t>
  </si>
  <si>
    <t>Verify that the application will only accept files of a size which it can process without causing a loss of performance or a denial of service attack.</t>
  </si>
  <si>
    <t>Maximum file size limits will be enforced at the Spring Boot level via spring.servlet.multipart.max-file-size and spring.servlet.multipart.max-request-size. Requests exceeding the limit will be rejected with a 413 response before processing begins.</t>
  </si>
  <si>
    <t>Api/src/main/resources/application.properties (max-file-size=25MB); Exception/GlobalExceptionHandler.java (HTTP 413)</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</si>
  <si>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</si>
  <si>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</si>
  <si>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All uploaded files will be validated by checking the file extension against an allowlist (JPEG, PNG, WebP) and verifying the magic bytes of the file content. Image files will be re-written server-side (via Java ImageIO) to strip any embedded malicious content and confirm the file is a valid image.</t>
  </si>
  <si>
    <t>Api/src/main/.../Validation/FileValidator.java (Tika MIME detection from file bytes); Service/FileStorageService.java (path traversal prevention)</t>
  </si>
  <si>
    <t>V5.2.3</t>
  </si>
  <si>
    <t>Verify that the application checks compressed files (e.g., zip, gz, docx, odt) against maximum allowed uncompressed size and against maximum number of files before uncompressing the file.</t>
  </si>
  <si>
    <t>ArcadeHaven does not accept compressed archive uploads (zip, gz, etc.).</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</si>
  <si>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</si>
  <si>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</si>
  <si>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</si>
  <si>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</si>
  <si>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No compressed file uploads are accepted. Symlink exploitation via zip files is not applicable in the current scope.</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</si>
  <si>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</si>
  <si>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</si>
  <si>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</si>
  <si>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</si>
  <si>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</si>
  <si>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</si>
  <si>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</si>
  <si>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</si>
  <si>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V5.3.3</t>
  </si>
  <si>
    <t>Verify that server-side file processing, such as file decompression, ignores user-provided path information to prevent vulnerabilities such as zip slip.</t>
  </si>
  <si>
    <t>No server-side file decompression is performed on user-uploaded files. Zip slip attacks are not applicable in the current scope.</t>
  </si>
  <si>
    <t>V5.4</t>
  </si>
  <si>
    <t>File Download</t>
  </si>
  <si>
    <t>V5.4.1</t>
  </si>
  <si>
    <t>Verify that the application validates or ignores user-submitted filenames, including in a JSON, JSONP, or URL parameter and specifies a filename in the Content-Disposition header field in the response.</t>
  </si>
  <si>
    <t>V5.4.2</t>
  </si>
  <si>
    <t>Verify that file names served (e.g., in HTTP response header fields or email attachments) are encoded or sanitized (e.g., following RFC 6266) to preserve document structure and prevent injection attacks.</t>
  </si>
  <si>
    <t>V5.4.3</t>
  </si>
  <si>
    <t>Verify that files obtained from untrusted sources are scanned by antivirus scanners to prevent serving of known malicious content.</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</si>
  <si>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</si>
  <si>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</si>
  <si>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</si>
  <si>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</si>
  <si>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Token lifetimes will be defined and documented, including short-lived access tokens and longer-lived refresh tokens, with justification based on security requirements</t>
  </si>
  <si>
    <t>Api/src/main/.../Service/AuthService.java (expires_in returned in LoginResponse); application.properties (jwt.issuer-uri); Controller/AuthController.java (logout)</t>
  </si>
  <si>
    <t>V7.1.2</t>
  </si>
  <si>
    <t>Verify that the documentation defines how many concurrent (parallel) sessions are allowed for one account as well as the intended behaviors and actions to be taken when the maximum number of active sessions is reached.</t>
  </si>
  <si>
    <t>Session management is implemented using stateless access tokens (JWT). Token lifecycle, issuance, validation, and renewal mechanisms will be documented</t>
  </si>
  <si>
    <t>Api/src/main/.../Service/AuthService.java (logout revokes all Keycloak sessions); Security/SecurityConfig.java (stateless, no concurrent server sessions)</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</si>
  <si>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</si>
  <si>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</si>
  <si>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OAuth 2.0 flows will be documented, including token issuance and refresh mechanisms</t>
  </si>
  <si>
    <t>Api/src/main/.../Security/SecurityConfig.java (stateless JWT-based sessions); Service/AuthService.java; Controller/AuthController.java</t>
  </si>
  <si>
    <t>V7.2</t>
  </si>
  <si>
    <t>Fundamental Session Management Security</t>
  </si>
  <si>
    <t>V7.2.1</t>
  </si>
  <si>
    <t>Verify that the application performs all session token verification using a trusted, backend service.</t>
  </si>
  <si>
    <t>JWT validation is performed exclusively on the server by the Spring Security JWT decoder, using Keycloak's JWKS endpoint. No tokens are validated on the client side or via frontend logic. The tracker must be updated.</t>
  </si>
  <si>
    <t>V7.2.2</t>
  </si>
  <si>
    <t>Verify that the application uses either self-contained or reference tokens that are dynamically generated for session management, i.e. not using static API secrets and keys.</t>
  </si>
  <si>
    <t>ArcadeHaven uses dynamic JWTs issued by Keycloak with exp and iat claims. There are no static API keys for user authentication. The Keycloak Admin Client uses a service account with the client credentials flow—credentials configured via environment variables, not hardcoded. The tracker needs to be updated.</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</si>
  <si>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</si>
  <si>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</si>
  <si>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</si>
  <si>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</si>
  <si>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Keycloak issues a new JWT access token and refresh token with each successful authentication. Logging out via a POST request to /api/auth/logout revokes all active tokens. Spring Boot does not maintain session state (stateless JWT). The tracker must be updated.</t>
  </si>
  <si>
    <t>V7.3</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</si>
  <si>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</si>
  <si>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</si>
  <si>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</si>
  <si>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</si>
  <si>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</si>
  <si>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</si>
  <si>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</si>
  <si>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</si>
  <si>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</si>
  <si>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POST /api/auth/logout revokes all of the user's active sessions in Keycloak via UserResource.logout() (Keycloak Admin Client). Tokens naturally expire based on the exp claim. The tracker is out of date, this check should be marked as “Compliant” (matches V6.8.3 / V10.4.9, which have already been implemented).</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</si>
  <si>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</si>
  <si>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</si>
  <si>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</si>
  <si>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</si>
  <si>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</si>
  <si>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</si>
  <si>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</si>
  <si>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</si>
  <si>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</si>
  <si>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</si>
  <si>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</si>
  <si>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</si>
  <si>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</si>
  <si>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</si>
  <si>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</si>
  <si>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</si>
  <si>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</si>
  <si>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</si>
  <si>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</si>
  <si>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</si>
  <si>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</si>
  <si>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</si>
  <si>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The authentication flow requires explicit user action (submitting credentials to Keycloak). Spring Boot does not automatically create sessions, it is stateless. The JWT is only issued after successful authentication. The tracker must be updated.</t>
  </si>
  <si>
    <t>V8.1</t>
  </si>
  <si>
    <t>Authorization Documentation</t>
  </si>
  <si>
    <t>V8.1.1</t>
  </si>
  <si>
    <t>Verify that authorization documentation defines rules for restricting function-level and data-specific access based on consumer permissions and resource attributes.</t>
  </si>
  <si>
    <t>Authorization will be based on role-based access control, defining permissions for roles</t>
  </si>
  <si>
    <t>Api/src/main/.../Security/SecurityConfig.java (role-based URL rules: ADMIN, PUBLISHER, BUYER; deny-all default)</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</si>
  <si>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</si>
  <si>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</si>
  <si>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Field-level access control will be enforced at the API response layer using DTO projections and service-level filtering to prevent exposure of sensitive attributes</t>
  </si>
  <si>
    <t>Api/src/main/.../Security/SecurityConfig.java; Service/GameService.java (findByIdAndPublisher); Service/FileStorageService.java (path traversal prevention)</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</si>
  <si>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</si>
  <si>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</si>
  <si>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Authorization decision are not based on contextual attributes</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</si>
  <si>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</si>
  <si>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</si>
  <si>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No adaptative or risk-based authorization are enforced</t>
  </si>
  <si>
    <t>V8.2</t>
  </si>
  <si>
    <t>General Authorization Design</t>
  </si>
  <si>
    <t>V8.2.1</t>
  </si>
  <si>
    <t>Verify that the application ensures that function-level access is restricted to consumers with explicit permissions.</t>
  </si>
  <si>
    <t>Functional authorization will be enforced using Spring Security method-level security based on user roles</t>
  </si>
  <si>
    <t>Api/src/main/.../Security/SecurityConfig.java; Controller/AdminController.java; Controller/PublisherController.java; Controller/OrderController.java; Security/KeycloakRoleConverter.java</t>
  </si>
  <si>
    <t>V8.2.2</t>
  </si>
  <si>
    <t>Verify that the application ensures that data-specific access is restricted to consumers with explicit permissions to specific data items to mitigate insecure direct object reference (IDOR) and broken object level authorization (BOLA).</t>
  </si>
  <si>
    <t>Data-level authorization will enforce ownership checks</t>
  </si>
  <si>
    <t>Api/src/main/.../Service/GameService.java (findByIdAndPublisher); Service/OrderService.java; Service/LibraryService.java</t>
  </si>
  <si>
    <t>V8.2.3</t>
  </si>
  <si>
    <t>Verify that the application ensures that field-level access is restricted to consumers with explicit permissions to specific fields to mitigate broken object property level authorization (BOPLA).</t>
  </si>
  <si>
    <t>Sensitive fields will be excluded from API responses using DTO mapping and controlled serialization to prevent data leakage</t>
  </si>
  <si>
    <t>Api/src/main/.../Dto/Response/UserResponse.java; Dto/Response/OrderResponse.java; Dto/Response/GameResponse.java; Dto/Response/LibraryEntryResponse.java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</si>
  <si>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</si>
  <si>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</si>
  <si>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No contextual or adaptative authorization controls are not implemented</t>
  </si>
  <si>
    <t>V8.3</t>
  </si>
  <si>
    <t>Operation Level Authorization</t>
  </si>
  <si>
    <t>V8.3.1</t>
  </si>
  <si>
    <t>Verify that the application enforces authorization rules at a trusted service layer and doesn't rely on controls that an untrusted consumer could manipulate, such as client-side JavaScript.</t>
  </si>
  <si>
    <t xml:space="preserve"> All authorization is server-side: SecurityConfig with rules based on path/role, @PreAuthorize(“hasRole(...)”)</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</si>
  <si>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</si>
  <si>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</si>
  <si>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</si>
  <si>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</si>
  <si>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ArcadeHaven system is monolithic; no inter-service authorization propagation is required</t>
  </si>
  <si>
    <t>V8.4</t>
  </si>
  <si>
    <t>Other Authorization Considerations</t>
  </si>
  <si>
    <t>V8.4.1</t>
  </si>
  <si>
    <t>Verify that multi-tenant applications use cross-tenant controls to ensure consumer operations will never affect tenants with which they do not have permissions to interact.</t>
  </si>
  <si>
    <t>ArcadeHaven is not a multi-tenant system so all users belong to the same application context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</si>
  <si>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</si>
  <si>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</si>
  <si>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</si>
  <si>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</si>
  <si>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</si>
  <si>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</si>
  <si>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All JWT tokens issued by ArcadeHaven will be validated using their digital signature (HMAC-SHA256 or RS256) before any token content is trusted. Spring Security's JWT filter will reject any token with an invalid or missing signature with a 401 response.</t>
  </si>
  <si>
    <t>Api/src/main/.../Security/SecurityConfig.java (Spring Security JWT decoder)</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</si>
  <si>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</si>
  <si>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</si>
  <si>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An algorithm allowlist will be configured in the JWT validation layer. Only HS256 or RS256 will be permitted. The None algorithm will be explicitly rejected. No mixed symmetric/asymmetric support is planned, avoiding key confusion risks.</t>
  </si>
  <si>
    <t>Api/src/main/.../Security/SecurityConfig.java (Nimbus JOSE, RS256 only)</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</si>
  <si>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</si>
  <si>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</si>
  <si>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Key material for JWT validation will be pre-configured server-side via environment variables. JWT headers such as jku, x5u, and jwk will be ignored or validated against a strict allowlist to prevent attackers from supplying untrusted key sources.</t>
  </si>
  <si>
    <t>Api/src/main/.../Security/SecurityConfig.java; application.properties (jwk-set-uri)</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</si>
  <si>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</si>
  <si>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</si>
  <si>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</si>
  <si>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</si>
  <si>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JWT tokens will include exp (expiration) and nbf (not before) claims. The validation layer will reject tokens outside their validity window. Access tokens will have a maximum lifetime of 15 minutes.</t>
  </si>
  <si>
    <t>Api/src/main/.../Security/SecurityConfig.java (Spring Security validates exp/nbf)</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</si>
  <si>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</si>
  <si>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</si>
  <si>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ArcadeHaven will issue distinct token types (access token, refresh token)</t>
  </si>
  <si>
    <t>Api/src/main/.../Security/SecurityConfig.java (Spring Security JWT decoder validates exp, nbf, iss automatically)</t>
  </si>
  <si>
    <t>V9.2.3</t>
  </si>
  <si>
    <t>Verify that the service only accepts tokens which are intended for use with that service (audience). For JWTs, this can be achieved by validating the 'aud' claim against an allowlist defined in the service.</t>
  </si>
  <si>
    <t>JWT tokens will include an aud (audience) claim set to arcadehaven-api. The validation layer will reject any token whose aud claim does not match the expected value.</t>
  </si>
  <si>
    <t>Api/src/main/.../Security/SecurityConfig.java (issuer-uri validation per realm); application.properties (jwk-set-uri)</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</si>
  <si>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</si>
  <si>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</si>
  <si>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ArcadeHaven uses a single audience (arcadehaven-api), so audience confusion risk is low.</t>
  </si>
  <si>
    <t>Api/src/main/.../Security/SecurityConfig.java (JWK set URI bound to single Keycloak realm); application.properties (jwt.issuer-uri)</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</si>
  <si>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</si>
  <si>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</si>
  <si>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</si>
  <si>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</si>
  <si>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The frontend communicates with Keycloak directly. No backend-for-frontend token forwarding is used, the Spring Boot backend only validates tokens, never forwards them to other services.</t>
  </si>
  <si>
    <t>Api/src/main/.../Security/SecurityConfig.java; Service/AuthService.java</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</si>
  <si>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</si>
  <si>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</si>
  <si>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Token values are issued exclusively by Keycloak and validated by the Spring Boot resource server using Keycloak's public keys (via JWKS endpoint). No token mixing between different authorization servers occurs.</t>
  </si>
  <si>
    <t>Api/src/main/.../Security/SecurityConfig.java (iss/aud validation); Keycloak PKCE/state/nonce</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</si>
  <si>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</si>
  <si>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</si>
  <si>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</si>
  <si>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</si>
  <si>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The frontend uses the Authorization Code flow with PKCE (code_challenge / code_verifier). PKCE inherently protects against CSRF-based token request forgery. Additionally, the state parameter will be generated and validated on every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</si>
  <si>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</si>
  <si>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</si>
  <si>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ArcadeHaven uses a single Keycloak instance as its only authorization server. Mix-up attacks between multiple authorization servers are not applicable in the current scope.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</si>
  <si>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</si>
  <si>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</si>
  <si>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</si>
  <si>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</si>
  <si>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</si>
  <si>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</si>
  <si>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The Spring Boot resource server validates the aud claim in every JWT, ensuring only tokens issued for arcadehaven-api are accepted. Tokens issued for other audiences (e.g. Keycloak admin console) will be rejected.</t>
  </si>
  <si>
    <t>Api/src/main/.../Security/SecurityConfig.java (oauth2ResourceServer JWT validation on every request)</t>
  </si>
  <si>
    <t>V10.3.2</t>
  </si>
  <si>
    <t>Verify that the resource server enforces authorization decisions based on claims from the access token that define delegated authorization. If claims such as 'sub', 'scope', and 'authorization_details' are present, they must be part of the decision.</t>
  </si>
  <si>
    <t>Authorization decisions are enforced by Spring Security using @PreAuthorize annotations. The sub, scope, and role claims from the JWT are all evaluated in access control decisions at the method level</t>
  </si>
  <si>
    <t>Api/src/main/.../Security/KeycloakRoleConverter.java; Security/SecurityConfig.java</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</si>
  <si>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</si>
  <si>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</si>
  <si>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Users are uniquely identified by the combination of iss (Keycloak issuer URL) and sub (user UUID) claims. This pair is non-reassignable and used as the canonical user identity across the resource server.</t>
  </si>
  <si>
    <t>Api/src/main/.../Security/KeycloakRoleConverter.java (sub=UUID); Security/SecurityConfig.java (iss)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</si>
  <si>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</si>
  <si>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</si>
  <si>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Standard JWT validation (expiry, signature, audience) is enforced</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</si>
  <si>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</si>
  <si>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</si>
  <si>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Token theft mitigation relies on short-lived access tokens (15 minutes) and HTTPS enforcement throughout. This may be revisited in a future phase.</t>
  </si>
  <si>
    <t>V10.4</t>
  </si>
  <si>
    <t>OAuth Authorization Server</t>
  </si>
  <si>
    <t>V10.4.1</t>
  </si>
  <si>
    <t>Verify that the authorization server validates redirect URIs based on a client-specific allowlist of pre-registered URIs using exact string comparison.</t>
  </si>
  <si>
    <t>Keycloak is configured with an explicit allowlist of valid redirect URIs per client, using exact string matching. Wildcard URIs are not permitted.</t>
  </si>
  <si>
    <t>Api/src/main/.../Service/AuthService.java (Keycloak Admin API manages redirect URIs); Config/KeycloakAdminConfig.java</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</si>
  <si>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</si>
  <si>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</si>
  <si>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Keycloak enforces single-use authorization codes natively. If a code is reused, Keycloak rejects the request and revokes any previously issued tokens linked to that code.</t>
  </si>
  <si>
    <t>Api/src/main/.../Service/AuthService.java (authorization_code grant flow delegated to Keycloak)</t>
  </si>
  <si>
    <t>V10.4.3</t>
  </si>
  <si>
    <t>Verify that the authorization code is short-lived. The maximum lifetime can be up to 10 minutes for L1 and L2 applications and up to 1 minute for L3 applications.</t>
  </si>
  <si>
    <t>Authorization codes will be configured with a short lifetime (≤ 1 minute) in Keycloak.</t>
  </si>
  <si>
    <t>Api/src/main/.../Service/AuthService.java; Config/KeycloakAdminConfig.java (Keycloak enforces short-lived auth codes)</t>
  </si>
  <si>
    <t>V10.4.4</t>
  </si>
  <si>
    <t>Verify that for a given client, the authorization server only allows the usage of grants that this client needs to use. Note that the grants 'token' (Implicit flow) and 'password' (Resource Owner Password Credentials flow) must no longer be used.</t>
  </si>
  <si>
    <t>Only the Authorization Code grant type is enabled for ArcadeHaven clients in Keycloak. Implicit flow (token) and Resource Owner Password Credentials (password) are explicitly disabled.</t>
  </si>
  <si>
    <t>Api/src/main/.../Service/AuthService.java (single client_id per flow); Config/KeycloakAdminConfig.java</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</si>
  <si>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</si>
  <si>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</si>
  <si>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Keycloak will be configured with refresh token rotation, each use of a refresh token issues a new token and invalidates the previous one. If a revoked refresh token is presented, all tokens for that session are revoked immediately</t>
  </si>
  <si>
    <t>Api/src/main/.../Service/AuthService.java (logout revokes all tokens including refresh); Controller/AuthController.java</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</si>
  <si>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</si>
  <si>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</si>
  <si>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PKCE is enforced for all authorization code requests. Keycloak requires a valid code_challenge using S256 method. The plain method is explicitly disallowed. The code_verifier is validated on every token request.</t>
  </si>
  <si>
    <t>Api/src/main/.../Service/AuthService.java (PKCE delegated to Keycloak); Config/KeycloakAdminConfig.java</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</si>
  <si>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</si>
  <si>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</si>
  <si>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Dynamic client registration is not supported in ArcadeHaven. All clients are pre-registered in Keycloak by administrators. No unauthenticated registration endpoint is exposed.</t>
  </si>
  <si>
    <t>V10.4.8</t>
  </si>
  <si>
    <t>Verify that refresh tokens have an absolute expiration, including if sliding refresh token expiration is applied.</t>
  </si>
  <si>
    <t>Refresh tokens will have an absolute expiration of 7 days, configured in Keycloak. Sliding expiration is disabled to prevent indefinite session extension.</t>
  </si>
  <si>
    <t>Api/src/main/.../Service/AuthService.java (refresh token lifetime managed by Keycloak realm); Controller/AuthController.java</t>
  </si>
  <si>
    <t>V10.4.9</t>
  </si>
  <si>
    <t>Verify that refresh tokens and reference access tokens can be revoked by an authorized user using the authorization server user interface, to mitigate the risk of malicious clients or stolen tokens.</t>
  </si>
  <si>
    <t>Users can revoke sessions and refresh tokens via the Keycloak account management console and via the ArcadeHaven logout endpoint (POST /api/auth/logout), which calls Keycloak's token revocation endpoint.</t>
  </si>
  <si>
    <t>Api/src/main/.../Service/AuthService.java (logout() keycloak.realm().users().get(id).logout() revokes refresh tokens)</t>
  </si>
  <si>
    <t>V10.4.10</t>
  </si>
  <si>
    <t>Verify that confidential client is authenticated for client-to-authorized server backchannel requests such as token requests, pushed authorization requests (PAR), and token revocation requests.</t>
  </si>
  <si>
    <t>The Spring Boot backend (acting as a confidential client when needed) authenticates to Keycloak using a client_secret. All backend-to-Keycloak calls (token introspection, revocation) use confidential client credentials.</t>
  </si>
  <si>
    <t>Api/src/main/.../Config/KeycloakAdminConfig.java (confidential client authenticated with KEYCLOAK_ADMIN_SECRET env var)</t>
  </si>
  <si>
    <t>V10.4.11</t>
  </si>
  <si>
    <t>Verify that the authorization server configuration only assigns the required scopes to the OAuth client.</t>
  </si>
  <si>
    <t>Keycloak client configurations will only include the required scopes (openid, profile, email). No unnecessary scopes are assigned to ArcadeHaven clients.</t>
  </si>
  <si>
    <t>Api/src/main/.../Config/KeycloakAdminConfig.java; application.properties (single keycloak.realm + client-id)</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</si>
  <si>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</si>
  <si>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</si>
  <si>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Only response_mode=query (default for code flow) is permitted. No other response modes are configured or accepted for ArcadeHaven clients in Keycloak.</t>
  </si>
  <si>
    <t>V10.4.13</t>
  </si>
  <si>
    <t>Verify that grant type 'code' is always used together with pushed authorization requests (PAR).</t>
  </si>
  <si>
    <t>Pushed Authorization Requests (PAR) are not implemented</t>
  </si>
  <si>
    <t>V10.4.14</t>
  </si>
  <si>
    <t>Verify that the authorization server issues only sender-constrained (Proof-of-Possession) access tokens, either with certificate-bound access tokens using mutual TLS (mTLS) or DPoP-bound access tokens (Demonstration of Proof of Possession).</t>
  </si>
  <si>
    <t>Sender-constrained access tokens (mTLS or DPoP) are out of scope for Phase 1. Standard bearer tokens are used, protected by HTTPS and short expiry.</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</si>
  <si>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</si>
  <si>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</si>
  <si>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 xml:space="preserve">	ArcadeHaven does not use authorization_details (Rich Authorization Requests). Not applicable in the current scope.</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</si>
  <si>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</si>
  <si>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</si>
  <si>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Strong client authentication via mTLS or private_key_jwt is not implemented.</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</si>
  <si>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</si>
  <si>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</si>
  <si>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</si>
  <si>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</si>
  <si>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This will generate a nonce value on every authentication request and validate it against the nonce claim in the returned ID Token, protecting against ID Token replay attacks.</t>
  </si>
  <si>
    <t>Api/src/main/.../Security/SecurityConfig.java (Spring Security validates JWT; nonce/state enforced by Keycloak)</t>
  </si>
  <si>
    <t>V10.5.2</t>
  </si>
  <si>
    <t>Verify that the client uniquely identifies the user from ID Token claims, usually the 'sub' claim, which cannot be reassigned to other users (for the scope of an identity provider).</t>
  </si>
  <si>
    <t xml:space="preserve">	Users are uniquely identified by the sub claim in the ID Token, which maps to the Keycloak user UUID. This value is non-reassignable within the Keycloak identity provider.</t>
  </si>
  <si>
    <t>Api/src/main/.../Security/KeycloakRoleConverter.java (sub UUID, non-reassignable)</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</si>
  <si>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</si>
  <si>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</si>
  <si>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The Spring Boot backend validate the iss claim against a pre-configured Keycloak issuer URL. Any token with a different issuer is rejected, preventing authorization server impersonation.</t>
  </si>
  <si>
    <t>Api/src/main/.../Security/SecurityConfig.java; application.properties (issuer-uri)</t>
  </si>
  <si>
    <t>V10.5.4</t>
  </si>
  <si>
    <t>Verify that the client validates that the ID Token is intended to be used for that client (audience) by checking that the 'aud' claim from the token is equal to the 'client_id' value for the client.</t>
  </si>
  <si>
    <t>The aud claim in the ID Token is validated against the registered client_id of the ArcadeHaven frontend client, ensuring tokens issued for other clients are rejected.</t>
  </si>
  <si>
    <t>Api/src/main/.../Security/SecurityConfig.java (issuer-uri validates aud/iss); application.properties (jwt.issuer-uri)</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</si>
  <si>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</si>
  <si>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</si>
  <si>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 xml:space="preserve">OIDC back-channel logout is not implemented. Session termination relies on refresh token revocation and short-lived access tokens. </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</si>
  <si>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</si>
  <si>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</si>
  <si>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</si>
  <si>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</si>
  <si>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Keycloak (acting as the OpenID Provider) is configured to only permit code as the response type for ArcadeHaven clients. Implicit flow (token, id_token token) is explicitly disabled.</t>
  </si>
  <si>
    <t>Api/src/main/.../Security/SecurityConfig.java (response_type=code only accepted); application.properties (issuer-uri)</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</si>
  <si>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</si>
  <si>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</si>
  <si>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Keycloak validates the id_token_hint parameter on logout requests and requires explicit user confirmation before terminating sessions. Forced logout DoS is mitigated by Keycloak's built-in logout flow validation.</t>
  </si>
  <si>
    <t>Api/src/main/.../Security/RateLimitFilter.java (rate limits auth endpoints); Security/SecurityAuditService.java (alert on repeated failures)</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</si>
  <si>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</si>
  <si>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</si>
  <si>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</si>
  <si>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</si>
  <si>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Keycloak is configured to prompt users for consent on every authorization request where the client identity cannot be fully assured. For well-known ArcadeHaven clients, consent may be pre-approved at registration, but this is explicitly configured per client.</t>
  </si>
  <si>
    <t>Api/src/main/.../Service/AuthService.java (Keycloak manages consent UI); Config/KeycloakAdminConfig.java</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</si>
  <si>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</si>
  <si>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</si>
  <si>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Keycloak's consent screen presents clear information about the requested scopes, the identity of the authorizing application (ArcadeHaven), and the session lifetime. Users see what they are authorizing before approving.</t>
  </si>
  <si>
    <t>Api/src/main/.../Service/AuthService.java (Keycloak authorization server prompts consent)</t>
  </si>
  <si>
    <t>V10.7.3</t>
  </si>
  <si>
    <t>Verify that the user can review, modify, and revoke consents which the user has granted through the authorization server.</t>
  </si>
  <si>
    <t>Users can review and revoke active sessions and granted consents via the Keycloak account management console (/realms/arcadehaven/account). The ArcadeHaven logout endpoint also triggers full session revocation via Keycloak.</t>
  </si>
  <si>
    <t>Api/src/main/.../Service/AuthService.java (logout revokes all sessions/consents); Controller/AuthController.java</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</si>
  <si>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</si>
  <si>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</si>
  <si>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</si>
  <si>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</si>
  <si>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ArcadeHaven's cryptographic keys are documented at the requirements level: the JWT signing secret is managed as an environment variable (RNF-23, SC-001), and the BCrypt cost factor is a configurable application parameter (RNF-01). A formal key management lifecycle document covering key generation, storage, rotation schedule, expiry, and revocation — aligned with NIST SP 800-57 — is being produced. The JWT signing key is the highest-priority asset: its compromise would allow forging authentication tokens for any user role.</t>
  </si>
  <si>
    <t>Api/src/main/.../Security/WebServerTlsConfig.java (ENABLED_TLS_PROTOCOLS, APPROVED/FORBIDDEN cipher suites); application.properties (TLS 1.2+)</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</si>
  <si>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</si>
  <si>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</si>
  <si>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ArcadeHaven's cryptographic operations are documented across RNF-01, RNF-02, RNF-05, and RNF-08: BCrypt (work factor 12) for password hashing, HMAC-SHA256 for JWT signing, TLS 1.2+ for transport, and CSPRNG for activation key generation. A consolidated cryptographic inventory — listing each operation with its algorithm parameters, key storage location, data types protected, and usage restrictions — is being assembled from these sources into a single reference document.</t>
  </si>
  <si>
    <t>Api/pom.xml (cyclonedx-maven-plugin 2.9.0); .github/workflows/build.yml (makeAggregateBom + SBOM artifact upload)</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</si>
  <si>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</si>
  <si>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</si>
  <si>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</si>
  <si>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</si>
  <si>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</si>
  <si>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</si>
  <si>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</si>
  <si>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</si>
  <si>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ArcadeHaven uses industry-standard libraries for all cryptographic operations. BCrypt is implemented via Spring Security's BCryptPasswordEncoder, a widely audited production-grade implementation. JWT signing and verification uses a standard JWT library (jjwt or Spring Security OAuth2). No custom cryptographic code is written — all operations are delegated to these validated libraries.</t>
  </si>
  <si>
    <t>Api/src/main/.../Service/PasswordPolicyService.java; Security/SecurityConfig.java; Api/pom.xml</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</si>
  <si>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</si>
  <si>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</si>
  <si>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ArcadeHaven's cryptographic parameters are configurable without architectural redesign: the BCrypt cost factor is an application configuration parameter, the JWT algorithm can be reconfigured within the JWT library (e.g., swapping HS256 for RS256 by changing the signing key and algorithm identifier), and TLS cipher suite selection is an infrastructure-level configuration. A documented crypto agility plan — defining the upgrade path and re-hashing migration procedure for each algorithm in the event of a cryptographic break — is being added to the security architecture documentation.</t>
  </si>
  <si>
    <t>Api/src/main/.../Security/WebServerTlsConfig.java (configurable ENABLED_TLS_PROTOCOLS, APPROVED_CIPHER_SUITES); Security/SecurityConfig.java</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</si>
  <si>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</si>
  <si>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</si>
  <si>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BCrypt with work factor 12 provides adequate security against brute-force attacks on the hash output. JWT HS256 uses a 256-bit HMAC key, providing 128-bit security equivalence. TLS 1.2+ mandates cipher suites with at least 128-bit security (AES-128-GCM or AES-256-GCM). The JWT signing secret must be at least 256 bits (32 bytes) to match the HS256 key size requirement.</t>
  </si>
  <si>
    <t>Api/src/main/.../Security/SecurityConfig.java (RS256/HS256, BCrypt&gt;=12, TLS1.2+)</t>
  </si>
  <si>
    <t>V11.2.4</t>
  </si>
  <si>
    <t>Verify that all cryptographic operations are constant-time, with no 'short-circuit' operations in comparisons, calculations, or returns, to avoid leaking information.</t>
  </si>
  <si>
    <t>Although a Level 3 requirement, ArcadeHaven's cryptographic libraries already implement constant-time behavior. Spring Security's BCryptPasswordEncoder.matches() uses constant-time comparison for hash verification. Standard JWT libraries (jjwt, Spring Security OAuth2) use constant-time HMAC comparison to prevent timing side-channel attacks on signature verification. No custom comparison logic bypasses these guarantees. A formal verification sweep to confirm no application-level comparison paths short-circuit on cryptographic values has not yet been completed.</t>
  </si>
  <si>
    <t>Api/src/main/.../Security/SecurityConfig.java (BCryptPasswordEncoder.matches, Nimbus JOSE)</t>
  </si>
  <si>
    <t>V11.2.5</t>
  </si>
  <si>
    <t>Verify that all cryptographic modules fail securely, and errors are handled in a way that does not enable vulnerabilities, such as Padding Oracle attacks.</t>
  </si>
  <si>
    <t>Padding Oracle attacks require an application to perform CBC-mode block cipher decryption and return distinguishable error responses for padding failures versus decryption failures. ArcadeHaven performs no application-level CBC decryption. Transport encryption is handled entirely by TLS (RNF-05); password storage uses BCrypt (not a symmetric cipher); JWT uses HMAC-SHA256 signing (not encryption). The attack surface for Padding Oracle vulnerabilities is architecturally absent.</t>
  </si>
  <si>
    <t>V11.3</t>
  </si>
  <si>
    <t>Encryption Algorithms</t>
  </si>
  <si>
    <t>V11.3.1</t>
  </si>
  <si>
    <t>Verify that insecure block modes (e.g., ECB) and weak padding schemes (e.g., PKCS#1 v1.5) are not used.</t>
  </si>
  <si>
    <t>ArcadeHaven does not implement application-level symmetric encryption. All block cipher usage is within TLS 1.2+, which prohibits ECB mode and PKCS#1 v1.5 padding. BCrypt does not use ECB; JWT payloads are Base64url-encoded and signed — not encrypted with a block cipher. No ECB or weak padding schemes exist in the application's cryptographic surface.</t>
  </si>
  <si>
    <t>Api/src/main/.../Security/SecurityConfig.java (TLS1.2+ only, no ECB)</t>
  </si>
  <si>
    <t>V11.3.2</t>
  </si>
  <si>
    <t>Verify that only approved ciphers and modes such as AES with GCM are used.</t>
  </si>
  <si>
    <t>Transport encryption across all ArcadeHaven endpoints uses HTTPS with TLS 1.2 or higher (RNF-05). TLS 1.2+ negotiates only approved cipher suites including AES-128-GCM and AES-256-GCM. The application does not perform additional symmetric encryption beyond what TLS provides — data at rest is either BCrypt-hashed (passwords) or stored with access controls.</t>
  </si>
  <si>
    <t>Api/src/main/.../Security/SecurityConfig.java (TLS AES-GCM cipher suites)</t>
  </si>
  <si>
    <t>V11.3.3</t>
  </si>
  <si>
    <t>Verify that encrypted data is protected against unauthorized modification preferably by using an approved authenticated encryption method or by combining an approved encryption method with an approved MAC algorithm.</t>
  </si>
  <si>
    <t>JWT tokens — the primary bearer of sensitive state in ArcadeHaven — use HMAC-SHA256 (HS256) to produce a signature over the Base64url-encoded header and payload. Any modification to the token claims (e.g., changing the user role from buyer to admin) invalidates the signature and causes rejection. TLS-protected responses are also integrity-protected by the TLS record MAC.</t>
  </si>
  <si>
    <t>Api/src/main/.../Security/SecurityConfig.java (HMAC-SHA256 JWT integrity)</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</si>
  <si>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</si>
  <si>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</si>
  <si>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</si>
  <si>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</si>
  <si>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ArcadeHaven implements no custom combination of a symmetric cipher and a separate MAC algorithm. JWT uses sign-then-Base64url-encode with HMAC-SHA256 (not a cipher+MAC combination). TLS-authenticated encryption (AEAD via AES-GCM) is handled internally by the TLS stack — the application does not compose encryption and MAC operations separately. The encrypt-then-MAC ordering concern is architecturally inapplicable to ArcadeHaven's cryptographic surface.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</si>
  <si>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</si>
  <si>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</si>
  <si>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</si>
  <si>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</si>
  <si>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ArcadeHaven uses only approved hash functions. BCrypt (for password hashing) uses an internal Blowfish-based construction approved as a password KDF. JWT signing uses HMAC-SHA256, an approved MAC construction based on SHA-256. MD5 and SHA-1 are not used anywhere in the application's cryptographic surface.</t>
  </si>
  <si>
    <t>Api/src/main/.../Service/PasswordPolicyService.java (SHA-1 HIBP-only, non-cryptographic)</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</si>
  <si>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</si>
  <si>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</si>
  <si>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All ArcadeHaven user passwords are stored as BCrypt hashes (RNF-01, AC-001). BCrypt is the industry-standard password KDF, specifically designed to be computationally intensive and resistant to GPU-accelerated brute-force attacks. The work factor is configurable and must be set to at least 10; current OWASP guidance recommends 12. The work factor is stored in the hash itself, enabling seamless re-hashing to a higher cost factor in future. Plaintext passwords are never stored or logged.</t>
  </si>
  <si>
    <t>Api/src/main/.../Service/AuthService.java (Keycloak BCrypt &gt;= work factor 12)</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</si>
  <si>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</si>
  <si>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</si>
  <si>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JWT tokens in ArcadeHaven are signed using HMAC-SHA256 (HS256). SHA-256 produces a 256-bit (32-byte) output, meeting the minimum bit-length for collision resistance. The HMAC construction provides both collision resistance and a keyed MAC property, ensuring that only the holder of the JWT signing secret can produce a valid signature. This protects against token forgery and role claim modification (abuse case AC-03).</t>
  </si>
  <si>
    <t>Api/src/main/.../Security/SecurityConfig.java (HMAC-SHA256 256-bit / RS256)</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</si>
  <si>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</si>
  <si>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</si>
  <si>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BCrypt's adaptive cost factor provides key stretching for password hashing (RNF-01). The cost factor determines the number of Blowfish key schedule rounds, making each hash attempt exponentially more expensive as the factor increases. An attacker who obtains the BCrypt hash cannot brute-force the original password efficiently. The cost factor must be calibrated to take at least 100ms per hash on current hardware, per OWASP guidance.</t>
  </si>
  <si>
    <t>Api/src/main/.../Service/AuthService.java (Keycloak BCrypt adaptive cost)</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</si>
  <si>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</si>
  <si>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</si>
  <si>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</si>
  <si>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</si>
  <si>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A security gap has been identified: RNF-08 specifies activation key generation using "UUID or equivalent," but this requirement explicitly states that UUIDs do not meet the CSPRNG 128-bit entropy condition. Activation keys grant access to purchased games in a buyer's library and are high-value targets for theft (abuse case AC-07). The fix is to generate 128 bits of raw entropy using Java's SecureRandom, encoded as a 32-character hex or 22-character base64url string. SC-003 and RNF-08 are being updated to reflect CSPRNG-based generation.</t>
  </si>
  <si>
    <t>Api/src/main/.../Service/SftpStorageService.java (UUID.randomUUID() for secure filenames); Domain entities (UUID primary keys via @GeneratedValue)</t>
  </si>
  <si>
    <t>V11.5.2</t>
  </si>
  <si>
    <t>Verify that the random number generation mechanism in use is designed to work securely, even under heavy demand.</t>
  </si>
  <si>
    <t>Although a Level 3 requirement, Java's SecureRandom — the CSPRNG mandated by V11.5.1 for activation key generation — is by design non-blocking and thread-safe under concurrent load. Since Java 9, the NativePRNGNonBlocking algorithm reads from /dev/urandom on Linux (never blocks) and the JVM reseeds automatically without degrading to a predictable state. No application-level changes are required; the mechanism is inherently compliant. A formal confirmation of the SecureRandom algorithm variant in use within the Docker container is pending.</t>
  </si>
  <si>
    <t>Java SecureRandom (NativePRNGNonBlocking on Linux, JVM built-in)</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</si>
  <si>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</si>
  <si>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</si>
  <si>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</si>
  <si>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</si>
  <si>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ArcadeHaven uses JWT for authentication (RNF-02). If HS256 is used, the HMAC shared secret is a random byte array with no susceptibility to RSA-specific attacks such as Fermat factorization. If RS256 is used, the RSA key pair must be generated via Java KeyPairGenerator with a minimum key size of 3072 bits — standard Spring Security and JWT library implementations enforce correct prime selection and are not vulnerable to Fermat factorization. Algorithm confusion attacks (HS256 vs RS256 swap) are rejected by the JWT library.</t>
  </si>
  <si>
    <t>Api/src/main/.../Security/SecurityConfig.java; application.properties (jwt.*)</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</si>
  <si>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</si>
  <si>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</si>
  <si>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ArcadeHaven performs no application-level key exchange. All key establishment is handled by TLS at the transport layer (RNF-05). The TLS stack negotiates cipher suites using ECDHE or DHE with approved parameters, which is an infrastructure concern. The application does not implement Diffie-Hellman or any key exchange protocol directly. This is also a Level 3 requirement.</t>
  </si>
  <si>
    <t>V11.7</t>
  </si>
  <si>
    <t>In-Use Data Cryptography</t>
  </si>
  <si>
    <t>V11.7.1</t>
  </si>
  <si>
    <t>Verify that full memory encryption is in use that protects sensitive data while it is in use, preventing access by unauthorized users or processes.</t>
  </si>
  <si>
    <t>Full memory encryption (e.g., AMD SME/SEV, Intel TME) is a hardware and OS-level capability that operates below the application layer. ArcadeHaven cannot implement or control this from within a Java/Spring Boot application or Docker container. The application minimises sensitive data in memory: plaintext passwords are passed directly to BCrypt and not retained; JWT tokens live only for the duration of a single request. Memory protection beyond this scope is an infrastructure responsibility outside the application's control surface.</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</si>
  <si>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</si>
  <si>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</si>
  <si>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</si>
  <si>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</si>
  <si>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</si>
  <si>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</si>
  <si>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ArcadeHaven will enforce TLS 1.2 and TLS 1.3 only. TLS 1.0 and 1.1 will be explicitly disabled in the Spring Boot embedded Tomcat configuration and in the reverse proxy (Nginx/Docker). TLS 1.3 will be set as the preferred version.</t>
  </si>
  <si>
    <t>Api/src/main/.../Security/WebServerTlsConfig.java (ENABLED_TLS_PROTOCOLS="TLSv1.2,TLSv1.3"); application.properties (server.ssl.*)</t>
  </si>
  <si>
    <t>V12.1.2</t>
  </si>
  <si>
    <t>Verify that only recommended cipher suites are enabled, with the strongest cipher suites set as preferred. L3 applications must only support cipher suites which provide forward secrecy.</t>
  </si>
  <si>
    <t>Only strong cipher suites will be enabled. Weak ciphers (e.g. RC4, 3DES, NULL) will be explicitly disabled. For Level 2, cipher suites supporting forward secrecy (ECDHE-based) will be preferred and configured in the reverse proxy TLS settings.</t>
  </si>
  <si>
    <t>Api/src/main/.../Security/WebServerTlsConfig.java (APPROVED_CIPHER_SUITES: ECDHE-ECDSA/RSA-AES256/128-GCM; FORBIDDEN_CIPHER_SUITES blocked)</t>
  </si>
  <si>
    <t>V12.1.3</t>
  </si>
  <si>
    <t>Verify that the application validates that mTLS client certificates are trusted before using the certificate identity for authentication or authorization.</t>
  </si>
  <si>
    <t>ArcadeHaven does not implement mutual TLS (mTLS) client certificate authentication in Phase 1. Authentication is handled via JWT Bearer tokens.</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</si>
  <si>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</si>
  <si>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</si>
  <si>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</si>
  <si>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</si>
  <si>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</si>
  <si>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</si>
  <si>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</si>
  <si>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</si>
  <si>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All client-to-API communication will be over HTTPS only. HTTP connections will not be redirected but rejected outright to prevent silent plaintext data leakage. Enforced via Spring Security and reverse proxy configuration.</t>
  </si>
  <si>
    <t>Api/src/main/resources/application.properties (server.ssl.*); Api/docker-compose.yml (TLS termination config)</t>
  </si>
  <si>
    <t>V12.2.2</t>
  </si>
  <si>
    <t>Verify that external facing services use publicly trusted TLS certificates.</t>
  </si>
  <si>
    <t>A publicly trusted TLS certificate (e.g. Let's Encrypt) will be used for the ArcadeHaven API in production. Self-signed certificates will only be used in local development environments and will never be used in staging or production.</t>
  </si>
  <si>
    <t>Api/src/main/resources/application.properties (spring.security.oauth2.resourceserver.jwt.issuer-uri with HTTPS)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</si>
  <si>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</si>
  <si>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</si>
  <si>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</si>
  <si>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</si>
  <si>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All inter-service and external communications enforce TLS with no fallback to plaintext protocols.</t>
  </si>
  <si>
    <t>Api/src/main/.../Service/SftpStorageService.java (SSH/SFTP via SSHJ library for all file transfer)</t>
  </si>
  <si>
    <t>V12.3.2</t>
  </si>
  <si>
    <t>Verify that TLS clients validate certificates received before communicating with a TLS server.</t>
  </si>
  <si>
    <t>TLS certificates are validated for all outbound connections; validation is never disabled.</t>
  </si>
  <si>
    <t>Api/src/main/.../Service/SftpStorageService.java (OpenSSHKnownHosts verification when sftp.known-hosts-path is configured)</t>
  </si>
  <si>
    <t>V12.3.3</t>
  </si>
  <si>
    <t>Verify that TLS or another appropriate transport encryption mechanism used for all connectivity between internal, HTTP-based services within the application, and does not fall back to insecure or unencrypted communications.</t>
  </si>
  <si>
    <t>Covered by V12.3.1. Internal DB communication explicitly enforces TLS.</t>
  </si>
  <si>
    <t>Api/src/main/.../Service/SftpStorageService.java (all file ops over SFTP/SSH); application.properties (sftp.*)</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</si>
  <si>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</si>
  <si>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</si>
  <si>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Only explicitly trusted certificates are accepted; no global trust of self-signed certificates.</t>
  </si>
  <si>
    <t>Api/src/main/.../Service/SftpStorageService.java (known-hosts-path for trusted host verification; PromiscuousVerifier only in dev); docker-compose.yml</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</si>
  <si>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</si>
  <si>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</si>
  <si>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</si>
  <si>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</si>
  <si>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</si>
  <si>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</si>
  <si>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All communication channels will be documented, including database connectivity, external API integration and server-side file generation</t>
  </si>
  <si>
    <t>Api/docker-compose.yml (inter-service network: api, keycloak, postgres, sftp-server); application.properties (all external service endpoints documented)</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</si>
  <si>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</si>
  <si>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</si>
  <si>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</si>
  <si>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</si>
  <si>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</si>
  <si>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</si>
  <si>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</si>
  <si>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</si>
  <si>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</si>
  <si>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</si>
  <si>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</si>
  <si>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</si>
  <si>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</si>
  <si>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</si>
  <si>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No default credentials are used in the system. All environments rely on explicit configuration via environment variables</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</si>
  <si>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</si>
  <si>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</si>
  <si>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</si>
  <si>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</si>
  <si>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ArcadeHeaven does not dynamically load external resources</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</si>
  <si>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</si>
  <si>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</si>
  <si>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</si>
  <si>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</si>
  <si>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</si>
  <si>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</si>
  <si>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</si>
  <si>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</si>
  <si>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</si>
  <si>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</si>
  <si>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</si>
  <si>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</si>
  <si>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</si>
  <si>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</si>
  <si>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</si>
  <si>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</si>
  <si>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</si>
  <si>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</si>
  <si>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</si>
  <si>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</si>
  <si>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Directory listing is not enabled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</si>
  <si>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</si>
  <si>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</si>
  <si>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</si>
  <si>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</si>
  <si>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</si>
  <si>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</si>
  <si>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</si>
  <si>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</si>
  <si>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The web tier does not serve static files directly</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</si>
  <si>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</si>
  <si>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</si>
  <si>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</si>
  <si>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</si>
  <si>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All sensitive data in ArcadeHaven will be identified and classified. Key sensitive data includes: password hashes, JWT tokens, activation keys, personal user data (email, username), order history, and payment-related data. JWT payloads will be treated as sensitive despite being only Base64-encoded. Classification will be documented in the data protection policy.</t>
  </si>
  <si>
    <t>Api/src/main/.../Service/PasswordPolicyService.java (SHA-1 prefix only for HIBP, full hash never stored); Security/SecurityAuditService.java (IP logged, no credentials)</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</si>
  <si>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</si>
  <si>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</si>
  <si>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Due to the academic scope of this project, this requirement is considered out of scope and is therefore not implemented.</t>
  </si>
  <si>
    <t>V14.2</t>
  </si>
  <si>
    <t>General Data Protection</t>
  </si>
  <si>
    <t>V14.2.1</t>
  </si>
  <si>
    <t>Verify that sensitive data is only sent to the server in the HTTP message body or header fields, and that the URL and query string do not contain sensitive information, such as an API key or session token.</t>
  </si>
  <si>
    <t>ArcadeHaven API will never include sensitive data (API keys, tokens, passwords) in URL query strings. All sensitive data will be transmitted in the HTTP request body (POST/PUT) or in the Authorization header. Enforced by API design guidelines and validated in code reviews.</t>
  </si>
  <si>
    <t>Api/src/main/.../Controller/AuthController.java; Dto/Request/RegisterRequest.java</t>
  </si>
  <si>
    <t>V14.2.2</t>
  </si>
  <si>
    <t>Verify that the application prevents sensitive data from being cached in server components, such as load balancers and application caches, or ensures that the data is securely purged after use.</t>
  </si>
  <si>
    <t>Sensitive API responses will include Cache-Control: no-store headers to prevent caching in intermediary layers such as load balancers or reverse proxies.</t>
  </si>
  <si>
    <t>Api/src/main/.../Exception/GlobalExceptionHandler.java (generic error messages only, no internal details leaked); Security/SecurityEventHandler.java</t>
  </si>
  <si>
    <t>V14.2.3</t>
  </si>
  <si>
    <t>Verify that defined sensitive data is not sent to untrusted parties (e.g., user trackers) to prevent unwanted collection of data outside of the application's control.</t>
  </si>
  <si>
    <t>ArcadeHaven does not integrate any third-party trackers or analytics services. The only external service calls are to RAWG API (game metadata, no user data sent). No user data is shared with untrusted parties.</t>
  </si>
  <si>
    <t>Api/src/main/.../Service/PasswordPolicyService.java (HIBP 5-char prefix only)</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</si>
  <si>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</si>
  <si>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</si>
  <si>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Controls defined in V14.1.2 will be implemented and verified: BCrypt for password hashing, TLS for data in transit, Cache-Control: no-store for sensitive responses, role-based access to sensitive log data, and data retention policies enforced via scheduled database cleanup jobs.</t>
  </si>
  <si>
    <t>Api/src/main/resources/application.properties (TLS config); Security/WebServerTlsConfig.java; Security/SecurityConfig.java</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</si>
  <si>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</si>
  <si>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</si>
  <si>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</si>
  <si>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</si>
  <si>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</si>
  <si>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</si>
  <si>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</si>
  <si>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</si>
  <si>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</si>
  <si>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</si>
  <si>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</si>
  <si>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</si>
  <si>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ArcadeHaven is a back-end REST API with no browser-facing front-end. Client-side storage clearing and Clear-Site-Data headers are not applicable in the current scope.</t>
  </si>
  <si>
    <t>V14.3.2</t>
  </si>
  <si>
    <t>Verify that the application sets sufficient anti-caching HTTP response header fields (i.e., Cache-Control: no-store) so that sensitive data is not cached in browsers.</t>
  </si>
  <si>
    <t>Sensitive responses include Cache-Control: no-store to prevent caching by browsers, proxies, and intermediaries.</t>
  </si>
  <si>
    <t>Api/src/main/.../Security/SecurityConfig.java (.cacheControl(Customizer.withDefaults()) sets Cache-Control: no-cache, no-store)</t>
  </si>
  <si>
    <t>V14.3.3</t>
  </si>
  <si>
    <t>Verify that data stored in browser storage (such as localStorage, sessionStorage, IndexedDB, or cookies) does not contain sensitive data, with the exception of session tokens.</t>
  </si>
  <si>
    <t>Authentication uses JWT Bearer tokens passed in the Authorization header, managed entirely by the API consumer.</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</si>
  <si>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</si>
  <si>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</si>
  <si>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</si>
  <si>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</si>
  <si>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This is a Level 3 requirement. ArcadeHaven targets ASVS Level 2. Spring beans are singletons by default; thread-safety depends on all service and controller components being stateless. A formal thread-safety audit of all shared state has not been performed.</t>
  </si>
  <si>
    <t>Api/pom.xml (owasp dependency-check-maven plugin); .github/workflows/sast-codeql.yml (CodeQL security-extended); .github/workflows/sca-dependency-check.yml</t>
  </si>
  <si>
    <t>V15.1.2</t>
  </si>
  <si>
    <t>Verify that an inventory catalog, such as software bill of materials (SBOM), is maintained of all third-party libraries in use, including verifying that components come from pre-defined, trusted, and continually maintained repositories.</t>
  </si>
  <si>
    <t>pom.xml provides a complete list of all direct third-party dependencies. All dependencies are sourced from Maven Central, a pre-defined and trusted repository. A formal SBOM in CycloneDX format is being generated via the cyclonedx-maven-plugin, which includes transitive dependencies.</t>
  </si>
  <si>
    <t>Api/pom.xml (cyclonedx-maven-plugin 2.9.0); .github/workflows/build.yml (makeAggregateBom + artifact upload)</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</si>
  <si>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</si>
  <si>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</si>
  <si>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Resource-demanding operations identified and documented: file uploads (FO-001/002 — max size and MIME validation), PDF invoice generation via iText (RF-16/26 — triggered only on confirmed order completion), and RAWG API calls (RF-12/RNF-16 — configurable timeout with local metadata fallback). Rate limiting (AC-006, RNF-09) applies across all high-volume endpoints.</t>
  </si>
  <si>
    <t>Api/pom.xml (all dependencies explicitly versioned via Spring Boot BOM)</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</si>
  <si>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</si>
  <si>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</si>
  <si>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</si>
  <si>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</si>
  <si>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Although a Level 3 requirement, ArcadeHaven's V15.1.3 analysis already identifies and documents all resource-demanding and high-risk functionality: file uploads (disk I/O, MIME validation bypass risk), PDF invoice generation via iText (server-side file generation with user-controlled order data), RAWG API HTTP calls (SSRF adjacency, external dependency), and activation key generation (CSPRNG entropy dependency). These represent the dangerous functionality areas. A separate formal "dangerous functionality" section is being added to the security architecture documentation to satisfy the explicit V15.1.5 framing.</t>
  </si>
  <si>
    <t>Api/pom.xml (maven-checkstyle-plugin, spotbugs-maven-plugin, owasp dependency-check); .github/workflows/code-quality.yml; .github/workflows/sast-codeql.yml</t>
  </si>
  <si>
    <t>V15.2</t>
  </si>
  <si>
    <t>Security Architecture and Dependencies</t>
  </si>
  <si>
    <t>V15.2.1</t>
  </si>
  <si>
    <t>Verify that the application only contains components which have not breached the documented update and remediation time frames.</t>
  </si>
  <si>
    <t>Dependencies are version-pinned in pom.xml. OWASP Dependency Check is being integrated into the CI/CD pipeline to scan all direct and transitive dependencies against the NVD on each build, blocking any component with a CVE that exceeds the documented remediation timeframe (V15.1.1). No known high or critical CVEs have been identified in the current dependency set.</t>
  </si>
  <si>
    <t>Api/pom.xml (Spring Boot 4.0.6, Spring Security, Keycloak 26.0.5, sshj 0.38.0 - all actively maintained)</t>
  </si>
  <si>
    <t>V15.2.2</t>
  </si>
  <si>
    <t>Verify that the application has implemented defenses against loss of availability due to functionality which is time-consuming or resource-demanding, based on the documented security decisions and strategies for this.</t>
  </si>
  <si>
    <t>Defenses implemented: maximum file size enforced at the Spring multipart layer (FO-001), MIME type validation rejects unexpected content (FO-002), HTTP client timeout configured for RAWG API calls (RNF-16), local metadata fallback when RAWG is unavailable, and rate limiting (AC-006, RNF-09) on all security-sensitive and high-volume endpoints to prevent repeated triggering of resource-intensive operations.</t>
  </si>
  <si>
    <t>Api/src/main/.../Security/RateLimitFilter.java; Exception/GlobalExceptionHandler.java; application.properties</t>
  </si>
  <si>
    <t>V15.2.3</t>
  </si>
  <si>
    <t>Verify that the production environment only includes functionality that is required for the application to function, and does not expose extraneous functionality such as test code, sample snippets, and development functionality.</t>
  </si>
  <si>
    <t>ArcadeHaven is containerised with Docker (RNF-21/22). Spring Boot application profiles separate development and production configurations. The production profile disables Swagger/OpenAPI UI endpoints, the H2 console, and any Spring Boot Actuator management endpoints. Test utilities and database seeding scripts are excluded from the production Docker image.</t>
  </si>
  <si>
    <t>Api/pom.xml (postgresql scope=runtime; lombok optional=true; test-scope deps excluded from production)</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</si>
  <si>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</si>
  <si>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</si>
  <si>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</si>
  <si>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</si>
  <si>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Although a Level 3 requirement, ArcadeHaven's Docker containerisation directly satisfies the requirement's explicit examples: containerization and network-level isolation. The entire application — including the iText PDF generation component, the RAWG API HTTP client, and the file upload handler — runs inside a Docker container with no host-level access. The database is isolated in a separate container with network-level access restricted to the application container. No process can escape the container boundary without explicit Docker configuration. Additional sandboxing beyond Docker (e.g., seccomp profiles, AppArmor) is being evaluated as part of the deployment hardening specification.</t>
  </si>
  <si>
    <t>Api/docker-compose.yml (separate containers, network isolation)</t>
  </si>
  <si>
    <t>V15.3</t>
  </si>
  <si>
    <t>Defensive Coding</t>
  </si>
  <si>
    <t>V15.3.1</t>
  </si>
  <si>
    <t>Verify that the application only returns the required subset of fields from a data object. For example, it should not return an entire data object, as some individual fields should not be accessible to users.</t>
  </si>
  <si>
    <t>ArcadeHaven uses dedicated response DTO classes for all API responses. Entity classes (User, Game, Order, ActivationKey) are never directly serialised into responses. The UserResponseDTO never includes passwordHash; OrderResponseDTO excludes activation key values except in the explicit library endpoint for authenticated buyers; GameResponseDTO excludes internal metadata fields.</t>
  </si>
  <si>
    <t>Api/src/main/.../Dto/Response/UserResponse.java; Dto/Response/GameResponse.java; Dto/Response/OrderResponse.java; Dto/Response/LibraryEntryResponse.java</t>
  </si>
  <si>
    <t>V15.3.2</t>
  </si>
  <si>
    <t>Verify that where the application backend makes calls to external URLs, it is configured to not follow redirects unless it is intended functionality.</t>
  </si>
  <si>
    <t>The only outbound HTTP call in ArcadeHaven is to the RAWG API for game metadata enrichment (RF-12). The HTTP client (RestTemplate or WebClient) is explicitly configured to disable automatic redirect-following. An unexpected redirect from the RAWG API is treated as a failure and falls back to locally stored metadata (RNF-16).</t>
  </si>
  <si>
    <t>Api/src/main/.../Service/AuthService.java (Keycloak Admin API with BusinessException wrapping); Service/SftpStorageService.java (SFTP with StorageException wrapping)</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</si>
  <si>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</si>
  <si>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</si>
  <si>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Spring Boot uses dedicated request DTO classes for each endpoint operation. JPA entities are never directly bound to request bodies. Fields that must not be modifiable by users — role, userId, createdAt, isApproved, activationKeyValue — are absent from request DTOs. Role assignment is performed exclusively through the administrator role-management endpoint (RF-07) with explicit authorization checks (AC-004).</t>
  </si>
  <si>
    <t>Api/src/main/.../Dto/Request/RegisterRequest.java; Dto/Request/CreateGameRequest.java; Dto/Request/UpdateProfileRequest.java; Dto/Request/AddOrderItemRequest.java</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</si>
  <si>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</si>
  <si>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</si>
  <si>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The Docker deployment configuration is defining the reverse proxy layer to forward the original client IP via the X-Forwarded-For header. The application reads the client IP from this trusted header for rate limiting (AC-006) and security event logging (LM-001). The proxy configuration strips any client-supplied X-Forwarded-For headers before appending its own, preventing IP spoofing at the application boundary.</t>
  </si>
  <si>
    <t>Api/src/main/.../Exception/GlobalExceptionHandler.java (resolveClientIp handles X-Forwarded-For); Security/SecurityConfig.java</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</si>
  <si>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</si>
  <si>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</si>
  <si>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Java is a statically and strongly typed language with no implicit type coercion. All API inputs are declared as typed DTO fields annotated with Bean Validation constraints (@NotNull, @Positive, @Email, @Size). Jackson's deserialiser rejects type mismatches with a 400 Bad Request before reaching business logic. There is no type juggling equivalent in Java.</t>
  </si>
  <si>
    <t>Api/src/main/.../Dto/Request/ (all request DTOs — Java static typing + Bean Validation)</t>
  </si>
  <si>
    <t>V15.3.6</t>
  </si>
  <si>
    <t>Verify that JavaScript code is written in a way that prevents prototype pollution, for example, by using Set() or Map() instead of object literals.</t>
  </si>
  <si>
    <t>Prototype pollution is a vulnerability class specific to JavaScript/Node.js environments. ArcadeHaven is a Java/Spring Boot backend with no JavaScript runtime component. This vulnerability class is architecturally inapplicable.</t>
  </si>
  <si>
    <t>V15.3.7</t>
  </si>
  <si>
    <t>Verify that the application has defenses against HTTP parameter pollution attacks, particularly if the application framework makes no distinction about the source of request parameters (query string, body parameters, cookies, or header fields).</t>
  </si>
  <si>
    <t>Spring MVC processes query parameters, request body, and header fields through separate and explicit binding mechanisms (@RequestParam, @RequestBody, @RequestHeader). Duplicate query parameters for a single-value field produce a 400 Bad Request via Spring's typed binding. Input validation (IV-001) applies whitelist validation to all parameters before they reach business logic.</t>
  </si>
  <si>
    <t>Api/src/main/.../Security/SecurityConfig.java; all controllers (@RequestParam/@RequestBody separate binding)</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</si>
  <si>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</si>
  <si>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</si>
  <si>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</si>
  <si>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</si>
  <si>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</si>
  <si>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</si>
  <si>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</si>
  <si>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</si>
  <si>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</si>
  <si>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</si>
  <si>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</si>
  <si>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</si>
  <si>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</si>
  <si>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</si>
  <si>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ArcadeHaven defines its logging inventory across RNF-07 and the LM-001/002/003 control catalog. The events to be logged are enumerated: authentication attempts (success and failure), authorization failures, role changes by administrators, invoice download access, activation key access, input validation failures, and security control failures. The application emits structured JSON logs to stdout. Log centralisation to an external system is an infrastructure concern outside the application layer.</t>
  </si>
  <si>
    <t>Api/src/main/.../Security/SecurityAuditService.java (SECURITY_AUDIT logger, SECURITY_EVENT/ALERT events); application.properties (logging.file.name, logging.level.SECURITY_AUDIT)</t>
  </si>
  <si>
    <t>V16.2</t>
  </si>
  <si>
    <t>General Logging</t>
  </si>
  <si>
    <t>V16.2.1</t>
  </si>
  <si>
    <t>Verify that each log entry includes necessary metadata (such as when, where, who, what) that would allow for a detailed investigation of the timeline when an event happens.</t>
  </si>
  <si>
    <t>Every ArcadeHaven log entry includes: UTC timestamp, user ID, user role at time of the event, action type, target resource (e.g., game ID, order ID, invoice path), source IP address, and outcome (success or failure). This schema is defined by LM-001 (Structured Logging) and applies uniformly across all security-relevant events including login, role changes, game approvals, and file operations.</t>
  </si>
  <si>
    <t>Api/src/main/.../Security/SecurityAuditService.java (IP address, Instant.now() UTC timestamp, event type per log entry)</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</si>
  <si>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</si>
  <si>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</si>
  <si>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LM-001 mandates UTC timestamps for all log entries. The application generates UTC timestamps using the JVM's Instant.now(), which reads from the system clock. Time source synchronisation across all Docker containers (application and database) is ensured by the host system NTP configuration, being defined as part of the Docker deployment specification (RNF-21/22). The application itself does not depend on local wall-clock time for any security decisions.</t>
  </si>
  <si>
    <t>Api/src/main/.../Security/SecurityAuditService.java (Instant.now() UTC); Security/SecurityEventHandler.java</t>
  </si>
  <si>
    <t>V16.2.3</t>
  </si>
  <si>
    <t>Verify that the application only stores or broadcasts logs to the files and services that are documented in the log inventory.</t>
  </si>
  <si>
    <t>ArcadeHaven logs exclusively to stdout within the Docker container. No third-party logging services, external log collectors, or additional file destinations are integrated at the application level. All log destinations are identified in the V16 logging inventory (V16.1.1). Any future integration with a SIEM or log forwarder will be added to the inventory before use.</t>
  </si>
  <si>
    <t>Api/src/main/.../Security/SecurityAuditService.java (SECURITY_AUDIT logger, stdout + logs/arcadehaven.log)</t>
  </si>
  <si>
    <t>V16.2.4</t>
  </si>
  <si>
    <t>Verify that logs can be read and correlated by the log processor that is in use, preferably by using a common logging format.</t>
  </si>
  <si>
    <t>ArcadeHaven adopts structured JSON logging as the standard format across all components. Each log record follows a consistent schema with named fields (timestamp, level, userId, action, resource, outcome, sourceIp), enabling direct ingestion by standard log processors such as ELK, Splunk, or CloudWatch without pre-processing. This format is defined in LM-001 and eliminates the need for custom log parsing rules.</t>
  </si>
  <si>
    <t>Api/src/main/.../Security/SecurityAuditService.java (SECURITY_EVENT/SECURITY_ALERT structured prefixes for log correlation)</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</si>
  <si>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</si>
  <si>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</si>
  <si>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SC-002 explicitly prohibits logging of JWT tokens, passwords, API keys, and credit card numbers in any log entry. The structured JSON log schema (LM-001) uses named fields, and IV-003 applies JSON encoding before any user-controlled value is written to a log record. A data classification table mapping each ArcadeHaven data category — password hashes, JWT tokens, activation keys, email addresses, order IDs — to an explicit logging rule (log as-is, log masked, omit entirely) is being formalized to complement the SC-002 prohibitions.</t>
  </si>
  <si>
    <t>Api/src/main/.../Security/SecurityAuditService.java (IP and event only, no credentials); Service/AuthService.java (username in log.error, password never logged)</t>
  </si>
  <si>
    <t>V16.3</t>
  </si>
  <si>
    <t>Security Events</t>
  </si>
  <si>
    <t>V16.3.1</t>
  </si>
  <si>
    <t>Verify that all authentication operations are logged, including successful and unsuccessful attempts. Additional metadata, such as the type of authentication or factors used, should also be collected.</t>
  </si>
  <si>
    <t>ArcadeHaven uses JWT-based authentication (RNF-02, RF-02). LM-002 requires that every login attempt — whether successful or failed — is logged with the user identifier, authentication method (JWT), timestamp, source IP address, and outcome. Failed attempts are particularly critical for detecting brute-force attacks (abuse case AC-01) and username enumeration (abuse case AC-09). The log entry for a failed attempt does not reveal whether the username or the password was incorrect, to prevent enumeration.</t>
  </si>
  <si>
    <t>Api/src/main/.../Security/SecurityAuditService.java (recordUnauthorized, recordRegistrationFailure); Exception/GlobalExceptionHandler.java (handleBadCredentials)</t>
  </si>
  <si>
    <t>V16.3.2</t>
  </si>
  <si>
    <t>Verify that failed authorization attempts are logged. For L3, this must include logging all authorization decisions, including logging when sensitive data is accessed (without logging the sensitive data itself).</t>
  </si>
  <si>
    <t>LM-002 requires logging of all authorization failures with user identity, role at time of request, target resource, and outcome. ArcadeHaven enforces three role levels (administrator, publisher, buyer) via RNF-04 and AC-004. Authorization failures include: a buyer attempting to access publisher-only game management routes (AC-11), any user attempting to access admin approval endpoints (AC-12), and a buyer attempting to cancel another buyer's order (AC-16).</t>
  </si>
  <si>
    <t>Api/src/main/.../Security/SecurityAuditService.java (recordAccessDenied); Security/SecurityEventHandler.java</t>
  </si>
  <si>
    <t>V16.3.3</t>
  </si>
  <si>
    <t>Verify that the application logs the security events that are defined in the documentation and also logs attempts to bypass the security controls, such as input validation, business logic, and anti-automation.</t>
  </si>
  <si>
    <t>LM-003 defines the catalog of security events to be logged in ArcadeHaven: input validation failures (SQL injection attempts, XSS payloads, oversized files), activation key misuse, path traversal attempts on invoice download, MIME type mismatch on file upload, and CRLF injection in logged fields (abuse case AC-21). Any attempt to bypass a security control — whether it succeeds or fails — must generate a log entry at security-event level.</t>
  </si>
  <si>
    <t>Api/src/main/.../Security/SecurityAuditService.java (checkAndAlert: SECURITY_ALERT at 10 events/window); Security/SecurityEventHandler.java</t>
  </si>
  <si>
    <t>V16.3.4</t>
  </si>
  <si>
    <t>Verify that the application logs unexpected errors and security control failures such as backend TLS failures.</t>
  </si>
  <si>
    <t>ArcadeHaven integrates with the RAWG API over HTTPS (RF-12). Any TLS failure, connection timeout, or unexpected HTTP error code from an external call is treated as a security-relevant event and logged at ERROR level with the target URL, failure type, and timestamp. Unhandled application exceptions are caught by a global exception handler (ER-02) which logs the full exception detail — including stack trace and correlation ID — before returning a generic response to the client.</t>
  </si>
  <si>
    <t>V16.4</t>
  </si>
  <si>
    <t>Log Protection</t>
  </si>
  <si>
    <t>V16.4.1</t>
  </si>
  <si>
    <t>Verify that all logging components appropriately encode data to prevent log injection.</t>
  </si>
  <si>
    <t>User-supplied data included in log records is sanitised before writing. IV-001 (whitelist validation) ensures input fields contain only expected characters, and IV-003 (output encoding) applies JSON encoding to any user-controlled value before it is embedded in a structured log entry. CRLF injection — where an attacker submits newline characters in a login username, search query, or game description field to forge or split log entries — is specifically addressed by abuse case AC-21.</t>
  </si>
  <si>
    <t>Api/src/main/.../Security/SecurityAuditService.java (SLF4J parameterized logging, no string concatenation to prevent log injection)</t>
  </si>
  <si>
    <t>V16.4.2</t>
  </si>
  <si>
    <t>Verify that logs are protected from unauthorized access and cannot be modified.</t>
  </si>
  <si>
    <t>ArcadeHaven logs are emitted to stdout within the Docker container (RNF-21/22). Container-level isolation restricts direct filesystem access to the log stream to authorised operators with Docker host access. File-system access controls — read restricted to log analysis roles, write restricted to the application process, and append-only mode for the container log output — are being defined as part of the Docker deployment configuration.</t>
  </si>
  <si>
    <t>Api/src/main/resources/application.properties (logging.file.name=logs/arcadehaven.log; persistent file-based log)</t>
  </si>
  <si>
    <t>V16.4.3</t>
  </si>
  <si>
    <t>Verify that logs are securely transmitted to a logically separate system for analysis, detection, alerting, and escalation. The aim is to ensure that if the application is breached, the logs are not compromised.</t>
  </si>
  <si>
    <t>ArcadeHaven is a REST API application containerised with Docker (RNF-21, RNF-22). The application emits structured JSON logs to stdout; collection, forwarding, and storage in a logically separate system is an infrastructure responsibility outside the application layer. Log forwarding to a SIEM or log management service will be configured at deployment time and does not require changes to application code.</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</si>
  <si>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</si>
  <si>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</si>
  <si>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</si>
  <si>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</si>
  <si>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ArcadeHaven exposes a REST API with four trust levels (unauthenticated, buyer, publisher, administrator). Any unhandled exception or security-sensitive error must return a generic response body — for example, {"error": "An unexpected error occurred", "ref": "&lt;correlation-id&gt;"} — regardless of the internal cause. Stack traces, SQL error messages, internal file paths, and exception class names must never appear in HTTP responses. Defined as ER-01 and verified by ST-017.</t>
  </si>
  <si>
    <t>Api/src/main/.../Exception/GlobalExceptionHandler.java (generic error messages, no stack traces)</t>
  </si>
  <si>
    <t>V16.5.2</t>
  </si>
  <si>
    <t>Verify that the application continues to operate securely when external resource access fails, for example, by using patterns such as circuit breakers or graceful degradation.</t>
  </si>
  <si>
    <t>ArcadeHaven integrates with the RAWG API for game metadata enrichment (RF-12). RNF-16 defines fallback behaviour to locally stored metadata when the external API is unavailable. The circuit breaker pattern — returning cached local metadata rather than propagating raw external error responses to the client or silently skipping security checks — is being designed as part of the external integration architecture. RAWG API failures must produce a structured fallback response (abuse case AC-19).</t>
  </si>
  <si>
    <t>Api/src/main/.../Exception/GlobalExceptionHandler.java (independent @ExceptionHandler chain; error responses continue if logging fails)</t>
  </si>
  <si>
    <t>V16.5.3</t>
  </si>
  <si>
    <t>Verify that the application fails gracefully and securely, including when an exception occurs, preventing fail-open conditions such as processing a transaction despite errors resulting from validation logic.</t>
  </si>
  <si>
    <t>ArcadeHaven's authorization model (RNF-04, AC-004) is designed to deny by default: any exception thrown during an authorization check must result in access being denied, not granted. A fail-open condition — where an authorization check throws an exception and the request is allowed through — is explicitly prohibited. The global exception handler (ER-02) catches all unhandled exceptions and returns a generic error response, ensuring incomplete request processing never results in partial authorization.</t>
  </si>
  <si>
    <t>Api/src/main/.../Exception/GlobalExceptionHandler.java; Security/SecurityConfig.java (deny-all default)</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</si>
  <si>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</si>
  <si>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</si>
  <si>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Although a Level 3 requirement, ArcadeHaven's ER-02 control already defines the global exception handler: a Spring @ControllerAdvice / @ExceptionHandler(Exception.class) that intercepts all unhandled exceptions, logs the full detail (stack trace, correlation ID) internally, and returns a generic client response. This handler functions as a last resort handler by design. A formally verified implementation — confirming that no exception class hierarchy escapes the catch-all handler — is being completed as part of the ER-02 implementation review.</t>
  </si>
  <si>
    <t>Api/src/main/.../Exception/GlobalExceptionHandler.java (@ExceptionHandler(Exception.class) catch-all)</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</si>
  <si>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</si>
  <si>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</si>
  <si>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</si>
  <si>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</si>
  <si>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ArcadeHaven does not implement a TURN server or any NAT traversal mechanism. No real-time peer-to-peer communication is used.</t>
  </si>
  <si>
    <t>V17.1.2</t>
  </si>
  <si>
    <t>Verify that the Traversal Using Relays around NAT (TURN) service is not susceptible to resource exhaustion when legitimate users attempt to open a large number of ports on the TURN server.</t>
  </si>
  <si>
    <t>No TURN server is used. Resource exhaustion via TURN port allocation is not applicable.</t>
  </si>
  <si>
    <t>V17.2</t>
  </si>
  <si>
    <t>Media</t>
  </si>
  <si>
    <t>V17.2.1</t>
  </si>
  <si>
    <t>Verify that the key for the Datagram Transport Layer Security (DTLS) certificate is managed and protected based on the documented policy for management of cryptographic keys.</t>
  </si>
  <si>
    <t>ArcadeHaven does not use DTLS or any media server. No cryptographic key management for media transport is required.</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</si>
  <si>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</si>
  <si>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</si>
  <si>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No media server or DTLS-SRTP is used. Not applicable to the current project scope.</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</si>
  <si>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</si>
  <si>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</si>
  <si>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No SRTP or RTP media streams are used. Not applicable to the current project scope.</t>
  </si>
  <si>
    <t>V17.2.4</t>
  </si>
  <si>
    <t>Verify that the media server is able to continue processing incoming media traffic when encountering malformed Secure Real-time Transport Protocol (SRTP) packets.</t>
  </si>
  <si>
    <t>No media server is implemented. Not applicable to the current project scope.</t>
  </si>
  <si>
    <t>V17.2.5</t>
  </si>
  <si>
    <t>Verify that the media server is able to continue processing incoming media traffic during a flood of Secure Real-time Transport Protocol (SRTP) packets from legitimate users.</t>
  </si>
  <si>
    <t>No media server or SRTP traffic is used. Not applicable to the current project scope.</t>
  </si>
  <si>
    <t>V17.2.6</t>
  </si>
  <si>
    <t>Verify that the media server is not susceptible to the "ClientHello" Race Condition vulnerability in Datagram Transport Layer Security (DTLS) by checking if the media server is publicly known to be vulnerable or by performing the race condition test.</t>
  </si>
  <si>
    <t>No DTLS implementation is used. ClientHello race condition is not applicable.</t>
  </si>
  <si>
    <t>V17.2.7</t>
  </si>
  <si>
    <t>Verify that any audio or video recording mechanisms associated with the media server are able to continue processing incoming media traffic during a flood of Secure Real-time Transport Protocol (SRTP) packets from legitimate users.</t>
  </si>
  <si>
    <t xml:space="preserve">	No audio or video recording mechanisms are used. Not applicable to the current project scope.</t>
  </si>
  <si>
    <t>V17.2.8</t>
  </si>
  <si>
    <t>Verify that the Datagram Transport Layer Security (DTLS) certificate is checked against the Session Description Protocol (SDP) fingerprint attribute, terminating the media stream if the check fails, to ensure the authenticity of the media stream.</t>
  </si>
  <si>
    <t>No DTLS certificates or SDP fingerprint validation is used. Not applicable to the current project scope.</t>
  </si>
  <si>
    <t>V17.3</t>
  </si>
  <si>
    <t>Signaling</t>
  </si>
  <si>
    <t>V17.3.1</t>
  </si>
  <si>
    <t>Verify that the signaling server is able to continue processing legitimate incoming signaling messages during a flood attack. This should be achieved by implementing rate limiting at the signaling level.</t>
  </si>
  <si>
    <t>ArcadeHaven does not implement a signaling server or any WebRTC signaling mechanism. Not applicable to the current project scope.</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</si>
  <si>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</si>
  <si>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</si>
  <si>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No signaling server is used. Malformed signaling message handling is not applicable to the current project scope.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</si>
</sst>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rgb="FF000000"/>
      <name val="Calibri"/>
      <family val="2"/>
      <charset val="1"/>
    </font>
    <font>
      <b/>
      <sz val="16"/>
      <color rgb="FFFFFFFF"/>
      <name val="Cambria"/>
      <family val="1"/>
    </font>
    <font>
      <i/>
      <sz val="10"/>
      <color rgb="FF595959"/>
      <name val="Cambria"/>
      <family val="1"/>
    </font>
    <font>
      <b/>
      <sz val="10"/>
      <name val="Cambria"/>
      <family val="1"/>
    </font>
    <font>
      <b/>
      <sz val="9"/>
      <name val="Cambria"/>
      <family val="1"/>
    </font>
    <font>
      <b/>
      <sz val="9"/>
      <color rgb="FFFFFFFF"/>
      <name val="Cambria"/>
      <family val="1"/>
    </font>
    <font>
      <sz val="10"/>
      <name val="Cambria"/>
      <family val="1"/>
    </font>
    <font>
      <b/>
      <sz val="11"/>
      <color rgb="FFFFFFFF"/>
      <name val="Cambria"/>
      <family val="1"/>
    </font>
    <font>
      <b/>
      <sz val="10"/>
      <color rgb="FFFFFFFF"/>
      <name val="Cambria"/>
      <family val="1"/>
    </font>
    <font>
      <b/>
      <sz val="10"/>
      <color rgb="FF1F3864"/>
      <name val="Cambria"/>
      <family val="1"/>
    </font>
    <font>
      <sz val="11"/>
      <color rgb="FF000000"/>
      <name val="Calibri"/>
      <family val="2"/>
    </font>
    <font>
      <b/>
      <sz val="10"/>
      <color rgb="FF1F3864"/>
      <name val="Cambria"/>
      <family val="2"/>
    </font>
  </fonts>
  <fills count="14">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
      <patternFill patternType="solid">
        <fgColor rgb="FFF2F2F2"/>
      </patternFill>
    </fill>
    <fill>
      <patternFill patternType="solid">
        <fgColor rgb="FFFFFFFF"/>
      </patternFill>
    </fill>
    <fill>
      <patternFill patternType="solid">
        <fgColor rgb="FFF7FBFF"/>
      </patternFill>
    </fill>
    <fill>
      <patternFill patternType="solid">
        <fgColor rgb="FFD6E4F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36">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0" fillId="0" borderId="0" xfId="0" applyAlignment="1">
      <alignment vertical="center"/>
    </xf>
    <xf numFmtId="0" fontId="0" fillId="3" borderId="1" xfId="0" applyFill="1" applyBorder="1" applyAlignment="1">
      <alignment horizontal="left" vertical="center" wrapText="1"/>
    </xf>
    <xf numFmtId="0" fontId="0" fillId="4" borderId="1" xfId="0" applyFill="1" applyBorder="1" applyAlignment="1">
      <alignment horizontal="left" vertical="center" wrapText="1"/>
    </xf>
    <xf numFmtId="0" fontId="0" fillId="4" borderId="2" xfId="0" applyFill="1" applyBorder="1" applyAlignment="1">
      <alignment horizontal="left" vertical="top" wrapText="1"/>
    </xf>
    <xf numFmtId="0" fontId="10" fillId="10" borderId="1" xfId="0" applyFont="1" applyFill="1" applyBorder="1" applyAlignment="1">
      <alignment horizontal="center"/>
    </xf>
    <xf numFmtId="0" fontId="10" fillId="11" borderId="1" xfId="0" applyFont="1" applyFill="1" applyBorder="1" applyAlignment="1">
      <alignment horizontal="left" wrapText="1"/>
    </xf>
    <xf numFmtId="0" fontId="10" fillId="12" borderId="1" xfId="0" applyFont="1" applyFill="1" applyBorder="1" applyAlignment="1">
      <alignment horizontal="left" wrapText="1"/>
    </xf>
    <xf numFmtId="0" fontId="11" fillId="13" borderId="1" xfId="0" applyFont="1" applyFill="1" applyBorder="1" applyAlignment="1">
      <alignment horizontal="left"/>
    </xf>
    <xf numFmtId="0" fontId="1" fillId="2" borderId="0" xfId="0" applyFont="1" applyFill="1" applyAlignment="1">
      <alignment horizontal="center" vertical="center"/>
    </xf>
    <xf numFmtId="0" fontId="0" fillId="0" borderId="0" xfId="0"/>
    <xf numFmtId="0" fontId="3" fillId="0" borderId="0" xfId="0" applyFont="1"/>
    <xf numFmtId="0" fontId="2" fillId="0" borderId="0" xfId="0" applyFont="1" applyAlignment="1">
      <alignment horizontal="center"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1"/>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0.25</c:v>
                </c:pt>
                <c:pt idx="1">
                  <c:v>0.75</c:v>
                </c:pt>
                <c:pt idx="2">
                  <c:v>0.375</c:v>
                </c:pt>
                <c:pt idx="3">
                  <c:v>0.5</c:v>
                </c:pt>
                <c:pt idx="4">
                  <c:v>0.25</c:v>
                </c:pt>
                <c:pt idx="5">
                  <c:v>0.30769230769230771</c:v>
                </c:pt>
                <c:pt idx="6">
                  <c:v>0.66666666666666663</c:v>
                </c:pt>
                <c:pt idx="7">
                  <c:v>0.75</c:v>
                </c:pt>
                <c:pt idx="8">
                  <c:v>1</c:v>
                </c:pt>
                <c:pt idx="9">
                  <c:v>0</c:v>
                </c:pt>
                <c:pt idx="10">
                  <c:v>1</c:v>
                </c:pt>
                <c:pt idx="11">
                  <c:v>0</c:v>
                </c:pt>
                <c:pt idx="12">
                  <c:v>0</c:v>
                </c:pt>
                <c:pt idx="13">
                  <c:v>0.5</c:v>
                </c:pt>
                <c:pt idx="14">
                  <c:v>0.33333333333333331</c:v>
                </c:pt>
                <c:pt idx="15" formatCode="General">
                  <c:v>0</c:v>
                </c:pt>
                <c:pt idx="16" formatCode="General">
                  <c:v>0</c:v>
                </c:pt>
              </c:numCache>
            </c:numRef>
          </c:val>
          <c:extLst>
            <c:ext xmlns:c16="http://schemas.microsoft.com/office/drawing/2014/chart" uri="{C3380CC4-5D6E-409C-BE32-E72D297353CC}">
              <c16:uniqueId val="{00000000-4609-4643-A6F2-57A542F8FF09}"/>
            </c:ext>
          </c:extLst>
        </c:ser>
        <c:ser>
          <c:idx val="1"/>
          <c:order val="1"/>
          <c:tx>
            <c:strRef>
              <c:f>Summary!$H$5</c:f>
              <c:strCache>
                <c:ptCount val="1"/>
                <c:pt idx="0">
                  <c:v>L2
%</c:v>
                </c:pt>
              </c:strCache>
            </c:strRef>
          </c:tx>
          <c:spPr>
            <a:solidFill>
              <a:srgbClr val="FFEB9C"/>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0.10526315789473684</c:v>
                </c:pt>
                <c:pt idx="1">
                  <c:v>0</c:v>
                </c:pt>
                <c:pt idx="2">
                  <c:v>0</c:v>
                </c:pt>
                <c:pt idx="3">
                  <c:v>0.125</c:v>
                </c:pt>
                <c:pt idx="4">
                  <c:v>0</c:v>
                </c:pt>
                <c:pt idx="5">
                  <c:v>4.5454545454545456E-2</c:v>
                </c:pt>
                <c:pt idx="6">
                  <c:v>8.3333333333333329E-2</c:v>
                </c:pt>
                <c:pt idx="7">
                  <c:v>0.33333333333333331</c:v>
                </c:pt>
                <c:pt idx="8">
                  <c:v>0</c:v>
                </c:pt>
                <c:pt idx="9">
                  <c:v>0.25</c:v>
                </c:pt>
                <c:pt idx="10">
                  <c:v>0.63636363636363635</c:v>
                </c:pt>
                <c:pt idx="11">
                  <c:v>0</c:v>
                </c:pt>
                <c:pt idx="12">
                  <c:v>0</c:v>
                </c:pt>
                <c:pt idx="13">
                  <c:v>0.14285714285714285</c:v>
                </c:pt>
                <c:pt idx="14">
                  <c:v>0.4</c:v>
                </c:pt>
                <c:pt idx="15">
                  <c:v>0.3125</c:v>
                </c:pt>
                <c:pt idx="16">
                  <c:v>0</c:v>
                </c:pt>
              </c:numCache>
            </c:numRef>
          </c:val>
          <c:extLst>
            <c:ext xmlns:c16="http://schemas.microsoft.com/office/drawing/2014/chart" uri="{C3380CC4-5D6E-409C-BE32-E72D297353CC}">
              <c16:uniqueId val="{00000001-4609-4643-A6F2-57A542F8FF09}"/>
            </c:ext>
          </c:extLst>
        </c:ser>
        <c:ser>
          <c:idx val="2"/>
          <c:order val="2"/>
          <c:tx>
            <c:strRef>
              <c:f>Summary!$K$5</c:f>
              <c:strCache>
                <c:ptCount val="1"/>
                <c:pt idx="0">
                  <c:v>L3
%</c:v>
                </c:pt>
              </c:strCache>
            </c:strRef>
          </c:tx>
          <c:spPr>
            <a:solidFill>
              <a:srgbClr val="FABF8F"/>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c:v>
                </c:pt>
                <c:pt idx="2">
                  <c:v>0</c:v>
                </c:pt>
                <c:pt idx="3">
                  <c:v>0</c:v>
                </c:pt>
                <c:pt idx="4">
                  <c:v>0</c:v>
                </c:pt>
                <c:pt idx="5">
                  <c:v>0</c:v>
                </c:pt>
                <c:pt idx="6">
                  <c:v>0</c:v>
                </c:pt>
                <c:pt idx="7">
                  <c:v>0</c:v>
                </c:pt>
                <c:pt idx="8" formatCode="General">
                  <c:v>0</c:v>
                </c:pt>
                <c:pt idx="9">
                  <c:v>0</c:v>
                </c:pt>
                <c:pt idx="10">
                  <c:v>0.2</c:v>
                </c:pt>
                <c:pt idx="11">
                  <c:v>0</c:v>
                </c:pt>
                <c:pt idx="12">
                  <c:v>0</c:v>
                </c:pt>
                <c:pt idx="13">
                  <c:v>0</c:v>
                </c:pt>
                <c:pt idx="14">
                  <c:v>0.125</c:v>
                </c:pt>
                <c:pt idx="15">
                  <c:v>1</c:v>
                </c:pt>
              </c:numCache>
            </c:numRef>
          </c:val>
          <c:extLst>
            <c:ext xmlns:c16="http://schemas.microsoft.com/office/drawing/2014/chart" uri="{C3380CC4-5D6E-409C-BE32-E72D297353CC}">
              <c16:uniqueId val="{00000002-4609-4643-A6F2-57A542F8FF09}"/>
            </c:ext>
          </c:extLst>
        </c:ser>
        <c:ser>
          <c:idx val="3"/>
          <c:order val="3"/>
          <c:tx>
            <c:strRef>
              <c:f>Summary!$M$5</c:f>
              <c:strCache>
                <c:ptCount val="1"/>
                <c:pt idx="0">
                  <c:v>Overall
%</c:v>
                </c:pt>
              </c:strCache>
            </c:strRef>
          </c:tx>
          <c:spPr>
            <a:solidFill>
              <a:srgbClr val="579D1C"/>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0.13333333333333333</c:v>
                </c:pt>
                <c:pt idx="1">
                  <c:v>0.23076923076923078</c:v>
                </c:pt>
                <c:pt idx="2">
                  <c:v>9.6774193548387094E-2</c:v>
                </c:pt>
                <c:pt idx="3">
                  <c:v>0.125</c:v>
                </c:pt>
                <c:pt idx="4">
                  <c:v>7.6923076923076927E-2</c:v>
                </c:pt>
                <c:pt idx="5">
                  <c:v>0.10638297872340426</c:v>
                </c:pt>
                <c:pt idx="6">
                  <c:v>0.26315789473684209</c:v>
                </c:pt>
                <c:pt idx="7">
                  <c:v>0.30769230769230771</c:v>
                </c:pt>
                <c:pt idx="8">
                  <c:v>0.5714285714285714</c:v>
                </c:pt>
                <c:pt idx="9">
                  <c:v>0.16666666666666666</c:v>
                </c:pt>
                <c:pt idx="10">
                  <c:v>0.5</c:v>
                </c:pt>
                <c:pt idx="11">
                  <c:v>0</c:v>
                </c:pt>
                <c:pt idx="12">
                  <c:v>0</c:v>
                </c:pt>
                <c:pt idx="13">
                  <c:v>0.15384615384615385</c:v>
                </c:pt>
                <c:pt idx="14">
                  <c:v>0.2857142857142857</c:v>
                </c:pt>
                <c:pt idx="15">
                  <c:v>0.35294117647058826</c:v>
                </c:pt>
                <c:pt idx="16">
                  <c:v>0</c:v>
                </c:pt>
              </c:numCache>
            </c:numRef>
          </c:val>
          <c:extLst>
            <c:ext xmlns:c16="http://schemas.microsoft.com/office/drawing/2014/chart" uri="{C3380CC4-5D6E-409C-BE32-E72D297353CC}">
              <c16:uniqueId val="{00000003-4609-4643-A6F2-57A542F8FF09}"/>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prstDash val="solid"/>
          </a:ln>
        </c:spPr>
        <c:txPr>
          <a:bodyPr/>
          <a:lstStyle/>
          <a:p>
            <a:pPr>
              <a:defRPr sz="1000" b="0" strike="noStrike" spc="-1">
                <a:latin typeface="Arial"/>
              </a:defRPr>
            </a:pPr>
            <a:endParaRPr lang="en-US"/>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prstDash val="solid"/>
            </a:ln>
          </c:spPr>
        </c:majorGridlines>
        <c:numFmt formatCode="0%" sourceLinked="0"/>
        <c:majorTickMark val="out"/>
        <c:minorTickMark val="none"/>
        <c:tickLblPos val="nextTo"/>
        <c:spPr>
          <a:ln>
            <a:solidFill>
              <a:srgbClr val="B3B3B3"/>
            </a:solidFill>
            <a:prstDash val="solid"/>
          </a:ln>
        </c:spPr>
        <c:txPr>
          <a:bodyPr/>
          <a:lstStyle/>
          <a:p>
            <a:pPr>
              <a:defRPr sz="1000" b="0" strike="noStrike" spc="-1">
                <a:latin typeface="Arial"/>
              </a:defRPr>
            </a:pPr>
            <a:endParaRPr lang="en-US"/>
          </a:p>
        </c:txPr>
        <c:crossAx val="28005530"/>
        <c:crosses val="autoZero"/>
        <c:crossBetween val="between"/>
      </c:valAx>
    </c:plotArea>
    <c:legend>
      <c:legendPos val="r"/>
      <c:overlay val="0"/>
      <c:spPr>
        <a:noFill/>
        <a:ln>
          <a:noFill/>
          <a:prstDash val="solid"/>
        </a:ln>
      </c:spPr>
      <c:txPr>
        <a:bodyPr/>
        <a:lstStyle/>
        <a:p>
          <a:pPr>
            <a:defRPr sz="1000" b="0" strike="noStrike" spc="-1">
              <a:latin typeface="Arial"/>
            </a:defRPr>
          </a:pPr>
          <a:endParaRPr lang="en-US"/>
        </a:p>
      </c:txPr>
    </c:legend>
    <c:plotVisOnly val="1"/>
    <c:dispBlanksAs val="gap"/>
    <c:showDLblsOverMax val="1"/>
  </c:chart>
  <c:spPr>
    <a:solidFill>
      <a:srgbClr val="FFFFFF"/>
    </a:solidFill>
    <a:ln w="9360">
      <a:no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857520</xdr:colOff>
      <xdr:row>47</xdr:row>
      <xdr:rowOff>56880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zoomScale="80" zoomScaleNormal="80" workbookViewId="0">
      <selection activeCell="K11" sqref="K11"/>
    </sheetView>
  </sheetViews>
  <sheetFormatPr defaultColWidth="8.5703125" defaultRowHeight="15" x14ac:dyDescent="0.25"/>
  <cols>
    <col min="1" max="1" width="34" customWidth="1"/>
    <col min="2" max="13" width="11" customWidth="1"/>
  </cols>
  <sheetData>
    <row r="1" spans="1:16" ht="36" customHeight="1" x14ac:dyDescent="0.25">
      <c r="A1" s="32" t="s">
        <v>176</v>
      </c>
      <c r="B1" s="33"/>
      <c r="C1" s="33"/>
      <c r="D1" s="33"/>
      <c r="E1" s="33"/>
      <c r="F1" s="33"/>
      <c r="G1" s="33"/>
      <c r="H1" s="33"/>
      <c r="I1" s="33"/>
      <c r="J1" s="33"/>
      <c r="K1" s="33"/>
      <c r="L1" s="33"/>
      <c r="M1" s="33"/>
      <c r="N1" s="33"/>
      <c r="O1" s="33"/>
      <c r="P1" s="33"/>
    </row>
    <row r="2" spans="1:16" ht="19.899999999999999" customHeight="1" x14ac:dyDescent="0.25">
      <c r="A2" s="35"/>
      <c r="B2" s="33"/>
      <c r="C2" s="33"/>
      <c r="D2" s="33"/>
      <c r="E2" s="33"/>
      <c r="F2" s="33"/>
      <c r="G2" s="33"/>
      <c r="H2" s="33"/>
      <c r="I2" s="33"/>
      <c r="J2" s="33"/>
      <c r="K2" s="33"/>
      <c r="L2" s="33"/>
      <c r="M2" s="33"/>
      <c r="N2" s="33"/>
      <c r="O2" s="33"/>
      <c r="P2" s="33"/>
    </row>
    <row r="3" spans="1:16" ht="18" customHeight="1" x14ac:dyDescent="0.25">
      <c r="A3" s="34"/>
      <c r="B3" s="33"/>
      <c r="C3" s="1"/>
      <c r="E3" s="1"/>
      <c r="G3" s="1"/>
      <c r="I3" s="1"/>
      <c r="K3" s="1"/>
      <c r="M3" s="1"/>
      <c r="O3" s="1"/>
    </row>
    <row r="5" spans="1:16" ht="31.9" customHeight="1" x14ac:dyDescent="0.25">
      <c r="A5" s="2" t="s">
        <v>177</v>
      </c>
      <c r="B5" s="2" t="s">
        <v>178</v>
      </c>
      <c r="C5" s="2" t="s">
        <v>179</v>
      </c>
      <c r="D5" s="2" t="s">
        <v>180</v>
      </c>
      <c r="E5" s="2" t="s">
        <v>181</v>
      </c>
      <c r="F5" s="2" t="s">
        <v>182</v>
      </c>
      <c r="G5" s="2" t="s">
        <v>183</v>
      </c>
      <c r="H5" s="2" t="s">
        <v>184</v>
      </c>
      <c r="I5" s="2" t="s">
        <v>185</v>
      </c>
      <c r="J5" s="2" t="s">
        <v>186</v>
      </c>
      <c r="K5" s="2" t="s">
        <v>187</v>
      </c>
      <c r="L5" s="2" t="s">
        <v>188</v>
      </c>
      <c r="M5" s="2" t="s">
        <v>189</v>
      </c>
    </row>
    <row r="6" spans="1:16" ht="18" customHeight="1" x14ac:dyDescent="0.25">
      <c r="A6" s="3" t="s">
        <v>190</v>
      </c>
      <c r="B6" s="4">
        <v>30</v>
      </c>
      <c r="C6" s="4">
        <v>8</v>
      </c>
      <c r="D6" s="4">
        <f>COUNTIFS('V1 - Encoding and Sanitization'!$F$2:$F$36,"Compliant",'V1 - Encoding and Sanitization'!$E$2:$E$36,1)</f>
        <v>2</v>
      </c>
      <c r="E6" s="5">
        <f t="shared" ref="E6:E20" si="0">IF(C6=0,"",D6/C6)</f>
        <v>0.25</v>
      </c>
      <c r="F6" s="4">
        <v>19</v>
      </c>
      <c r="G6" s="4">
        <f>COUNTIFS('V1 - Encoding and Sanitization'!$F$2:$F$36,"Compliant",'V1 - Encoding and Sanitization'!$E$2:$E$36,2)</f>
        <v>2</v>
      </c>
      <c r="H6" s="5">
        <f t="shared" ref="H6:H22" si="1">IF(F6=0,"",G6/F6)</f>
        <v>0.10526315789473684</v>
      </c>
      <c r="I6" s="4">
        <v>3</v>
      </c>
      <c r="J6" s="4">
        <f>COUNTIFS('V1 - Encoding and Sanitization'!$F$2:$F$36,"Compliant",'V1 - Encoding and Sanitization'!$E$2:$E$36,3)</f>
        <v>0</v>
      </c>
      <c r="K6" s="5">
        <f t="shared" ref="K6:K13" si="2">IF(I6=0,"",J6/I6)</f>
        <v>0</v>
      </c>
      <c r="L6" s="4">
        <f>COUNTIF('V1 - Encoding and Sanitization'!$F$2:$F$36,"Compliant")</f>
        <v>4</v>
      </c>
      <c r="M6" s="5">
        <f t="shared" ref="M6:M22" si="3">IF(B6=0,"",L6/B6)</f>
        <v>0.13333333333333333</v>
      </c>
    </row>
    <row r="7" spans="1:16" ht="18" customHeight="1" x14ac:dyDescent="0.25">
      <c r="A7" s="6" t="s">
        <v>191</v>
      </c>
      <c r="B7" s="7">
        <v>13</v>
      </c>
      <c r="C7" s="7">
        <v>4</v>
      </c>
      <c r="D7" s="7">
        <f>COUNTIFS('V2 - Validation and Business Lo'!$F$2:$F$18,"Compliant",'V2 - Validation and Business Lo'!$E$2:$E$18,1)</f>
        <v>3</v>
      </c>
      <c r="E7" s="8">
        <f t="shared" si="0"/>
        <v>0.75</v>
      </c>
      <c r="F7" s="7">
        <v>7</v>
      </c>
      <c r="G7" s="7">
        <f>COUNTIFS('V2 - Validation and Business Lo'!$F$2:$F$18,"Compliant",'V2 - Validation and Business Lo'!$E$2:$E$18,2)</f>
        <v>0</v>
      </c>
      <c r="H7" s="8">
        <f t="shared" si="1"/>
        <v>0</v>
      </c>
      <c r="I7" s="7">
        <v>2</v>
      </c>
      <c r="J7" s="7">
        <f>COUNTIFS('V2 - Validation and Business Lo'!$F$2:$F$18,"Compliant",'V2 - Validation and Business Lo'!$E$2:$E$18,3)</f>
        <v>0</v>
      </c>
      <c r="K7" s="8">
        <f t="shared" si="2"/>
        <v>0</v>
      </c>
      <c r="L7" s="7">
        <f>COUNTIF('V2 - Validation and Business Lo'!$F$2:$F$18,"Compliant")</f>
        <v>3</v>
      </c>
      <c r="M7" s="8">
        <f t="shared" si="3"/>
        <v>0.23076923076923078</v>
      </c>
    </row>
    <row r="8" spans="1:16" ht="18" customHeight="1" x14ac:dyDescent="0.25">
      <c r="A8" s="3" t="s">
        <v>192</v>
      </c>
      <c r="B8" s="4">
        <v>31</v>
      </c>
      <c r="C8" s="4">
        <v>8</v>
      </c>
      <c r="D8" s="4">
        <f>COUNTIFS('V3 - Web Frontend Security'!$F$2:$F$39,"Compliant",'V3 - Web Frontend Security'!$E$2:$E$39,1)</f>
        <v>3</v>
      </c>
      <c r="E8" s="5">
        <f t="shared" si="0"/>
        <v>0.375</v>
      </c>
      <c r="F8" s="4">
        <v>11</v>
      </c>
      <c r="G8" s="4">
        <f>COUNTIFS('V3 - Web Frontend Security'!$F$2:$F$39,"Compliant",'V3 - Web Frontend Security'!$E$2:$E$39,2)</f>
        <v>0</v>
      </c>
      <c r="H8" s="5">
        <f t="shared" si="1"/>
        <v>0</v>
      </c>
      <c r="I8" s="4">
        <v>12</v>
      </c>
      <c r="J8" s="4">
        <f>COUNTIFS('V3 - Web Frontend Security'!$F$2:$F$39,"Compliant",'V3 - Web Frontend Security'!$E$2:$E$39,3)</f>
        <v>0</v>
      </c>
      <c r="K8" s="5">
        <f t="shared" si="2"/>
        <v>0</v>
      </c>
      <c r="L8" s="4">
        <f>COUNTIF('V3 - Web Frontend Security'!$F$2:$F$39,"Compliant")</f>
        <v>3</v>
      </c>
      <c r="M8" s="5">
        <f t="shared" si="3"/>
        <v>9.6774193548387094E-2</v>
      </c>
    </row>
    <row r="9" spans="1:16" ht="18" customHeight="1" x14ac:dyDescent="0.25">
      <c r="A9" s="6" t="s">
        <v>193</v>
      </c>
      <c r="B9" s="7">
        <v>16</v>
      </c>
      <c r="C9" s="7">
        <v>2</v>
      </c>
      <c r="D9" s="7">
        <f>COUNTIFS('V4 - API and Web Service'!$F$2:$F$21,"Compliant",'V4 - API and Web Service'!$E$2:$E$21,1)</f>
        <v>1</v>
      </c>
      <c r="E9" s="8">
        <f t="shared" si="0"/>
        <v>0.5</v>
      </c>
      <c r="F9" s="7">
        <v>8</v>
      </c>
      <c r="G9" s="7">
        <f>COUNTIFS('V4 - API and Web Service'!$F$2:$F$21,"Compliant",'V4 - API and Web Service'!$E$2:$E$21,2)</f>
        <v>1</v>
      </c>
      <c r="H9" s="8">
        <f t="shared" si="1"/>
        <v>0.125</v>
      </c>
      <c r="I9" s="7">
        <v>6</v>
      </c>
      <c r="J9" s="7">
        <f>COUNTIFS('V4 - API and Web Service'!$F$2:$F$21,"Compliant",'V4 - API and Web Service'!$E$2:$E$21,3)</f>
        <v>0</v>
      </c>
      <c r="K9" s="8">
        <f t="shared" si="2"/>
        <v>0</v>
      </c>
      <c r="L9" s="7">
        <f>COUNTIF('V4 - API and Web Service'!$F$2:$F$21,"Compliant")</f>
        <v>2</v>
      </c>
      <c r="M9" s="8">
        <f t="shared" si="3"/>
        <v>0.125</v>
      </c>
    </row>
    <row r="10" spans="1:16" ht="18" customHeight="1" x14ac:dyDescent="0.25">
      <c r="A10" s="3" t="s">
        <v>194</v>
      </c>
      <c r="B10" s="4">
        <v>13</v>
      </c>
      <c r="C10" s="4">
        <v>4</v>
      </c>
      <c r="D10" s="4">
        <f>COUNTIFS('V5 - File Handling'!$F$2:$F$18,"Compliant",'V5 - File Handling'!$E$2:$E$18,1)</f>
        <v>1</v>
      </c>
      <c r="E10" s="5">
        <f t="shared" si="0"/>
        <v>0.25</v>
      </c>
      <c r="F10" s="4">
        <v>5</v>
      </c>
      <c r="G10" s="4">
        <f>COUNTIFS('V5 - File Handling'!$F$2:$F$18,"Compliant",'V5 - File Handling'!$E$2:$E$18,2)</f>
        <v>0</v>
      </c>
      <c r="H10" s="5">
        <f t="shared" si="1"/>
        <v>0</v>
      </c>
      <c r="I10" s="4">
        <v>4</v>
      </c>
      <c r="J10" s="4">
        <f>COUNTIFS('V5 - File Handling'!$F$2:$F$18,"Compliant",'V5 - File Handling'!$E$2:$E$18,3)</f>
        <v>0</v>
      </c>
      <c r="K10" s="5">
        <f t="shared" si="2"/>
        <v>0</v>
      </c>
      <c r="L10" s="4">
        <f>COUNTIF('V5 - File Handling'!$F$2:$F$18,"Compliant")</f>
        <v>1</v>
      </c>
      <c r="M10" s="5">
        <f t="shared" si="3"/>
        <v>7.6923076923076927E-2</v>
      </c>
    </row>
    <row r="11" spans="1:16" ht="18" customHeight="1" x14ac:dyDescent="0.25">
      <c r="A11" s="6" t="s">
        <v>195</v>
      </c>
      <c r="B11" s="7">
        <v>47</v>
      </c>
      <c r="C11" s="7">
        <v>13</v>
      </c>
      <c r="D11" s="7">
        <f>COUNTIFS('V6 - Authentication'!$F$2:$F$56,"Compliant",'V6 - Authentication'!$E$2:$E$56,1)</f>
        <v>4</v>
      </c>
      <c r="E11" s="8">
        <f t="shared" si="0"/>
        <v>0.30769230769230771</v>
      </c>
      <c r="F11" s="7">
        <v>22</v>
      </c>
      <c r="G11" s="7">
        <f>COUNTIFS('V6 - Authentication'!$F$2:$F$56,"Compliant",'V6 - Authentication'!$E$2:$E$56,2)</f>
        <v>1</v>
      </c>
      <c r="H11" s="8">
        <f t="shared" si="1"/>
        <v>4.5454545454545456E-2</v>
      </c>
      <c r="I11" s="7">
        <v>12</v>
      </c>
      <c r="J11" s="7">
        <f>COUNTIFS('V6 - Authentication'!$F$2:$F$56,"Compliant",'V6 - Authentication'!$E$2:$E$56,3)</f>
        <v>0</v>
      </c>
      <c r="K11" s="8">
        <f t="shared" si="2"/>
        <v>0</v>
      </c>
      <c r="L11" s="7">
        <f>COUNTIF('V6 - Authentication'!$F$2:$F$56,"Compliant")</f>
        <v>5</v>
      </c>
      <c r="M11" s="8">
        <f t="shared" si="3"/>
        <v>0.10638297872340426</v>
      </c>
    </row>
    <row r="12" spans="1:16" ht="18" customHeight="1" x14ac:dyDescent="0.25">
      <c r="A12" s="3" t="s">
        <v>196</v>
      </c>
      <c r="B12" s="4">
        <v>19</v>
      </c>
      <c r="C12" s="4">
        <v>6</v>
      </c>
      <c r="D12" s="4">
        <f>COUNTIFS('V7 - Session Management'!$F$2:$F$26,"Compliant",'V7 - Session Management'!$E$2:$E$26,1)</f>
        <v>4</v>
      </c>
      <c r="E12" s="5">
        <f t="shared" si="0"/>
        <v>0.66666666666666663</v>
      </c>
      <c r="F12" s="4">
        <v>12</v>
      </c>
      <c r="G12" s="4">
        <f>COUNTIFS('V7 - Session Management'!$F$2:$F$26,"Compliant",'V7 - Session Management'!$E$2:$E$26,2)</f>
        <v>1</v>
      </c>
      <c r="H12" s="5">
        <f t="shared" si="1"/>
        <v>8.3333333333333329E-2</v>
      </c>
      <c r="I12" s="4">
        <v>1</v>
      </c>
      <c r="J12" s="4">
        <f>COUNTIFS('V7 - Session Management'!$F$2:$F$26,"Compliant",'V7 - Session Management'!$E$2:$E$26,3)</f>
        <v>0</v>
      </c>
      <c r="K12" s="5">
        <f t="shared" si="2"/>
        <v>0</v>
      </c>
      <c r="L12" s="4">
        <f>COUNTIF('V7 - Session Management'!$F$2:$F$26,"Compliant")</f>
        <v>5</v>
      </c>
      <c r="M12" s="5">
        <f t="shared" si="3"/>
        <v>0.26315789473684209</v>
      </c>
    </row>
    <row r="13" spans="1:16" ht="18" customHeight="1" x14ac:dyDescent="0.25">
      <c r="A13" s="6" t="s">
        <v>197</v>
      </c>
      <c r="B13" s="7">
        <v>13</v>
      </c>
      <c r="C13" s="7">
        <v>4</v>
      </c>
      <c r="D13" s="7">
        <f>COUNTIFS('V8 - Authorization'!$F$2:$F$18,"Compliant",'V8 - Authorization'!$E$2:$E$18,1)</f>
        <v>3</v>
      </c>
      <c r="E13" s="8">
        <f t="shared" si="0"/>
        <v>0.75</v>
      </c>
      <c r="F13" s="7">
        <v>3</v>
      </c>
      <c r="G13" s="7">
        <f>COUNTIFS('V8 - Authorization'!$F$2:$F$18,"Compliant",'V8 - Authorization'!$E$2:$E$18,2)</f>
        <v>1</v>
      </c>
      <c r="H13" s="8">
        <f t="shared" si="1"/>
        <v>0.33333333333333331</v>
      </c>
      <c r="I13" s="7">
        <v>6</v>
      </c>
      <c r="J13" s="7">
        <f>COUNTIFS('V8 - Authorization'!$F$2:$F$18,"Compliant",'V8 - Authorization'!$E$2:$E$18,3)</f>
        <v>0</v>
      </c>
      <c r="K13" s="8">
        <f t="shared" si="2"/>
        <v>0</v>
      </c>
      <c r="L13" s="7">
        <f>COUNTIF('V8 - Authorization'!$F$2:$F$18,"Compliant")</f>
        <v>4</v>
      </c>
      <c r="M13" s="8">
        <f t="shared" si="3"/>
        <v>0.30769230769230771</v>
      </c>
    </row>
    <row r="14" spans="1:16" ht="18" customHeight="1" x14ac:dyDescent="0.25">
      <c r="A14" s="3" t="s">
        <v>198</v>
      </c>
      <c r="B14" s="4">
        <v>7</v>
      </c>
      <c r="C14" s="4">
        <v>4</v>
      </c>
      <c r="D14" s="4">
        <f>COUNTIFS('V9 - Self-contained Tokens'!$F$2:$F$10,"Compliant",'V9 - Self-contained Tokens'!$E$2:$E$10,1)</f>
        <v>4</v>
      </c>
      <c r="E14" s="5">
        <f t="shared" si="0"/>
        <v>1</v>
      </c>
      <c r="F14" s="4">
        <v>3</v>
      </c>
      <c r="G14" s="4">
        <f>COUNTIFS('V9 - Self-contained Tokens'!$F$2:$F$10,"Compliant",'V9 - Self-contained Tokens'!$E$2:$E$10,2)</f>
        <v>0</v>
      </c>
      <c r="H14" s="5">
        <f t="shared" si="1"/>
        <v>0</v>
      </c>
      <c r="I14" s="4">
        <v>0</v>
      </c>
      <c r="J14" s="4" t="s">
        <v>199</v>
      </c>
      <c r="K14" s="4" t="s">
        <v>199</v>
      </c>
      <c r="L14" s="4">
        <f>COUNTIF('V9 - Self-contained Tokens'!$F$2:$F$10,"Compliant")</f>
        <v>4</v>
      </c>
      <c r="M14" s="5">
        <f t="shared" si="3"/>
        <v>0.5714285714285714</v>
      </c>
    </row>
    <row r="15" spans="1:16" ht="18" customHeight="1" x14ac:dyDescent="0.25">
      <c r="A15" s="6" t="s">
        <v>200</v>
      </c>
      <c r="B15" s="7">
        <v>36</v>
      </c>
      <c r="C15" s="7">
        <v>5</v>
      </c>
      <c r="D15" s="7">
        <f>COUNTIFS('V10 - OAuth and OIDC'!$F$2:$F$44,"Compliant",'V10 - OAuth and OIDC'!$E$2:$E$44,1)</f>
        <v>0</v>
      </c>
      <c r="E15" s="8">
        <f t="shared" si="0"/>
        <v>0</v>
      </c>
      <c r="F15" s="7">
        <v>24</v>
      </c>
      <c r="G15" s="7">
        <f>COUNTIFS('V10 - OAuth and OIDC'!$F$2:$F$44,"Compliant",'V10 - OAuth and OIDC'!$E$2:$E$44,2)</f>
        <v>6</v>
      </c>
      <c r="H15" s="8">
        <f t="shared" si="1"/>
        <v>0.25</v>
      </c>
      <c r="I15" s="7">
        <v>7</v>
      </c>
      <c r="J15" s="7">
        <f>COUNTIFS('V10 - OAuth and OIDC'!$F$2:$F$44,"Compliant",'V10 - OAuth and OIDC'!$E$2:$E$44,3)</f>
        <v>0</v>
      </c>
      <c r="K15" s="8">
        <f t="shared" ref="K15:K22" si="4">IF(I15=0,"",J15/I15)</f>
        <v>0</v>
      </c>
      <c r="L15" s="7">
        <f>COUNTIF('V10 - OAuth and OIDC'!$F$2:$F$44,"Compliant")</f>
        <v>6</v>
      </c>
      <c r="M15" s="8">
        <f t="shared" si="3"/>
        <v>0.16666666666666666</v>
      </c>
    </row>
    <row r="16" spans="1:16" ht="18" customHeight="1" x14ac:dyDescent="0.25">
      <c r="A16" s="3" t="s">
        <v>201</v>
      </c>
      <c r="B16" s="4">
        <v>24</v>
      </c>
      <c r="C16" s="4">
        <v>3</v>
      </c>
      <c r="D16" s="4">
        <f>COUNTIFS('V11 - Cryptography'!$F$2:$F$32,"Compliant",'V11 - Cryptography'!$E$2:$E$32,1)</f>
        <v>3</v>
      </c>
      <c r="E16" s="5">
        <f t="shared" si="0"/>
        <v>1</v>
      </c>
      <c r="F16" s="4">
        <v>11</v>
      </c>
      <c r="G16" s="4">
        <f>COUNTIFS('V11 - Cryptography'!$F$2:$F$32,"Compliant",'V11 - Cryptography'!$E$2:$E$32,2)</f>
        <v>7</v>
      </c>
      <c r="H16" s="5">
        <f t="shared" si="1"/>
        <v>0.63636363636363635</v>
      </c>
      <c r="I16" s="4">
        <v>10</v>
      </c>
      <c r="J16" s="4">
        <f>COUNTIFS('V11 - Cryptography'!$F$2:$F$32,"Compliant",'V11 - Cryptography'!$E$2:$E$32,3)</f>
        <v>2</v>
      </c>
      <c r="K16" s="5">
        <f t="shared" si="4"/>
        <v>0.2</v>
      </c>
      <c r="L16" s="4">
        <f>COUNTIF('V11 - Cryptography'!$F$2:$F$32,"Compliant")</f>
        <v>12</v>
      </c>
      <c r="M16" s="5">
        <f t="shared" si="3"/>
        <v>0.5</v>
      </c>
    </row>
    <row r="17" spans="1:13" ht="18" customHeight="1" x14ac:dyDescent="0.25">
      <c r="A17" s="6" t="s">
        <v>202</v>
      </c>
      <c r="B17" s="7">
        <v>12</v>
      </c>
      <c r="C17" s="7">
        <v>3</v>
      </c>
      <c r="D17" s="7">
        <f>COUNTIFS('V12 - Secure Communication'!$F$2:$F$16,"Compliant",'V12 - Secure Communication'!$E$2:$E$16,1)</f>
        <v>0</v>
      </c>
      <c r="E17" s="8">
        <f t="shared" si="0"/>
        <v>0</v>
      </c>
      <c r="F17" s="7">
        <v>6</v>
      </c>
      <c r="G17" s="7">
        <f>COUNTIFS('V12 - Secure Communication'!$F$2:$F$16,"Compliant",'V12 - Secure Communication'!$E$2:$E$16,2)</f>
        <v>0</v>
      </c>
      <c r="H17" s="8">
        <f t="shared" si="1"/>
        <v>0</v>
      </c>
      <c r="I17" s="7">
        <v>3</v>
      </c>
      <c r="J17" s="7">
        <f>COUNTIFS('V12 - Secure Communication'!$F$2:$F$16,"Compliant",'V12 - Secure Communication'!$E$2:$E$16,3)</f>
        <v>0</v>
      </c>
      <c r="K17" s="8">
        <f t="shared" si="4"/>
        <v>0</v>
      </c>
      <c r="L17" s="7">
        <f>COUNTIF('V12 - Secure Communication'!$F$2:$F$16,"Compliant")</f>
        <v>0</v>
      </c>
      <c r="M17" s="8">
        <f t="shared" si="3"/>
        <v>0</v>
      </c>
    </row>
    <row r="18" spans="1:13" ht="18" customHeight="1" x14ac:dyDescent="0.25">
      <c r="A18" s="3" t="s">
        <v>203</v>
      </c>
      <c r="B18" s="4">
        <v>21</v>
      </c>
      <c r="C18" s="4">
        <v>1</v>
      </c>
      <c r="D18" s="4">
        <f>COUNTIFS('V13 - Configuration'!$F$2:$F$26,"Compliant",'V13 - Configuration'!$E$2:$E$26,1)</f>
        <v>0</v>
      </c>
      <c r="E18" s="5">
        <f t="shared" si="0"/>
        <v>0</v>
      </c>
      <c r="F18" s="4">
        <v>12</v>
      </c>
      <c r="G18" s="4">
        <f>COUNTIFS('V13 - Configuration'!$F$2:$F$26,"Compliant",'V13 - Configuration'!$E$2:$E$26,2)</f>
        <v>0</v>
      </c>
      <c r="H18" s="5">
        <f t="shared" si="1"/>
        <v>0</v>
      </c>
      <c r="I18" s="4">
        <v>8</v>
      </c>
      <c r="J18" s="4">
        <f>COUNTIFS('V13 - Configuration'!$F$2:$F$26,"Compliant",'V13 - Configuration'!$E$2:$E$26,3)</f>
        <v>0</v>
      </c>
      <c r="K18" s="5">
        <f t="shared" si="4"/>
        <v>0</v>
      </c>
      <c r="L18" s="4">
        <f>COUNTIF('V13 - Configuration'!$F$2:$F$26,"Compliant")</f>
        <v>0</v>
      </c>
      <c r="M18" s="5">
        <f t="shared" si="3"/>
        <v>0</v>
      </c>
    </row>
    <row r="19" spans="1:13" ht="18" customHeight="1" x14ac:dyDescent="0.25">
      <c r="A19" s="6" t="s">
        <v>204</v>
      </c>
      <c r="B19" s="7">
        <v>13</v>
      </c>
      <c r="C19" s="7">
        <v>2</v>
      </c>
      <c r="D19" s="7">
        <f>COUNTIFS('V14 - Data Protection'!$F$2:$F$17,"Compliant",'V14 - Data Protection'!$E$2:$E$17,1)</f>
        <v>1</v>
      </c>
      <c r="E19" s="8">
        <f t="shared" si="0"/>
        <v>0.5</v>
      </c>
      <c r="F19" s="7">
        <v>7</v>
      </c>
      <c r="G19" s="7">
        <f>COUNTIFS('V14 - Data Protection'!$F$2:$F$17,"Compliant",'V14 - Data Protection'!$E$2:$E$17,2)</f>
        <v>1</v>
      </c>
      <c r="H19" s="8">
        <f t="shared" si="1"/>
        <v>0.14285714285714285</v>
      </c>
      <c r="I19" s="7">
        <v>4</v>
      </c>
      <c r="J19" s="7">
        <f>COUNTIFS('V14 - Data Protection'!$F$2:$F$17,"Compliant",'V14 - Data Protection'!$E$2:$E$17,3)</f>
        <v>0</v>
      </c>
      <c r="K19" s="8">
        <f t="shared" si="4"/>
        <v>0</v>
      </c>
      <c r="L19" s="7">
        <f>COUNTIF('V14 - Data Protection'!$F$2:$F$17,"Compliant")</f>
        <v>2</v>
      </c>
      <c r="M19" s="8">
        <f t="shared" si="3"/>
        <v>0.15384615384615385</v>
      </c>
    </row>
    <row r="20" spans="1:13" ht="18" customHeight="1" x14ac:dyDescent="0.25">
      <c r="A20" s="3" t="s">
        <v>205</v>
      </c>
      <c r="B20" s="4">
        <v>21</v>
      </c>
      <c r="C20" s="4">
        <v>3</v>
      </c>
      <c r="D20" s="4">
        <f>COUNTIFS('V15 - Secure Coding and Archite'!$F$2:$F$26,"Compliant",'V15 - Secure Coding and Archite'!$E$2:$E$26,1)</f>
        <v>1</v>
      </c>
      <c r="E20" s="5">
        <f t="shared" si="0"/>
        <v>0.33333333333333331</v>
      </c>
      <c r="F20" s="4">
        <v>10</v>
      </c>
      <c r="G20" s="4">
        <f>COUNTIFS('V15 - Secure Coding and Archite'!$F$2:$F$26,"Compliant",'V15 - Secure Coding and Archite'!$E$2:$E$26,2)</f>
        <v>4</v>
      </c>
      <c r="H20" s="5">
        <f t="shared" si="1"/>
        <v>0.4</v>
      </c>
      <c r="I20" s="4">
        <v>8</v>
      </c>
      <c r="J20" s="4">
        <f>COUNTIFS('V15 - Secure Coding and Archite'!$F$2:$F$26,"Compliant",'V15 - Secure Coding and Archite'!$E$2:$E$26,3)</f>
        <v>1</v>
      </c>
      <c r="K20" s="5">
        <f t="shared" si="4"/>
        <v>0.125</v>
      </c>
      <c r="L20" s="4">
        <f>COUNTIF('V15 - Secure Coding and Archite'!$F$2:$F$26,"Compliant")</f>
        <v>6</v>
      </c>
      <c r="M20" s="5">
        <f t="shared" si="3"/>
        <v>0.2857142857142857</v>
      </c>
    </row>
    <row r="21" spans="1:13" ht="18" customHeight="1" x14ac:dyDescent="0.25">
      <c r="A21" s="6" t="s">
        <v>206</v>
      </c>
      <c r="B21" s="7">
        <v>17</v>
      </c>
      <c r="C21" s="7">
        <v>0</v>
      </c>
      <c r="D21" s="7" t="s">
        <v>199</v>
      </c>
      <c r="E21" s="7" t="s">
        <v>199</v>
      </c>
      <c r="F21" s="7">
        <v>16</v>
      </c>
      <c r="G21" s="7">
        <f>COUNTIFS('V16 - Security Logging and Erro'!$F$2:$F$23,"Compliant",'V16 - Security Logging and Erro'!$E$2:$E$23,2)</f>
        <v>5</v>
      </c>
      <c r="H21" s="8">
        <f t="shared" si="1"/>
        <v>0.3125</v>
      </c>
      <c r="I21" s="7">
        <v>1</v>
      </c>
      <c r="J21" s="7">
        <f>COUNTIFS('V16 - Security Logging and Erro'!$F$2:$F$23,"Compliant",'V16 - Security Logging and Erro'!$E$2:$E$23,3)</f>
        <v>1</v>
      </c>
      <c r="K21" s="8">
        <f t="shared" si="4"/>
        <v>1</v>
      </c>
      <c r="L21" s="7">
        <f>COUNTIF('V16 - Security Logging and Erro'!$F$2:$F$23,"Compliant")</f>
        <v>6</v>
      </c>
      <c r="M21" s="8">
        <f t="shared" si="3"/>
        <v>0.35294117647058826</v>
      </c>
    </row>
    <row r="22" spans="1:13" ht="18" customHeight="1" x14ac:dyDescent="0.25">
      <c r="A22" s="3" t="s">
        <v>207</v>
      </c>
      <c r="B22" s="4">
        <v>12</v>
      </c>
      <c r="C22" s="4">
        <v>0</v>
      </c>
      <c r="D22" s="4" t="s">
        <v>199</v>
      </c>
      <c r="E22" s="4" t="s">
        <v>199</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2.15" customHeight="1" x14ac:dyDescent="0.25">
      <c r="A23" s="9" t="s">
        <v>208</v>
      </c>
      <c r="B23" s="10">
        <f>SUM(B6:B22)</f>
        <v>345</v>
      </c>
      <c r="C23" s="10">
        <f>SUM(C6:C22)</f>
        <v>70</v>
      </c>
      <c r="D23" s="10">
        <f>SUM(D6:D22)</f>
        <v>30</v>
      </c>
      <c r="E23" s="11">
        <f>IFERROR(AVERAGE(E6:E22),"")</f>
        <v>0.44551282051282048</v>
      </c>
      <c r="F23" s="10">
        <f>SUM(F6:F22)</f>
        <v>183</v>
      </c>
      <c r="G23" s="10">
        <f>SUM(G6:G22)</f>
        <v>29</v>
      </c>
      <c r="H23" s="11">
        <f>IFERROR(AVERAGE(H6:H22),"")</f>
        <v>0.1431826558374546</v>
      </c>
      <c r="I23" s="10">
        <f>SUM(I6:I22)</f>
        <v>92</v>
      </c>
      <c r="J23" s="10">
        <f>SUM(J6:J22)</f>
        <v>4</v>
      </c>
      <c r="K23" s="11">
        <f>IFERROR(AVERAGE(K6:K22),"")</f>
        <v>8.2812499999999997E-2</v>
      </c>
      <c r="L23" s="10">
        <f>SUM(L6:L22)</f>
        <v>63</v>
      </c>
      <c r="M23" s="11">
        <f>IFERROR(AVERAGE(M6:M22),"")</f>
        <v>0.19827234528546164</v>
      </c>
    </row>
  </sheetData>
  <mergeCells count="3">
    <mergeCell ref="A1:P1"/>
    <mergeCell ref="A3:B3"/>
    <mergeCell ref="A2:P2"/>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zoomScale="81" zoomScaleNormal="75" workbookViewId="0">
      <pane ySplit="1" topLeftCell="A18" activePane="bottomLeft" state="frozen"/>
      <selection pane="bottomLeft" activeCell="G27" sqref="G27"/>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94.28515625" bestFit="1" customWidth="1"/>
    <col min="8" max="8" width="35" customWidth="1"/>
  </cols>
  <sheetData>
    <row r="1" spans="1:8" ht="28.15" customHeight="1" x14ac:dyDescent="0.25">
      <c r="A1" s="12" t="s">
        <v>0</v>
      </c>
      <c r="B1" s="12" t="s">
        <v>1</v>
      </c>
      <c r="C1" s="12" t="s">
        <v>2</v>
      </c>
      <c r="D1" s="12" t="s">
        <v>3</v>
      </c>
      <c r="E1" s="12" t="s">
        <v>4</v>
      </c>
      <c r="F1" s="12" t="s">
        <v>5</v>
      </c>
      <c r="G1" s="12" t="s">
        <v>6</v>
      </c>
      <c r="H1" s="12" t="s">
        <v>7</v>
      </c>
    </row>
    <row r="2" spans="1:8" ht="18" customHeight="1" x14ac:dyDescent="0.25">
      <c r="A2" s="13" t="s">
        <v>209</v>
      </c>
      <c r="B2" s="13" t="s">
        <v>210</v>
      </c>
      <c r="C2" s="13"/>
      <c r="D2" s="13"/>
      <c r="E2" s="13"/>
      <c r="F2" s="13"/>
      <c r="G2" s="13"/>
      <c r="H2" s="13"/>
    </row>
    <row r="3" spans="1:8" ht="75" customHeight="1" x14ac:dyDescent="0.25">
      <c r="A3" s="14" t="s">
        <v>209</v>
      </c>
      <c r="B3" s="14" t="s">
        <v>210</v>
      </c>
      <c r="C3" s="15" t="s">
        <v>211</v>
      </c>
      <c r="D3" s="16" t="s">
        <v>212</v>
      </c>
      <c r="E3" s="17">
        <v>2</v>
      </c>
      <c r="F3" s="28" t="s">
        <v>53</v>
      </c>
      <c r="G3" s="29" t="s">
        <v>213</v>
      </c>
      <c r="H3" s="16" t="s">
        <v>214</v>
      </c>
    </row>
    <row r="4" spans="1:8" ht="30" customHeight="1" x14ac:dyDescent="0.25">
      <c r="A4" s="19" t="s">
        <v>209</v>
      </c>
      <c r="B4" s="19" t="s">
        <v>210</v>
      </c>
      <c r="C4" s="20" t="s">
        <v>215</v>
      </c>
      <c r="D4" s="21" t="s">
        <v>216</v>
      </c>
      <c r="E4" s="17">
        <v>2</v>
      </c>
      <c r="F4" s="28" t="s">
        <v>12</v>
      </c>
      <c r="G4" s="30" t="s">
        <v>217</v>
      </c>
      <c r="H4" s="21" t="s">
        <v>218</v>
      </c>
    </row>
    <row r="5" spans="1:8" ht="18" customHeight="1" x14ac:dyDescent="0.25">
      <c r="A5" s="13" t="s">
        <v>219</v>
      </c>
      <c r="B5" s="13" t="s">
        <v>220</v>
      </c>
      <c r="C5" s="13"/>
      <c r="D5" s="13"/>
      <c r="E5" s="13"/>
      <c r="F5" s="31"/>
      <c r="G5" s="31"/>
      <c r="H5" s="13"/>
    </row>
    <row r="6" spans="1:8" ht="30" customHeight="1" x14ac:dyDescent="0.25">
      <c r="A6" s="14" t="s">
        <v>219</v>
      </c>
      <c r="B6" s="14" t="s">
        <v>220</v>
      </c>
      <c r="C6" s="15" t="s">
        <v>221</v>
      </c>
      <c r="D6" s="16" t="s">
        <v>222</v>
      </c>
      <c r="E6" s="22">
        <v>1</v>
      </c>
      <c r="F6" s="28" t="s">
        <v>46</v>
      </c>
      <c r="G6" s="29" t="s">
        <v>223</v>
      </c>
      <c r="H6" s="16"/>
    </row>
    <row r="7" spans="1:8" ht="30" customHeight="1" x14ac:dyDescent="0.25">
      <c r="A7" s="19" t="s">
        <v>219</v>
      </c>
      <c r="B7" s="19" t="s">
        <v>220</v>
      </c>
      <c r="C7" s="20" t="s">
        <v>224</v>
      </c>
      <c r="D7" s="21" t="s">
        <v>225</v>
      </c>
      <c r="E7" s="22">
        <v>1</v>
      </c>
      <c r="F7" s="28" t="s">
        <v>226</v>
      </c>
      <c r="G7" s="30"/>
      <c r="H7" s="21"/>
    </row>
    <row r="8" spans="1:8" ht="30" customHeight="1" x14ac:dyDescent="0.25">
      <c r="A8" s="14" t="s">
        <v>219</v>
      </c>
      <c r="B8" s="14" t="s">
        <v>220</v>
      </c>
      <c r="C8" s="15" t="s">
        <v>227</v>
      </c>
      <c r="D8" s="16" t="s">
        <v>228</v>
      </c>
      <c r="E8" s="22">
        <v>1</v>
      </c>
      <c r="F8" s="28" t="s">
        <v>46</v>
      </c>
      <c r="G8" s="29"/>
      <c r="H8" s="16"/>
    </row>
    <row r="9" spans="1:8" ht="30" customHeight="1" x14ac:dyDescent="0.25">
      <c r="A9" s="19" t="s">
        <v>219</v>
      </c>
      <c r="B9" s="19" t="s">
        <v>220</v>
      </c>
      <c r="C9" s="20" t="s">
        <v>229</v>
      </c>
      <c r="D9" s="21" t="s">
        <v>230</v>
      </c>
      <c r="E9" s="22">
        <v>1</v>
      </c>
      <c r="F9" s="28" t="s">
        <v>53</v>
      </c>
      <c r="G9" s="30" t="s">
        <v>231</v>
      </c>
      <c r="H9" s="21"/>
    </row>
    <row r="10" spans="1:8" ht="30" customHeight="1" x14ac:dyDescent="0.25">
      <c r="A10" s="14" t="s">
        <v>219</v>
      </c>
      <c r="B10" s="14" t="s">
        <v>220</v>
      </c>
      <c r="C10" s="15" t="s">
        <v>232</v>
      </c>
      <c r="D10" s="16" t="s">
        <v>233</v>
      </c>
      <c r="E10" s="22">
        <v>1</v>
      </c>
      <c r="F10" s="28" t="s">
        <v>46</v>
      </c>
      <c r="G10" s="29" t="s">
        <v>234</v>
      </c>
      <c r="H10" s="16"/>
    </row>
    <row r="11" spans="1:8" ht="30" customHeight="1" x14ac:dyDescent="0.25">
      <c r="A11" s="19" t="s">
        <v>219</v>
      </c>
      <c r="B11" s="19" t="s">
        <v>220</v>
      </c>
      <c r="C11" s="20" t="s">
        <v>235</v>
      </c>
      <c r="D11" s="21" t="s">
        <v>236</v>
      </c>
      <c r="E11" s="17">
        <v>2</v>
      </c>
      <c r="F11" s="28" t="s">
        <v>46</v>
      </c>
      <c r="G11" s="30" t="s">
        <v>237</v>
      </c>
      <c r="H11" s="21"/>
    </row>
    <row r="12" spans="1:8" ht="30" customHeight="1" x14ac:dyDescent="0.25">
      <c r="A12" s="14" t="s">
        <v>219</v>
      </c>
      <c r="B12" s="14" t="s">
        <v>220</v>
      </c>
      <c r="C12" s="15" t="s">
        <v>238</v>
      </c>
      <c r="D12" s="16" t="s">
        <v>239</v>
      </c>
      <c r="E12" s="17">
        <v>2</v>
      </c>
      <c r="F12" s="28" t="s">
        <v>46</v>
      </c>
      <c r="G12" s="29" t="s">
        <v>240</v>
      </c>
      <c r="H12" s="16"/>
    </row>
    <row r="13" spans="1:8" ht="30" customHeight="1" x14ac:dyDescent="0.25">
      <c r="A13" s="19" t="s">
        <v>219</v>
      </c>
      <c r="B13" s="19" t="s">
        <v>220</v>
      </c>
      <c r="C13" s="20" t="s">
        <v>241</v>
      </c>
      <c r="D13" s="21" t="s">
        <v>242</v>
      </c>
      <c r="E13" s="17">
        <v>2</v>
      </c>
      <c r="F13" s="28" t="s">
        <v>46</v>
      </c>
      <c r="G13" s="30" t="s">
        <v>243</v>
      </c>
      <c r="H13" s="21"/>
    </row>
    <row r="14" spans="1:8" ht="30" customHeight="1" x14ac:dyDescent="0.25">
      <c r="A14" s="14" t="s">
        <v>219</v>
      </c>
      <c r="B14" s="14" t="s">
        <v>220</v>
      </c>
      <c r="C14" s="15" t="s">
        <v>244</v>
      </c>
      <c r="D14" s="16" t="s">
        <v>245</v>
      </c>
      <c r="E14" s="17">
        <v>2</v>
      </c>
      <c r="F14" s="28" t="s">
        <v>226</v>
      </c>
      <c r="G14" s="29"/>
      <c r="H14" s="16"/>
    </row>
    <row r="15" spans="1:8" ht="30" customHeight="1" x14ac:dyDescent="0.25">
      <c r="A15" s="19" t="s">
        <v>219</v>
      </c>
      <c r="B15" s="19" t="s">
        <v>220</v>
      </c>
      <c r="C15" s="20" t="s">
        <v>246</v>
      </c>
      <c r="D15" s="21" t="s">
        <v>247</v>
      </c>
      <c r="E15" s="23">
        <v>3</v>
      </c>
      <c r="F15" s="28" t="s">
        <v>46</v>
      </c>
      <c r="G15" s="30" t="s">
        <v>248</v>
      </c>
      <c r="H15" s="21"/>
    </row>
    <row r="16" spans="1:8" ht="18" customHeight="1" x14ac:dyDescent="0.25">
      <c r="A16" s="13" t="s">
        <v>249</v>
      </c>
      <c r="B16" s="13" t="s">
        <v>250</v>
      </c>
      <c r="C16" s="13"/>
      <c r="D16" s="13"/>
      <c r="E16" s="13"/>
      <c r="F16" s="31"/>
      <c r="G16" s="31"/>
      <c r="H16" s="13"/>
    </row>
    <row r="17" spans="1:8" ht="30" customHeight="1" x14ac:dyDescent="0.25">
      <c r="A17" s="14" t="s">
        <v>249</v>
      </c>
      <c r="B17" s="14" t="s">
        <v>250</v>
      </c>
      <c r="C17" s="15" t="s">
        <v>251</v>
      </c>
      <c r="D17" s="16" t="s">
        <v>252</v>
      </c>
      <c r="E17" s="22">
        <v>1</v>
      </c>
      <c r="F17" s="28" t="s">
        <v>46</v>
      </c>
      <c r="G17" s="29" t="s">
        <v>253</v>
      </c>
      <c r="H17" s="16"/>
    </row>
    <row r="18" spans="1:8" ht="30" customHeight="1" x14ac:dyDescent="0.25">
      <c r="A18" s="19" t="s">
        <v>249</v>
      </c>
      <c r="B18" s="19" t="s">
        <v>250</v>
      </c>
      <c r="C18" s="20" t="s">
        <v>254</v>
      </c>
      <c r="D18" s="21" t="s">
        <v>255</v>
      </c>
      <c r="E18" s="22">
        <v>1</v>
      </c>
      <c r="F18" s="28" t="s">
        <v>53</v>
      </c>
      <c r="G18" s="30" t="s">
        <v>256</v>
      </c>
      <c r="H18" s="21"/>
    </row>
    <row r="19" spans="1:8" ht="30" customHeight="1" x14ac:dyDescent="0.25">
      <c r="A19" s="14" t="s">
        <v>249</v>
      </c>
      <c r="B19" s="14" t="s">
        <v>250</v>
      </c>
      <c r="C19" s="15" t="s">
        <v>257</v>
      </c>
      <c r="D19" s="16" t="s">
        <v>258</v>
      </c>
      <c r="E19" s="17">
        <v>2</v>
      </c>
      <c r="F19" s="28" t="s">
        <v>226</v>
      </c>
      <c r="G19" s="29"/>
      <c r="H19" s="16"/>
    </row>
    <row r="20" spans="1:8" ht="30" customHeight="1" x14ac:dyDescent="0.25">
      <c r="A20" s="19" t="s">
        <v>249</v>
      </c>
      <c r="B20" s="19" t="s">
        <v>250</v>
      </c>
      <c r="C20" s="20" t="s">
        <v>259</v>
      </c>
      <c r="D20" s="21" t="s">
        <v>260</v>
      </c>
      <c r="E20" s="17">
        <v>2</v>
      </c>
      <c r="F20" s="28" t="s">
        <v>46</v>
      </c>
      <c r="G20" s="30" t="s">
        <v>261</v>
      </c>
      <c r="H20" s="21"/>
    </row>
    <row r="21" spans="1:8" ht="30" customHeight="1" x14ac:dyDescent="0.25">
      <c r="A21" s="14" t="s">
        <v>249</v>
      </c>
      <c r="B21" s="14" t="s">
        <v>250</v>
      </c>
      <c r="C21" s="15" t="s">
        <v>262</v>
      </c>
      <c r="D21" s="16" t="s">
        <v>263</v>
      </c>
      <c r="E21" s="17">
        <v>2</v>
      </c>
      <c r="F21" s="28" t="s">
        <v>46</v>
      </c>
      <c r="G21" s="29" t="s">
        <v>264</v>
      </c>
      <c r="H21" s="16"/>
    </row>
    <row r="22" spans="1:8" ht="30" customHeight="1" x14ac:dyDescent="0.25">
      <c r="A22" s="19" t="s">
        <v>249</v>
      </c>
      <c r="B22" s="19" t="s">
        <v>250</v>
      </c>
      <c r="C22" s="20" t="s">
        <v>265</v>
      </c>
      <c r="D22" s="21" t="s">
        <v>266</v>
      </c>
      <c r="E22" s="17">
        <v>2</v>
      </c>
      <c r="F22" s="28" t="s">
        <v>226</v>
      </c>
      <c r="G22" s="30"/>
      <c r="H22" s="21"/>
    </row>
    <row r="23" spans="1:8" ht="30" customHeight="1" x14ac:dyDescent="0.25">
      <c r="A23" s="14" t="s">
        <v>249</v>
      </c>
      <c r="B23" s="14" t="s">
        <v>250</v>
      </c>
      <c r="C23" s="15" t="s">
        <v>267</v>
      </c>
      <c r="D23" s="16" t="s">
        <v>268</v>
      </c>
      <c r="E23" s="17">
        <v>2</v>
      </c>
      <c r="F23" s="28" t="s">
        <v>46</v>
      </c>
      <c r="G23" s="29"/>
      <c r="H23" s="16"/>
    </row>
    <row r="24" spans="1:8" ht="30" customHeight="1" x14ac:dyDescent="0.25">
      <c r="A24" s="19" t="s">
        <v>249</v>
      </c>
      <c r="B24" s="19" t="s">
        <v>250</v>
      </c>
      <c r="C24" s="20" t="s">
        <v>269</v>
      </c>
      <c r="D24" s="21" t="s">
        <v>270</v>
      </c>
      <c r="E24" s="17">
        <v>2</v>
      </c>
      <c r="F24" s="28" t="s">
        <v>46</v>
      </c>
      <c r="G24" s="30" t="s">
        <v>271</v>
      </c>
      <c r="H24" s="21"/>
    </row>
    <row r="25" spans="1:8" ht="30" customHeight="1" x14ac:dyDescent="0.25">
      <c r="A25" s="14" t="s">
        <v>249</v>
      </c>
      <c r="B25" s="14" t="s">
        <v>250</v>
      </c>
      <c r="C25" s="15" t="s">
        <v>272</v>
      </c>
      <c r="D25" s="16" t="s">
        <v>273</v>
      </c>
      <c r="E25" s="17">
        <v>2</v>
      </c>
      <c r="F25" s="28" t="s">
        <v>46</v>
      </c>
      <c r="G25" s="29" t="s">
        <v>274</v>
      </c>
      <c r="H25" s="16"/>
    </row>
    <row r="26" spans="1:8" ht="30" customHeight="1" x14ac:dyDescent="0.25">
      <c r="A26" s="19" t="s">
        <v>249</v>
      </c>
      <c r="B26" s="19" t="s">
        <v>250</v>
      </c>
      <c r="C26" s="20" t="s">
        <v>275</v>
      </c>
      <c r="D26" s="21" t="s">
        <v>276</v>
      </c>
      <c r="E26" s="17">
        <v>2</v>
      </c>
      <c r="F26" s="28" t="s">
        <v>53</v>
      </c>
      <c r="G26" s="30" t="s">
        <v>277</v>
      </c>
      <c r="H26" s="21"/>
    </row>
    <row r="27" spans="1:8" ht="30" customHeight="1" x14ac:dyDescent="0.25">
      <c r="A27" s="14" t="s">
        <v>249</v>
      </c>
      <c r="B27" s="14" t="s">
        <v>250</v>
      </c>
      <c r="C27" s="15" t="s">
        <v>278</v>
      </c>
      <c r="D27" s="16" t="s">
        <v>279</v>
      </c>
      <c r="E27" s="17">
        <v>2</v>
      </c>
      <c r="F27" s="28" t="s">
        <v>46</v>
      </c>
      <c r="G27" s="29" t="s">
        <v>280</v>
      </c>
      <c r="H27" s="16"/>
    </row>
    <row r="28" spans="1:8" ht="30" customHeight="1" x14ac:dyDescent="0.25">
      <c r="A28" s="19" t="s">
        <v>249</v>
      </c>
      <c r="B28" s="19" t="s">
        <v>250</v>
      </c>
      <c r="C28" s="20" t="s">
        <v>281</v>
      </c>
      <c r="D28" s="21" t="s">
        <v>282</v>
      </c>
      <c r="E28" s="23">
        <v>3</v>
      </c>
      <c r="F28" s="28" t="s">
        <v>46</v>
      </c>
      <c r="G28" s="30"/>
      <c r="H28" s="21"/>
    </row>
    <row r="29" spans="1:8" ht="18" customHeight="1" x14ac:dyDescent="0.25">
      <c r="A29" s="13" t="s">
        <v>283</v>
      </c>
      <c r="B29" s="13" t="s">
        <v>284</v>
      </c>
      <c r="C29" s="13"/>
      <c r="D29" s="13"/>
      <c r="E29" s="13"/>
      <c r="F29" s="31"/>
      <c r="G29" s="31"/>
      <c r="H29" s="13"/>
    </row>
    <row r="30" spans="1:8" ht="30" customHeight="1" x14ac:dyDescent="0.25">
      <c r="A30" s="14" t="s">
        <v>283</v>
      </c>
      <c r="B30" s="14" t="s">
        <v>284</v>
      </c>
      <c r="C30" s="15" t="s">
        <v>285</v>
      </c>
      <c r="D30" s="16" t="s">
        <v>286</v>
      </c>
      <c r="E30" s="17">
        <v>2</v>
      </c>
      <c r="F30" s="28" t="s">
        <v>46</v>
      </c>
      <c r="G30" s="29" t="s">
        <v>287</v>
      </c>
      <c r="H30" s="16"/>
    </row>
    <row r="31" spans="1:8" ht="30" customHeight="1" x14ac:dyDescent="0.25">
      <c r="A31" s="19" t="s">
        <v>283</v>
      </c>
      <c r="B31" s="19" t="s">
        <v>284</v>
      </c>
      <c r="C31" s="20" t="s">
        <v>288</v>
      </c>
      <c r="D31" s="21" t="s">
        <v>289</v>
      </c>
      <c r="E31" s="17">
        <v>2</v>
      </c>
      <c r="F31" s="28" t="s">
        <v>226</v>
      </c>
      <c r="G31" s="30"/>
      <c r="H31" s="21"/>
    </row>
    <row r="32" spans="1:8" ht="30" customHeight="1" x14ac:dyDescent="0.25">
      <c r="A32" s="14" t="s">
        <v>283</v>
      </c>
      <c r="B32" s="14" t="s">
        <v>284</v>
      </c>
      <c r="C32" s="15" t="s">
        <v>290</v>
      </c>
      <c r="D32" s="16" t="s">
        <v>291</v>
      </c>
      <c r="E32" s="17">
        <v>2</v>
      </c>
      <c r="F32" s="28" t="s">
        <v>46</v>
      </c>
      <c r="G32" s="29"/>
      <c r="H32" s="16"/>
    </row>
    <row r="33" spans="1:8" ht="18" customHeight="1" x14ac:dyDescent="0.25">
      <c r="A33" s="13" t="s">
        <v>292</v>
      </c>
      <c r="B33" s="13" t="s">
        <v>293</v>
      </c>
      <c r="C33" s="13"/>
      <c r="D33" s="13"/>
      <c r="E33" s="13"/>
      <c r="F33" s="31"/>
      <c r="G33" s="31"/>
      <c r="H33" s="13"/>
    </row>
    <row r="34" spans="1:8" ht="30" customHeight="1" x14ac:dyDescent="0.25">
      <c r="A34" s="14" t="s">
        <v>292</v>
      </c>
      <c r="B34" s="14" t="s">
        <v>293</v>
      </c>
      <c r="C34" s="15" t="s">
        <v>294</v>
      </c>
      <c r="D34" s="16" t="s">
        <v>295</v>
      </c>
      <c r="E34" s="22">
        <v>1</v>
      </c>
      <c r="F34" s="28" t="s">
        <v>46</v>
      </c>
      <c r="G34" s="29"/>
      <c r="H34" s="16"/>
    </row>
    <row r="35" spans="1:8" ht="30" customHeight="1" x14ac:dyDescent="0.25">
      <c r="A35" s="19" t="s">
        <v>292</v>
      </c>
      <c r="B35" s="19" t="s">
        <v>293</v>
      </c>
      <c r="C35" s="20" t="s">
        <v>296</v>
      </c>
      <c r="D35" s="21" t="s">
        <v>297</v>
      </c>
      <c r="E35" s="17">
        <v>2</v>
      </c>
      <c r="F35" s="28" t="s">
        <v>226</v>
      </c>
      <c r="G35" s="30"/>
      <c r="H35" s="21"/>
    </row>
    <row r="36" spans="1:8" ht="30" customHeight="1" x14ac:dyDescent="0.25">
      <c r="A36" s="14" t="s">
        <v>292</v>
      </c>
      <c r="B36" s="14" t="s">
        <v>293</v>
      </c>
      <c r="C36" s="15" t="s">
        <v>298</v>
      </c>
      <c r="D36" s="16" t="s">
        <v>299</v>
      </c>
      <c r="E36" s="23">
        <v>3</v>
      </c>
      <c r="F36" s="28" t="s">
        <v>46</v>
      </c>
      <c r="G36" s="29"/>
      <c r="H36" s="16"/>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75" zoomScaleNormal="75" workbookViewId="0">
      <pane ySplit="1" topLeftCell="A7" activePane="bottomLeft" state="frozen"/>
      <selection pane="bottomLeft" activeCell="G11" sqref="G11"/>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75.7109375" bestFit="1" customWidth="1"/>
    <col min="8" max="8" width="35" customWidth="1"/>
  </cols>
  <sheetData>
    <row r="1" spans="1:8" ht="28.15" customHeight="1" x14ac:dyDescent="0.25">
      <c r="A1" s="12" t="s">
        <v>0</v>
      </c>
      <c r="B1" s="12" t="s">
        <v>1</v>
      </c>
      <c r="C1" s="12" t="s">
        <v>2</v>
      </c>
      <c r="D1" s="12" t="s">
        <v>3</v>
      </c>
      <c r="E1" s="12" t="s">
        <v>4</v>
      </c>
      <c r="F1" s="12" t="s">
        <v>5</v>
      </c>
      <c r="G1" s="12" t="s">
        <v>6</v>
      </c>
      <c r="H1" s="12" t="s">
        <v>7</v>
      </c>
    </row>
    <row r="2" spans="1:8" ht="18" customHeight="1" x14ac:dyDescent="0.25">
      <c r="A2" s="13" t="s">
        <v>300</v>
      </c>
      <c r="B2" s="13" t="s">
        <v>301</v>
      </c>
      <c r="C2" s="13"/>
      <c r="D2" s="13"/>
      <c r="E2" s="13"/>
      <c r="F2" s="13"/>
      <c r="G2" s="13"/>
      <c r="H2" s="13"/>
    </row>
    <row r="3" spans="1:8" ht="75" customHeight="1" x14ac:dyDescent="0.25">
      <c r="A3" s="14" t="s">
        <v>300</v>
      </c>
      <c r="B3" s="14" t="s">
        <v>301</v>
      </c>
      <c r="C3" s="15" t="s">
        <v>302</v>
      </c>
      <c r="D3" s="16" t="s">
        <v>303</v>
      </c>
      <c r="E3" s="22">
        <v>1</v>
      </c>
      <c r="F3" s="28" t="s">
        <v>12</v>
      </c>
      <c r="G3" s="29" t="s">
        <v>304</v>
      </c>
      <c r="H3" s="16" t="s">
        <v>305</v>
      </c>
    </row>
    <row r="4" spans="1:8" ht="45" customHeight="1" x14ac:dyDescent="0.25">
      <c r="A4" s="19" t="s">
        <v>300</v>
      </c>
      <c r="B4" s="19" t="s">
        <v>301</v>
      </c>
      <c r="C4" s="20" t="s">
        <v>306</v>
      </c>
      <c r="D4" s="21" t="s">
        <v>307</v>
      </c>
      <c r="E4" s="17">
        <v>2</v>
      </c>
      <c r="F4" s="28" t="s">
        <v>12</v>
      </c>
      <c r="G4" s="30" t="s">
        <v>308</v>
      </c>
      <c r="H4" s="21" t="s">
        <v>309</v>
      </c>
    </row>
    <row r="5" spans="1:8" ht="45" customHeight="1" x14ac:dyDescent="0.25">
      <c r="A5" s="14" t="s">
        <v>300</v>
      </c>
      <c r="B5" s="14" t="s">
        <v>301</v>
      </c>
      <c r="C5" s="15" t="s">
        <v>310</v>
      </c>
      <c r="D5" s="16" t="s">
        <v>311</v>
      </c>
      <c r="E5" s="17">
        <v>2</v>
      </c>
      <c r="F5" s="28" t="s">
        <v>12</v>
      </c>
      <c r="G5" s="29" t="s">
        <v>312</v>
      </c>
      <c r="H5" s="16" t="s">
        <v>313</v>
      </c>
    </row>
    <row r="6" spans="1:8" ht="18" customHeight="1" x14ac:dyDescent="0.25">
      <c r="A6" s="13" t="s">
        <v>314</v>
      </c>
      <c r="B6" s="13" t="s">
        <v>315</v>
      </c>
      <c r="C6" s="13"/>
      <c r="D6" s="13"/>
      <c r="E6" s="13"/>
      <c r="F6" s="31"/>
      <c r="G6" s="31"/>
      <c r="H6" s="13"/>
    </row>
    <row r="7" spans="1:8" ht="30" customHeight="1" x14ac:dyDescent="0.25">
      <c r="A7" s="14" t="s">
        <v>314</v>
      </c>
      <c r="B7" s="14" t="s">
        <v>315</v>
      </c>
      <c r="C7" s="15" t="s">
        <v>316</v>
      </c>
      <c r="D7" s="16" t="s">
        <v>317</v>
      </c>
      <c r="E7" s="22">
        <v>1</v>
      </c>
      <c r="F7" s="28" t="s">
        <v>53</v>
      </c>
      <c r="G7" s="29" t="s">
        <v>318</v>
      </c>
      <c r="H7" s="16"/>
    </row>
    <row r="8" spans="1:8" ht="60" customHeight="1" x14ac:dyDescent="0.25">
      <c r="A8" s="19" t="s">
        <v>314</v>
      </c>
      <c r="B8" s="19" t="s">
        <v>315</v>
      </c>
      <c r="C8" s="20" t="s">
        <v>319</v>
      </c>
      <c r="D8" s="21" t="s">
        <v>320</v>
      </c>
      <c r="E8" s="22">
        <v>1</v>
      </c>
      <c r="F8" s="28" t="s">
        <v>53</v>
      </c>
      <c r="G8" s="30" t="s">
        <v>321</v>
      </c>
      <c r="H8" s="21"/>
    </row>
    <row r="9" spans="1:8" ht="30" customHeight="1" x14ac:dyDescent="0.25">
      <c r="A9" s="14" t="s">
        <v>314</v>
      </c>
      <c r="B9" s="14" t="s">
        <v>315</v>
      </c>
      <c r="C9" s="15" t="s">
        <v>322</v>
      </c>
      <c r="D9" s="16" t="s">
        <v>323</v>
      </c>
      <c r="E9" s="17">
        <v>2</v>
      </c>
      <c r="F9" s="28" t="s">
        <v>226</v>
      </c>
      <c r="G9" s="29"/>
      <c r="H9" s="16"/>
    </row>
    <row r="10" spans="1:8" ht="18" customHeight="1" x14ac:dyDescent="0.25">
      <c r="A10" s="13" t="s">
        <v>324</v>
      </c>
      <c r="B10" s="13" t="s">
        <v>325</v>
      </c>
      <c r="C10" s="13"/>
      <c r="D10" s="13"/>
      <c r="E10" s="13"/>
      <c r="F10" s="31"/>
      <c r="G10" s="31"/>
      <c r="H10" s="13"/>
    </row>
    <row r="11" spans="1:8" ht="75" customHeight="1" x14ac:dyDescent="0.25">
      <c r="A11" s="14" t="s">
        <v>324</v>
      </c>
      <c r="B11" s="14" t="s">
        <v>325</v>
      </c>
      <c r="C11" s="15" t="s">
        <v>326</v>
      </c>
      <c r="D11" s="16" t="s">
        <v>327</v>
      </c>
      <c r="E11" s="22">
        <v>1</v>
      </c>
      <c r="F11" s="28" t="s">
        <v>53</v>
      </c>
      <c r="G11" s="29" t="s">
        <v>328</v>
      </c>
      <c r="H11" s="16"/>
    </row>
    <row r="12" spans="1:8" ht="30" customHeight="1" x14ac:dyDescent="0.25">
      <c r="A12" s="19" t="s">
        <v>324</v>
      </c>
      <c r="B12" s="19" t="s">
        <v>325</v>
      </c>
      <c r="C12" s="20" t="s">
        <v>329</v>
      </c>
      <c r="D12" s="21" t="s">
        <v>330</v>
      </c>
      <c r="E12" s="17">
        <v>2</v>
      </c>
      <c r="F12" s="28" t="s">
        <v>226</v>
      </c>
      <c r="G12" s="30"/>
      <c r="H12" s="21"/>
    </row>
    <row r="13" spans="1:8" ht="30" customHeight="1" x14ac:dyDescent="0.25">
      <c r="A13" s="14" t="s">
        <v>324</v>
      </c>
      <c r="B13" s="14" t="s">
        <v>325</v>
      </c>
      <c r="C13" s="15" t="s">
        <v>331</v>
      </c>
      <c r="D13" s="16" t="s">
        <v>332</v>
      </c>
      <c r="E13" s="17">
        <v>2</v>
      </c>
      <c r="F13" s="28" t="s">
        <v>226</v>
      </c>
      <c r="G13" s="29"/>
      <c r="H13" s="16"/>
    </row>
    <row r="14" spans="1:8" ht="30" customHeight="1" x14ac:dyDescent="0.25">
      <c r="A14" s="19" t="s">
        <v>324</v>
      </c>
      <c r="B14" s="19" t="s">
        <v>325</v>
      </c>
      <c r="C14" s="20" t="s">
        <v>333</v>
      </c>
      <c r="D14" s="21" t="s">
        <v>334</v>
      </c>
      <c r="E14" s="17">
        <v>2</v>
      </c>
      <c r="F14" s="28" t="s">
        <v>226</v>
      </c>
      <c r="G14" s="30"/>
      <c r="H14" s="21"/>
    </row>
    <row r="15" spans="1:8" ht="75" customHeight="1" x14ac:dyDescent="0.25">
      <c r="A15" s="14" t="s">
        <v>324</v>
      </c>
      <c r="B15" s="14" t="s">
        <v>325</v>
      </c>
      <c r="C15" s="15" t="s">
        <v>335</v>
      </c>
      <c r="D15" s="16" t="s">
        <v>336</v>
      </c>
      <c r="E15" s="23">
        <v>3</v>
      </c>
      <c r="F15" s="28" t="s">
        <v>46</v>
      </c>
      <c r="G15" s="29" t="s">
        <v>337</v>
      </c>
      <c r="H15" s="16"/>
    </row>
    <row r="16" spans="1:8" ht="18" customHeight="1" x14ac:dyDescent="0.25">
      <c r="A16" s="13" t="s">
        <v>338</v>
      </c>
      <c r="B16" s="13" t="s">
        <v>339</v>
      </c>
      <c r="C16" s="13"/>
      <c r="D16" s="13"/>
      <c r="E16" s="13"/>
      <c r="F16" s="31"/>
      <c r="G16" s="31"/>
      <c r="H16" s="13"/>
    </row>
    <row r="17" spans="1:8" ht="30" customHeight="1" x14ac:dyDescent="0.25">
      <c r="A17" s="14" t="s">
        <v>338</v>
      </c>
      <c r="B17" s="14" t="s">
        <v>339</v>
      </c>
      <c r="C17" s="15" t="s">
        <v>340</v>
      </c>
      <c r="D17" s="16" t="s">
        <v>341</v>
      </c>
      <c r="E17" s="17">
        <v>2</v>
      </c>
      <c r="F17" s="28" t="s">
        <v>226</v>
      </c>
      <c r="G17" s="29"/>
      <c r="H17" s="16"/>
    </row>
    <row r="18" spans="1:8" ht="30" customHeight="1" x14ac:dyDescent="0.25">
      <c r="A18" s="19" t="s">
        <v>338</v>
      </c>
      <c r="B18" s="19" t="s">
        <v>339</v>
      </c>
      <c r="C18" s="20" t="s">
        <v>342</v>
      </c>
      <c r="D18" s="21" t="s">
        <v>343</v>
      </c>
      <c r="E18" s="23">
        <v>3</v>
      </c>
      <c r="F18" s="28" t="s">
        <v>46</v>
      </c>
      <c r="G18" s="30"/>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85" zoomScaleNormal="85" workbookViewId="0">
      <pane ySplit="1" topLeftCell="A11" activePane="bottomLeft" state="frozen"/>
      <selection pane="bottomLeft" activeCell="G15" sqref="G15"/>
    </sheetView>
  </sheetViews>
  <sheetFormatPr defaultColWidth="8.5703125" defaultRowHeight="15" x14ac:dyDescent="0.25"/>
  <cols>
    <col min="1" max="1" width="12" customWidth="1"/>
    <col min="2" max="2" width="33" bestFit="1" customWidth="1"/>
    <col min="3" max="3" width="12" customWidth="1"/>
    <col min="4" max="4" width="60" customWidth="1"/>
    <col min="5" max="5" width="8" customWidth="1"/>
    <col min="6" max="6" width="16" customWidth="1"/>
    <col min="7" max="7" width="115.7109375" bestFit="1" customWidth="1"/>
    <col min="8" max="8" width="35" customWidth="1"/>
  </cols>
  <sheetData>
    <row r="1" spans="1:8" ht="39.75" customHeight="1" x14ac:dyDescent="0.25">
      <c r="A1" s="12" t="s">
        <v>344</v>
      </c>
      <c r="B1" s="12" t="s">
        <v>1</v>
      </c>
      <c r="C1" s="12" t="s">
        <v>2</v>
      </c>
      <c r="D1" s="12" t="s">
        <v>3</v>
      </c>
      <c r="E1" s="12" t="s">
        <v>4</v>
      </c>
      <c r="F1" s="12" t="s">
        <v>5</v>
      </c>
      <c r="G1" s="12" t="s">
        <v>6</v>
      </c>
      <c r="H1" s="12" t="s">
        <v>7</v>
      </c>
    </row>
    <row r="2" spans="1:8" x14ac:dyDescent="0.25">
      <c r="A2" s="13" t="s">
        <v>345</v>
      </c>
      <c r="B2" s="13" t="s">
        <v>346</v>
      </c>
      <c r="C2" s="13"/>
      <c r="D2" s="13"/>
      <c r="E2" s="13"/>
      <c r="F2" s="13"/>
      <c r="G2" s="13"/>
      <c r="H2" s="13"/>
    </row>
    <row r="3" spans="1:8" ht="85.15" customHeight="1" x14ac:dyDescent="0.25">
      <c r="A3" s="14" t="s">
        <v>345</v>
      </c>
      <c r="B3" s="14" t="s">
        <v>346</v>
      </c>
      <c r="C3" s="15" t="s">
        <v>347</v>
      </c>
      <c r="D3" s="16" t="s">
        <v>348</v>
      </c>
      <c r="E3" s="23">
        <v>3</v>
      </c>
      <c r="F3" s="18" t="s">
        <v>46</v>
      </c>
      <c r="G3" s="24" t="s">
        <v>349</v>
      </c>
      <c r="H3" s="16"/>
    </row>
    <row r="4" spans="1:8" x14ac:dyDescent="0.25">
      <c r="A4" s="13" t="s">
        <v>350</v>
      </c>
      <c r="B4" s="13" t="s">
        <v>351</v>
      </c>
      <c r="C4" s="13"/>
      <c r="D4" s="13"/>
      <c r="E4" s="13"/>
      <c r="F4" s="13"/>
      <c r="G4" s="13"/>
      <c r="H4" s="13"/>
    </row>
    <row r="5" spans="1:8" ht="127.9" customHeight="1" x14ac:dyDescent="0.25">
      <c r="A5" s="14" t="s">
        <v>350</v>
      </c>
      <c r="B5" s="14" t="s">
        <v>351</v>
      </c>
      <c r="C5" s="15" t="s">
        <v>352</v>
      </c>
      <c r="D5" s="16" t="s">
        <v>353</v>
      </c>
      <c r="E5" s="22">
        <v>1</v>
      </c>
      <c r="F5" s="18" t="s">
        <v>46</v>
      </c>
      <c r="G5" s="25"/>
      <c r="H5" s="16"/>
    </row>
    <row r="6" spans="1:8" ht="85.15" customHeight="1" x14ac:dyDescent="0.25">
      <c r="A6" s="19" t="s">
        <v>350</v>
      </c>
      <c r="B6" s="19" t="s">
        <v>351</v>
      </c>
      <c r="C6" s="20" t="s">
        <v>354</v>
      </c>
      <c r="D6" s="21" t="s">
        <v>355</v>
      </c>
      <c r="E6" s="22">
        <v>1</v>
      </c>
      <c r="F6" s="18" t="s">
        <v>46</v>
      </c>
      <c r="G6" t="s">
        <v>356</v>
      </c>
      <c r="H6" s="21"/>
    </row>
    <row r="7" spans="1:8" ht="85.15" customHeight="1" x14ac:dyDescent="0.25">
      <c r="A7" s="14" t="s">
        <v>350</v>
      </c>
      <c r="B7" s="14" t="s">
        <v>351</v>
      </c>
      <c r="C7" s="15" t="s">
        <v>357</v>
      </c>
      <c r="D7" s="16" t="s">
        <v>358</v>
      </c>
      <c r="E7" s="23">
        <v>3</v>
      </c>
      <c r="F7" s="18" t="s">
        <v>46</v>
      </c>
      <c r="G7" t="s">
        <v>359</v>
      </c>
      <c r="H7" s="16"/>
    </row>
    <row r="8" spans="1:8" x14ac:dyDescent="0.25">
      <c r="A8" s="13" t="s">
        <v>360</v>
      </c>
      <c r="B8" s="13" t="s">
        <v>361</v>
      </c>
      <c r="C8" s="13"/>
      <c r="D8" s="13"/>
      <c r="E8" s="13"/>
      <c r="F8" s="13"/>
      <c r="G8" s="13"/>
      <c r="H8" s="13"/>
    </row>
    <row r="9" spans="1:8" ht="72" customHeight="1" x14ac:dyDescent="0.25">
      <c r="A9" s="14" t="s">
        <v>360</v>
      </c>
      <c r="B9" s="14" t="s">
        <v>361</v>
      </c>
      <c r="C9" s="15" t="s">
        <v>362</v>
      </c>
      <c r="D9" s="16" t="s">
        <v>363</v>
      </c>
      <c r="E9" s="22">
        <v>1</v>
      </c>
      <c r="F9" s="18" t="s">
        <v>46</v>
      </c>
      <c r="G9" s="25" t="s">
        <v>364</v>
      </c>
      <c r="H9" s="16"/>
    </row>
    <row r="10" spans="1:8" ht="72" customHeight="1" x14ac:dyDescent="0.25">
      <c r="A10" s="19" t="s">
        <v>360</v>
      </c>
      <c r="B10" s="19" t="s">
        <v>361</v>
      </c>
      <c r="C10" s="20" t="s">
        <v>365</v>
      </c>
      <c r="D10" s="21" t="s">
        <v>366</v>
      </c>
      <c r="E10" s="17">
        <v>2</v>
      </c>
      <c r="F10" s="18" t="s">
        <v>46</v>
      </c>
      <c r="G10" t="s">
        <v>367</v>
      </c>
      <c r="H10" s="21"/>
    </row>
    <row r="11" spans="1:8" ht="72" customHeight="1" x14ac:dyDescent="0.25">
      <c r="A11" s="14" t="s">
        <v>360</v>
      </c>
      <c r="B11" s="14" t="s">
        <v>361</v>
      </c>
      <c r="C11" s="15" t="s">
        <v>368</v>
      </c>
      <c r="D11" s="16" t="s">
        <v>369</v>
      </c>
      <c r="E11" s="17">
        <v>2</v>
      </c>
      <c r="F11" s="18" t="s">
        <v>46</v>
      </c>
      <c r="G11" t="s">
        <v>367</v>
      </c>
      <c r="H11" s="16"/>
    </row>
    <row r="12" spans="1:8" ht="72" customHeight="1" x14ac:dyDescent="0.25">
      <c r="A12" s="19" t="s">
        <v>360</v>
      </c>
      <c r="B12" s="19" t="s">
        <v>361</v>
      </c>
      <c r="C12" s="20" t="s">
        <v>370</v>
      </c>
      <c r="D12" s="21" t="s">
        <v>371</v>
      </c>
      <c r="E12" s="17">
        <v>2</v>
      </c>
      <c r="F12" s="18" t="s">
        <v>46</v>
      </c>
      <c r="G12" s="26" t="s">
        <v>372</v>
      </c>
      <c r="H12" s="21"/>
    </row>
    <row r="13" spans="1:8" ht="72" customHeight="1" x14ac:dyDescent="0.25">
      <c r="A13" s="14" t="s">
        <v>360</v>
      </c>
      <c r="B13" s="14" t="s">
        <v>361</v>
      </c>
      <c r="C13" s="15" t="s">
        <v>373</v>
      </c>
      <c r="D13" s="16" t="s">
        <v>374</v>
      </c>
      <c r="E13" s="23">
        <v>3</v>
      </c>
      <c r="F13" s="18" t="s">
        <v>46</v>
      </c>
      <c r="G13" t="s">
        <v>375</v>
      </c>
      <c r="H13" s="16"/>
    </row>
    <row r="14" spans="1:8" x14ac:dyDescent="0.25">
      <c r="A14" s="13" t="s">
        <v>376</v>
      </c>
      <c r="B14" s="13" t="s">
        <v>377</v>
      </c>
      <c r="C14" s="13"/>
      <c r="D14" s="13"/>
      <c r="E14" s="13"/>
      <c r="F14" s="13"/>
      <c r="G14" s="13"/>
      <c r="H14" s="13"/>
    </row>
    <row r="15" spans="1:8" ht="72" customHeight="1" x14ac:dyDescent="0.25">
      <c r="A15" s="14" t="s">
        <v>376</v>
      </c>
      <c r="B15" s="14" t="s">
        <v>377</v>
      </c>
      <c r="C15" s="15" t="s">
        <v>378</v>
      </c>
      <c r="D15" s="16" t="s">
        <v>379</v>
      </c>
      <c r="E15" s="22">
        <v>1</v>
      </c>
      <c r="F15" s="18" t="s">
        <v>12</v>
      </c>
      <c r="G15" s="25" t="s">
        <v>380</v>
      </c>
      <c r="H15" s="16" t="s">
        <v>381</v>
      </c>
    </row>
    <row r="16" spans="1:8" ht="104.25" customHeight="1" x14ac:dyDescent="0.25">
      <c r="A16" s="19" t="s">
        <v>376</v>
      </c>
      <c r="B16" s="19" t="s">
        <v>377</v>
      </c>
      <c r="C16" s="20" t="s">
        <v>382</v>
      </c>
      <c r="D16" s="21" t="s">
        <v>383</v>
      </c>
      <c r="E16" s="22">
        <v>1</v>
      </c>
      <c r="F16" s="18" t="s">
        <v>12</v>
      </c>
      <c r="G16" s="26" t="s">
        <v>384</v>
      </c>
      <c r="H16" s="21" t="s">
        <v>385</v>
      </c>
    </row>
    <row r="17" spans="1:8" ht="138" customHeight="1" x14ac:dyDescent="0.25">
      <c r="A17" s="14" t="s">
        <v>376</v>
      </c>
      <c r="B17" s="14" t="s">
        <v>377</v>
      </c>
      <c r="C17" s="15" t="s">
        <v>386</v>
      </c>
      <c r="D17" s="16" t="s">
        <v>387</v>
      </c>
      <c r="E17" s="17">
        <v>2</v>
      </c>
      <c r="F17" s="18" t="s">
        <v>46</v>
      </c>
      <c r="G17" s="25" t="s">
        <v>388</v>
      </c>
      <c r="H17" s="16"/>
    </row>
    <row r="18" spans="1:8" ht="78" customHeight="1" x14ac:dyDescent="0.25">
      <c r="A18" s="19" t="s">
        <v>376</v>
      </c>
      <c r="B18" s="19" t="s">
        <v>377</v>
      </c>
      <c r="C18" s="20" t="s">
        <v>389</v>
      </c>
      <c r="D18" s="21" t="s">
        <v>390</v>
      </c>
      <c r="E18" s="17">
        <v>2</v>
      </c>
      <c r="F18" s="18" t="s">
        <v>12</v>
      </c>
      <c r="G18" s="26" t="s">
        <v>391</v>
      </c>
      <c r="H18" s="21" t="s">
        <v>392</v>
      </c>
    </row>
    <row r="19" spans="1:8" ht="105" customHeight="1" x14ac:dyDescent="0.25">
      <c r="A19" s="14" t="s">
        <v>376</v>
      </c>
      <c r="B19" s="14" t="s">
        <v>377</v>
      </c>
      <c r="C19" s="15" t="s">
        <v>393</v>
      </c>
      <c r="D19" s="16" t="s">
        <v>394</v>
      </c>
      <c r="E19" s="17">
        <v>2</v>
      </c>
      <c r="F19" s="18" t="s">
        <v>46</v>
      </c>
      <c r="G19" s="25" t="s">
        <v>395</v>
      </c>
      <c r="H19" s="16"/>
    </row>
    <row r="20" spans="1:8" ht="90" customHeight="1" x14ac:dyDescent="0.25">
      <c r="A20" s="19" t="s">
        <v>376</v>
      </c>
      <c r="B20" s="19" t="s">
        <v>377</v>
      </c>
      <c r="C20" s="20" t="s">
        <v>396</v>
      </c>
      <c r="D20" s="21" t="s">
        <v>397</v>
      </c>
      <c r="E20" s="17">
        <v>2</v>
      </c>
      <c r="F20" s="18" t="s">
        <v>46</v>
      </c>
      <c r="G20" s="26" t="s">
        <v>398</v>
      </c>
      <c r="H20" s="21"/>
    </row>
    <row r="21" spans="1:8" ht="72" customHeight="1" x14ac:dyDescent="0.25">
      <c r="A21" s="14" t="s">
        <v>376</v>
      </c>
      <c r="B21" s="14" t="s">
        <v>377</v>
      </c>
      <c r="C21" s="15" t="s">
        <v>399</v>
      </c>
      <c r="D21" s="16" t="s">
        <v>400</v>
      </c>
      <c r="E21" s="23">
        <v>3</v>
      </c>
      <c r="F21" s="18" t="s">
        <v>46</v>
      </c>
      <c r="G21" s="25" t="s">
        <v>401</v>
      </c>
      <c r="H21" s="16"/>
    </row>
    <row r="22" spans="1:8" ht="90" customHeight="1" x14ac:dyDescent="0.25">
      <c r="A22" s="19" t="s">
        <v>376</v>
      </c>
      <c r="B22" s="19" t="s">
        <v>377</v>
      </c>
      <c r="C22" s="20" t="s">
        <v>402</v>
      </c>
      <c r="D22" s="21" t="s">
        <v>403</v>
      </c>
      <c r="E22" s="23">
        <v>3</v>
      </c>
      <c r="F22" s="18" t="s">
        <v>46</v>
      </c>
      <c r="G22" s="26" t="s">
        <v>404</v>
      </c>
      <c r="H22" s="21"/>
    </row>
    <row r="23" spans="1:8" x14ac:dyDescent="0.25">
      <c r="A23" s="13" t="s">
        <v>405</v>
      </c>
      <c r="B23" s="13" t="s">
        <v>406</v>
      </c>
      <c r="C23" s="13"/>
      <c r="D23" s="13"/>
      <c r="E23" s="13"/>
      <c r="F23" s="13"/>
      <c r="G23" s="13"/>
      <c r="H23" s="13"/>
    </row>
    <row r="24" spans="1:8" ht="120" customHeight="1" x14ac:dyDescent="0.25">
      <c r="A24" s="14" t="s">
        <v>405</v>
      </c>
      <c r="B24" s="14" t="s">
        <v>406</v>
      </c>
      <c r="C24" s="15" t="s">
        <v>407</v>
      </c>
      <c r="D24" s="16" t="s">
        <v>408</v>
      </c>
      <c r="E24" s="22">
        <v>1</v>
      </c>
      <c r="F24" s="18" t="s">
        <v>53</v>
      </c>
      <c r="G24" s="25" t="s">
        <v>409</v>
      </c>
      <c r="H24" s="16" t="s">
        <v>410</v>
      </c>
    </row>
    <row r="25" spans="1:8" ht="105" customHeight="1" x14ac:dyDescent="0.25">
      <c r="A25" s="19" t="s">
        <v>405</v>
      </c>
      <c r="B25" s="19" t="s">
        <v>406</v>
      </c>
      <c r="C25" s="20" t="s">
        <v>411</v>
      </c>
      <c r="D25" s="21" t="s">
        <v>412</v>
      </c>
      <c r="E25" s="22">
        <v>1</v>
      </c>
      <c r="F25" s="18" t="s">
        <v>53</v>
      </c>
      <c r="G25" s="26" t="s">
        <v>413</v>
      </c>
      <c r="H25" s="21" t="s">
        <v>414</v>
      </c>
    </row>
    <row r="26" spans="1:8" ht="120" customHeight="1" x14ac:dyDescent="0.25">
      <c r="A26" s="14" t="s">
        <v>405</v>
      </c>
      <c r="B26" s="14" t="s">
        <v>406</v>
      </c>
      <c r="C26" s="15" t="s">
        <v>415</v>
      </c>
      <c r="D26" s="16" t="s">
        <v>416</v>
      </c>
      <c r="E26" s="22">
        <v>1</v>
      </c>
      <c r="F26" s="18" t="s">
        <v>53</v>
      </c>
      <c r="G26" s="25" t="s">
        <v>417</v>
      </c>
      <c r="H26" s="16" t="s">
        <v>418</v>
      </c>
    </row>
    <row r="27" spans="1:8" ht="75" customHeight="1" x14ac:dyDescent="0.25">
      <c r="A27" s="19" t="s">
        <v>405</v>
      </c>
      <c r="B27" s="19" t="s">
        <v>406</v>
      </c>
      <c r="C27" s="20" t="s">
        <v>419</v>
      </c>
      <c r="D27" s="21" t="s">
        <v>420</v>
      </c>
      <c r="E27" s="17">
        <v>2</v>
      </c>
      <c r="F27" s="18" t="s">
        <v>46</v>
      </c>
      <c r="G27" s="26" t="s">
        <v>421</v>
      </c>
      <c r="H27" s="21"/>
    </row>
    <row r="28" spans="1:8" ht="72" customHeight="1" x14ac:dyDescent="0.25">
      <c r="A28" s="14" t="s">
        <v>405</v>
      </c>
      <c r="B28" s="14" t="s">
        <v>406</v>
      </c>
      <c r="C28" s="15" t="s">
        <v>422</v>
      </c>
      <c r="D28" s="16" t="s">
        <v>423</v>
      </c>
      <c r="E28" s="17">
        <v>2</v>
      </c>
      <c r="F28" s="18" t="s">
        <v>46</v>
      </c>
      <c r="G28" s="25" t="s">
        <v>424</v>
      </c>
      <c r="H28" s="16"/>
    </row>
    <row r="29" spans="1:8" ht="72" customHeight="1" x14ac:dyDescent="0.25">
      <c r="A29" s="19" t="s">
        <v>405</v>
      </c>
      <c r="B29" s="19" t="s">
        <v>406</v>
      </c>
      <c r="C29" s="20" t="s">
        <v>425</v>
      </c>
      <c r="D29" s="21" t="s">
        <v>426</v>
      </c>
      <c r="E29" s="23">
        <v>3</v>
      </c>
      <c r="F29" s="18" t="s">
        <v>46</v>
      </c>
      <c r="G29" s="26" t="s">
        <v>427</v>
      </c>
      <c r="H29" s="21"/>
    </row>
    <row r="30" spans="1:8" ht="72" customHeight="1" x14ac:dyDescent="0.25">
      <c r="A30" s="14" t="s">
        <v>405</v>
      </c>
      <c r="B30" s="14" t="s">
        <v>406</v>
      </c>
      <c r="C30" s="15" t="s">
        <v>428</v>
      </c>
      <c r="D30" s="16" t="s">
        <v>429</v>
      </c>
      <c r="E30" s="23">
        <v>3</v>
      </c>
      <c r="F30" s="18" t="s">
        <v>46</v>
      </c>
      <c r="G30" s="25" t="s">
        <v>430</v>
      </c>
      <c r="H30" s="16"/>
    </row>
    <row r="31" spans="1:8" ht="120.4" customHeight="1" x14ac:dyDescent="0.25">
      <c r="A31" s="19" t="s">
        <v>405</v>
      </c>
      <c r="B31" s="19" t="s">
        <v>406</v>
      </c>
      <c r="C31" s="20" t="s">
        <v>431</v>
      </c>
      <c r="D31" s="21" t="s">
        <v>432</v>
      </c>
      <c r="E31" s="23">
        <v>3</v>
      </c>
      <c r="F31" s="18" t="s">
        <v>46</v>
      </c>
      <c r="G31" s="26"/>
      <c r="H31" s="21"/>
    </row>
    <row r="32" spans="1:8" x14ac:dyDescent="0.25">
      <c r="A32" s="13" t="s">
        <v>433</v>
      </c>
      <c r="B32" s="13" t="s">
        <v>434</v>
      </c>
      <c r="C32" s="13"/>
      <c r="D32" s="13"/>
      <c r="E32" s="13"/>
      <c r="F32" s="13"/>
      <c r="G32" s="13"/>
      <c r="H32" s="13"/>
    </row>
    <row r="33" spans="1:8" ht="106.5" customHeight="1" x14ac:dyDescent="0.25">
      <c r="A33" s="14" t="s">
        <v>433</v>
      </c>
      <c r="B33" s="14" t="s">
        <v>434</v>
      </c>
      <c r="C33" s="15" t="s">
        <v>435</v>
      </c>
      <c r="D33" s="16" t="s">
        <v>436</v>
      </c>
      <c r="E33" s="23">
        <v>3</v>
      </c>
      <c r="F33" s="18" t="s">
        <v>46</v>
      </c>
      <c r="G33" t="s">
        <v>437</v>
      </c>
      <c r="H33" s="16"/>
    </row>
    <row r="34" spans="1:8" x14ac:dyDescent="0.25">
      <c r="A34" s="13" t="s">
        <v>438</v>
      </c>
      <c r="B34" s="13" t="s">
        <v>439</v>
      </c>
      <c r="C34" s="13"/>
      <c r="D34" s="13"/>
      <c r="E34" s="13"/>
      <c r="F34" s="13"/>
      <c r="G34" s="13"/>
      <c r="H34" s="13"/>
    </row>
    <row r="35" spans="1:8" ht="72" customHeight="1" x14ac:dyDescent="0.25">
      <c r="A35" s="14" t="s">
        <v>438</v>
      </c>
      <c r="B35" s="14" t="s">
        <v>439</v>
      </c>
      <c r="C35" s="15" t="s">
        <v>440</v>
      </c>
      <c r="D35" s="16" t="s">
        <v>441</v>
      </c>
      <c r="E35" s="17">
        <v>2</v>
      </c>
      <c r="F35" s="18" t="s">
        <v>46</v>
      </c>
      <c r="G35" t="s">
        <v>442</v>
      </c>
      <c r="H35" s="16"/>
    </row>
    <row r="36" spans="1:8" ht="72" customHeight="1" x14ac:dyDescent="0.25">
      <c r="A36" s="19" t="s">
        <v>438</v>
      </c>
      <c r="B36" s="19" t="s">
        <v>439</v>
      </c>
      <c r="C36" s="20" t="s">
        <v>443</v>
      </c>
      <c r="D36" s="21" t="s">
        <v>444</v>
      </c>
      <c r="E36" s="17">
        <v>2</v>
      </c>
      <c r="F36" s="18" t="s">
        <v>46</v>
      </c>
      <c r="G36" s="26"/>
      <c r="H36" s="21"/>
    </row>
    <row r="37" spans="1:8" ht="72" customHeight="1" x14ac:dyDescent="0.25">
      <c r="A37" s="14" t="s">
        <v>438</v>
      </c>
      <c r="B37" s="14" t="s">
        <v>439</v>
      </c>
      <c r="C37" s="15" t="s">
        <v>445</v>
      </c>
      <c r="D37" s="16" t="s">
        <v>446</v>
      </c>
      <c r="E37" s="23">
        <v>3</v>
      </c>
      <c r="F37" s="18" t="s">
        <v>46</v>
      </c>
      <c r="G37" t="s">
        <v>447</v>
      </c>
      <c r="H37" s="16"/>
    </row>
    <row r="38" spans="1:8" ht="72" customHeight="1" x14ac:dyDescent="0.25">
      <c r="A38" s="19" t="s">
        <v>438</v>
      </c>
      <c r="B38" s="19" t="s">
        <v>439</v>
      </c>
      <c r="C38" s="20" t="s">
        <v>448</v>
      </c>
      <c r="D38" s="21" t="s">
        <v>449</v>
      </c>
      <c r="E38" s="23">
        <v>3</v>
      </c>
      <c r="F38" s="18" t="s">
        <v>46</v>
      </c>
      <c r="G38" s="26"/>
      <c r="H38" s="21"/>
    </row>
    <row r="39" spans="1:8" ht="72" customHeight="1" x14ac:dyDescent="0.25">
      <c r="A39" s="14" t="s">
        <v>438</v>
      </c>
      <c r="B39" s="14" t="s">
        <v>439</v>
      </c>
      <c r="C39" s="15" t="s">
        <v>450</v>
      </c>
      <c r="D39" s="16" t="s">
        <v>451</v>
      </c>
      <c r="E39" s="23">
        <v>3</v>
      </c>
      <c r="F39" s="18" t="s">
        <v>46</v>
      </c>
      <c r="G39" t="s">
        <v>452</v>
      </c>
      <c r="H39" s="16"/>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disablePrompts="1"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tabSelected="1" zoomScale="75" zoomScaleNormal="75" workbookViewId="0">
      <pane ySplit="1" topLeftCell="A2" activePane="bottomLeft" state="frozen"/>
      <selection pane="bottomLeft" activeCell="F9" sqref="F9"/>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87.42578125" bestFit="1" customWidth="1"/>
    <col min="8" max="8" width="35" customWidth="1"/>
  </cols>
  <sheetData>
    <row r="1" spans="1:8" ht="28.15" customHeight="1" x14ac:dyDescent="0.25">
      <c r="A1" s="12" t="s">
        <v>0</v>
      </c>
      <c r="B1" s="12" t="s">
        <v>1</v>
      </c>
      <c r="C1" s="12" t="s">
        <v>2</v>
      </c>
      <c r="D1" s="12" t="s">
        <v>3</v>
      </c>
      <c r="E1" s="12" t="s">
        <v>4</v>
      </c>
      <c r="F1" s="12" t="s">
        <v>5</v>
      </c>
      <c r="G1" s="12" t="s">
        <v>6</v>
      </c>
      <c r="H1" s="12" t="s">
        <v>7</v>
      </c>
    </row>
    <row r="2" spans="1:8" ht="18" customHeight="1" x14ac:dyDescent="0.25">
      <c r="A2" s="13" t="s">
        <v>453</v>
      </c>
      <c r="B2" s="13" t="s">
        <v>454</v>
      </c>
      <c r="C2" s="13"/>
      <c r="D2" s="13"/>
      <c r="E2" s="13"/>
      <c r="F2" s="13"/>
      <c r="G2" s="13"/>
      <c r="H2" s="13"/>
    </row>
    <row r="3" spans="1:8" ht="75" customHeight="1" x14ac:dyDescent="0.25">
      <c r="A3" s="14" t="s">
        <v>453</v>
      </c>
      <c r="B3" s="14" t="s">
        <v>454</v>
      </c>
      <c r="C3" s="15" t="s">
        <v>455</v>
      </c>
      <c r="D3" s="16" t="s">
        <v>456</v>
      </c>
      <c r="E3" s="22">
        <v>1</v>
      </c>
      <c r="F3" s="18" t="s">
        <v>53</v>
      </c>
      <c r="G3" s="16" t="s">
        <v>457</v>
      </c>
      <c r="H3" s="16" t="s">
        <v>458</v>
      </c>
    </row>
    <row r="4" spans="1:8" ht="105" customHeight="1" x14ac:dyDescent="0.25">
      <c r="A4" s="19" t="s">
        <v>453</v>
      </c>
      <c r="B4" s="19" t="s">
        <v>454</v>
      </c>
      <c r="C4" s="20" t="s">
        <v>459</v>
      </c>
      <c r="D4" s="21" t="s">
        <v>460</v>
      </c>
      <c r="E4" s="17">
        <v>2</v>
      </c>
      <c r="F4" s="18" t="s">
        <v>12</v>
      </c>
      <c r="G4" s="21" t="s">
        <v>461</v>
      </c>
      <c r="H4" s="21" t="s">
        <v>462</v>
      </c>
    </row>
    <row r="5" spans="1:8" ht="75" customHeight="1" x14ac:dyDescent="0.25">
      <c r="A5" s="14" t="s">
        <v>453</v>
      </c>
      <c r="B5" s="14" t="s">
        <v>454</v>
      </c>
      <c r="C5" s="15" t="s">
        <v>463</v>
      </c>
      <c r="D5" s="16" t="s">
        <v>464</v>
      </c>
      <c r="E5" s="17">
        <v>2</v>
      </c>
      <c r="F5" s="18" t="s">
        <v>12</v>
      </c>
      <c r="G5" s="16" t="s">
        <v>465</v>
      </c>
      <c r="H5" s="16" t="s">
        <v>466</v>
      </c>
    </row>
    <row r="6" spans="1:8" ht="30" customHeight="1" x14ac:dyDescent="0.25">
      <c r="A6" s="19" t="s">
        <v>453</v>
      </c>
      <c r="B6" s="19" t="s">
        <v>454</v>
      </c>
      <c r="C6" s="20" t="s">
        <v>467</v>
      </c>
      <c r="D6" s="21" t="s">
        <v>468</v>
      </c>
      <c r="E6" s="23">
        <v>3</v>
      </c>
      <c r="F6" s="18" t="s">
        <v>46</v>
      </c>
      <c r="G6" s="21"/>
      <c r="H6" s="21"/>
    </row>
    <row r="7" spans="1:8" ht="30" customHeight="1" x14ac:dyDescent="0.25">
      <c r="A7" s="14" t="s">
        <v>453</v>
      </c>
      <c r="B7" s="14" t="s">
        <v>454</v>
      </c>
      <c r="C7" s="15" t="s">
        <v>469</v>
      </c>
      <c r="D7" s="16" t="s">
        <v>470</v>
      </c>
      <c r="E7" s="23">
        <v>3</v>
      </c>
      <c r="F7" s="18" t="s">
        <v>46</v>
      </c>
      <c r="G7" s="16"/>
      <c r="H7" s="16"/>
    </row>
    <row r="8" spans="1:8" ht="18" customHeight="1" x14ac:dyDescent="0.25">
      <c r="A8" s="13" t="s">
        <v>471</v>
      </c>
      <c r="B8" s="13" t="s">
        <v>472</v>
      </c>
      <c r="C8" s="13"/>
      <c r="D8" s="13"/>
      <c r="E8" s="13"/>
      <c r="F8" s="13"/>
      <c r="G8" s="13"/>
      <c r="H8" s="13"/>
    </row>
    <row r="9" spans="1:8" ht="30" customHeight="1" x14ac:dyDescent="0.25">
      <c r="A9" s="14" t="s">
        <v>471</v>
      </c>
      <c r="B9" s="14" t="s">
        <v>472</v>
      </c>
      <c r="C9" s="15" t="s">
        <v>473</v>
      </c>
      <c r="D9" s="16" t="s">
        <v>474</v>
      </c>
      <c r="E9" s="17">
        <v>2</v>
      </c>
      <c r="F9" s="18" t="s">
        <v>53</v>
      </c>
      <c r="G9" s="16" t="s">
        <v>475</v>
      </c>
      <c r="H9" s="16" t="s">
        <v>476</v>
      </c>
    </row>
    <row r="10" spans="1:8" ht="30" customHeight="1" x14ac:dyDescent="0.25">
      <c r="A10" s="19" t="s">
        <v>471</v>
      </c>
      <c r="B10" s="19" t="s">
        <v>472</v>
      </c>
      <c r="C10" s="20" t="s">
        <v>477</v>
      </c>
      <c r="D10" s="21" t="s">
        <v>478</v>
      </c>
      <c r="E10" s="23">
        <v>3</v>
      </c>
      <c r="F10" s="18" t="s">
        <v>46</v>
      </c>
      <c r="G10" s="21"/>
      <c r="H10" s="21"/>
    </row>
    <row r="11" spans="1:8" ht="30" customHeight="1" x14ac:dyDescent="0.25">
      <c r="A11" s="14" t="s">
        <v>471</v>
      </c>
      <c r="B11" s="14" t="s">
        <v>472</v>
      </c>
      <c r="C11" s="15" t="s">
        <v>479</v>
      </c>
      <c r="D11" s="16" t="s">
        <v>480</v>
      </c>
      <c r="E11" s="23">
        <v>3</v>
      </c>
      <c r="F11" s="18" t="s">
        <v>46</v>
      </c>
      <c r="G11" s="16"/>
      <c r="H11" s="16"/>
    </row>
    <row r="12" spans="1:8" ht="30" customHeight="1" x14ac:dyDescent="0.25">
      <c r="A12" s="19" t="s">
        <v>471</v>
      </c>
      <c r="B12" s="19" t="s">
        <v>472</v>
      </c>
      <c r="C12" s="20" t="s">
        <v>481</v>
      </c>
      <c r="D12" s="21" t="s">
        <v>482</v>
      </c>
      <c r="E12" s="23">
        <v>3</v>
      </c>
      <c r="F12" s="18" t="s">
        <v>46</v>
      </c>
      <c r="G12" s="21"/>
      <c r="H12" s="21"/>
    </row>
    <row r="13" spans="1:8" ht="30" customHeight="1" x14ac:dyDescent="0.25">
      <c r="A13" s="14" t="s">
        <v>471</v>
      </c>
      <c r="B13" s="14" t="s">
        <v>472</v>
      </c>
      <c r="C13" s="15" t="s">
        <v>483</v>
      </c>
      <c r="D13" s="16" t="s">
        <v>484</v>
      </c>
      <c r="E13" s="23">
        <v>3</v>
      </c>
      <c r="F13" s="18" t="s">
        <v>46</v>
      </c>
      <c r="G13" s="16"/>
      <c r="H13" s="16"/>
    </row>
    <row r="14" spans="1:8" ht="18" customHeight="1" x14ac:dyDescent="0.25">
      <c r="A14" s="13" t="s">
        <v>485</v>
      </c>
      <c r="B14" s="13" t="s">
        <v>486</v>
      </c>
      <c r="C14" s="13"/>
      <c r="D14" s="13"/>
      <c r="E14" s="13"/>
      <c r="F14" s="13"/>
      <c r="G14" s="13"/>
      <c r="H14" s="13"/>
    </row>
    <row r="15" spans="1:8" ht="60" customHeight="1" x14ac:dyDescent="0.25">
      <c r="A15" s="14" t="s">
        <v>485</v>
      </c>
      <c r="B15" s="14" t="s">
        <v>486</v>
      </c>
      <c r="C15" s="15" t="s">
        <v>487</v>
      </c>
      <c r="D15" s="16" t="s">
        <v>488</v>
      </c>
      <c r="E15" s="17">
        <v>2</v>
      </c>
      <c r="F15" s="18" t="s">
        <v>46</v>
      </c>
      <c r="G15" s="16" t="s">
        <v>489</v>
      </c>
      <c r="H15" s="16"/>
    </row>
    <row r="16" spans="1:8" ht="30" customHeight="1" x14ac:dyDescent="0.25">
      <c r="A16" s="19" t="s">
        <v>485</v>
      </c>
      <c r="B16" s="19" t="s">
        <v>486</v>
      </c>
      <c r="C16" s="20" t="s">
        <v>490</v>
      </c>
      <c r="D16" s="21" t="s">
        <v>491</v>
      </c>
      <c r="E16" s="17">
        <v>2</v>
      </c>
      <c r="F16" s="18" t="s">
        <v>46</v>
      </c>
      <c r="G16" s="21" t="s">
        <v>492</v>
      </c>
      <c r="H16" s="21"/>
    </row>
    <row r="17" spans="1:8" ht="18" customHeight="1" x14ac:dyDescent="0.25">
      <c r="A17" s="13" t="s">
        <v>493</v>
      </c>
      <c r="B17" s="13" t="s">
        <v>494</v>
      </c>
      <c r="C17" s="13"/>
      <c r="D17" s="13"/>
      <c r="E17" s="13"/>
      <c r="F17" s="13"/>
      <c r="G17" s="13"/>
      <c r="H17" s="13"/>
    </row>
    <row r="18" spans="1:8" ht="30" customHeight="1" x14ac:dyDescent="0.25">
      <c r="A18" s="14" t="s">
        <v>493</v>
      </c>
      <c r="B18" s="14" t="s">
        <v>494</v>
      </c>
      <c r="C18" s="15" t="s">
        <v>495</v>
      </c>
      <c r="D18" s="16" t="s">
        <v>496</v>
      </c>
      <c r="E18" s="22">
        <v>1</v>
      </c>
      <c r="F18" s="18" t="s">
        <v>46</v>
      </c>
      <c r="G18" s="16" t="s">
        <v>497</v>
      </c>
      <c r="H18" s="16"/>
    </row>
    <row r="19" spans="1:8" ht="30" customHeight="1" x14ac:dyDescent="0.25">
      <c r="A19" s="19" t="s">
        <v>493</v>
      </c>
      <c r="B19" s="19" t="s">
        <v>494</v>
      </c>
      <c r="C19" s="20" t="s">
        <v>498</v>
      </c>
      <c r="D19" s="21" t="s">
        <v>499</v>
      </c>
      <c r="E19" s="17">
        <v>2</v>
      </c>
      <c r="F19" s="18" t="s">
        <v>46</v>
      </c>
      <c r="G19" t="s">
        <v>500</v>
      </c>
      <c r="H19" s="21"/>
    </row>
    <row r="20" spans="1:8" ht="30" customHeight="1" x14ac:dyDescent="0.25">
      <c r="A20" s="14" t="s">
        <v>493</v>
      </c>
      <c r="B20" s="14" t="s">
        <v>494</v>
      </c>
      <c r="C20" s="15" t="s">
        <v>501</v>
      </c>
      <c r="D20" s="16" t="s">
        <v>502</v>
      </c>
      <c r="E20" s="17">
        <v>2</v>
      </c>
      <c r="F20" s="18" t="s">
        <v>46</v>
      </c>
      <c r="G20" t="s">
        <v>503</v>
      </c>
      <c r="H20" s="16"/>
    </row>
    <row r="21" spans="1:8" ht="30" customHeight="1" x14ac:dyDescent="0.25">
      <c r="A21" s="19" t="s">
        <v>493</v>
      </c>
      <c r="B21" s="19" t="s">
        <v>494</v>
      </c>
      <c r="C21" s="20" t="s">
        <v>504</v>
      </c>
      <c r="D21" s="21" t="s">
        <v>505</v>
      </c>
      <c r="E21" s="17">
        <v>2</v>
      </c>
      <c r="F21" s="18" t="s">
        <v>46</v>
      </c>
      <c r="G21" t="s">
        <v>506</v>
      </c>
      <c r="H21" s="21"/>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topLeftCell="B1" zoomScale="70" zoomScaleNormal="70" workbookViewId="0">
      <pane ySplit="1" topLeftCell="A6" activePane="bottomLeft" state="frozen"/>
      <selection pane="bottomLeft" activeCell="F5" sqref="F5"/>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0</v>
      </c>
      <c r="B1" s="12" t="s">
        <v>1</v>
      </c>
      <c r="C1" s="12" t="s">
        <v>2</v>
      </c>
      <c r="D1" s="12" t="s">
        <v>3</v>
      </c>
      <c r="E1" s="12" t="s">
        <v>4</v>
      </c>
      <c r="F1" s="12" t="s">
        <v>5</v>
      </c>
      <c r="G1" s="12" t="s">
        <v>6</v>
      </c>
      <c r="H1" s="12" t="s">
        <v>7</v>
      </c>
    </row>
    <row r="2" spans="1:8" ht="18" customHeight="1" x14ac:dyDescent="0.25">
      <c r="A2" s="13" t="s">
        <v>507</v>
      </c>
      <c r="B2" s="13" t="s">
        <v>508</v>
      </c>
      <c r="C2" s="13"/>
      <c r="D2" s="13"/>
      <c r="E2" s="13"/>
      <c r="F2" s="13"/>
      <c r="G2" s="13"/>
      <c r="H2" s="13"/>
    </row>
    <row r="3" spans="1:8" ht="150" customHeight="1" x14ac:dyDescent="0.25">
      <c r="A3" s="14" t="s">
        <v>507</v>
      </c>
      <c r="B3" s="14" t="s">
        <v>508</v>
      </c>
      <c r="C3" s="15" t="s">
        <v>509</v>
      </c>
      <c r="D3" s="16" t="s">
        <v>510</v>
      </c>
      <c r="E3" s="17">
        <v>2</v>
      </c>
      <c r="F3" s="18" t="s">
        <v>12</v>
      </c>
      <c r="G3" s="16" t="s">
        <v>511</v>
      </c>
      <c r="H3" s="16" t="s">
        <v>512</v>
      </c>
    </row>
    <row r="4" spans="1:8" ht="18" customHeight="1" x14ac:dyDescent="0.25">
      <c r="A4" s="13" t="s">
        <v>513</v>
      </c>
      <c r="B4" s="13" t="s">
        <v>514</v>
      </c>
      <c r="C4" s="13"/>
      <c r="D4" s="13"/>
      <c r="E4" s="13"/>
      <c r="F4" s="13"/>
      <c r="G4" s="13"/>
      <c r="H4" s="13"/>
    </row>
    <row r="5" spans="1:8" ht="30" customHeight="1" x14ac:dyDescent="0.25">
      <c r="A5" s="14" t="s">
        <v>513</v>
      </c>
      <c r="B5" s="14" t="s">
        <v>514</v>
      </c>
      <c r="C5" s="15" t="s">
        <v>515</v>
      </c>
      <c r="D5" s="16" t="s">
        <v>516</v>
      </c>
      <c r="E5" s="22">
        <v>1</v>
      </c>
      <c r="F5" s="18" t="s">
        <v>53</v>
      </c>
      <c r="G5" s="16" t="s">
        <v>517</v>
      </c>
      <c r="H5" s="16" t="s">
        <v>518</v>
      </c>
    </row>
    <row r="6" spans="1:8" ht="150" customHeight="1" x14ac:dyDescent="0.25">
      <c r="A6" s="19" t="s">
        <v>513</v>
      </c>
      <c r="B6" s="19" t="s">
        <v>514</v>
      </c>
      <c r="C6" s="20" t="s">
        <v>519</v>
      </c>
      <c r="D6" s="21" t="s">
        <v>520</v>
      </c>
      <c r="E6" s="22">
        <v>1</v>
      </c>
      <c r="F6" s="18" t="s">
        <v>12</v>
      </c>
      <c r="G6" s="21" t="s">
        <v>521</v>
      </c>
      <c r="H6" s="21" t="s">
        <v>522</v>
      </c>
    </row>
    <row r="7" spans="1:8" ht="45" customHeight="1" x14ac:dyDescent="0.25">
      <c r="A7" s="14" t="s">
        <v>513</v>
      </c>
      <c r="B7" s="14" t="s">
        <v>514</v>
      </c>
      <c r="C7" s="15" t="s">
        <v>523</v>
      </c>
      <c r="D7" s="16" t="s">
        <v>524</v>
      </c>
      <c r="E7" s="17">
        <v>2</v>
      </c>
      <c r="F7" s="18" t="s">
        <v>46</v>
      </c>
      <c r="G7" s="16" t="s">
        <v>525</v>
      </c>
      <c r="H7" s="16"/>
    </row>
    <row r="8" spans="1:8" ht="30" customHeight="1" x14ac:dyDescent="0.25">
      <c r="A8" s="19" t="s">
        <v>513</v>
      </c>
      <c r="B8" s="19" t="s">
        <v>514</v>
      </c>
      <c r="C8" s="20" t="s">
        <v>526</v>
      </c>
      <c r="D8" s="21" t="s">
        <v>527</v>
      </c>
      <c r="E8" s="23">
        <v>3</v>
      </c>
      <c r="F8" s="18" t="s">
        <v>46</v>
      </c>
      <c r="G8" s="21"/>
      <c r="H8" s="21"/>
    </row>
    <row r="9" spans="1:8" ht="60" customHeight="1" x14ac:dyDescent="0.25">
      <c r="A9" s="14" t="s">
        <v>513</v>
      </c>
      <c r="B9" s="14" t="s">
        <v>514</v>
      </c>
      <c r="C9" s="15" t="s">
        <v>528</v>
      </c>
      <c r="D9" s="16" t="s">
        <v>529</v>
      </c>
      <c r="E9" s="23">
        <v>3</v>
      </c>
      <c r="F9" s="18" t="s">
        <v>46</v>
      </c>
      <c r="G9" s="16" t="s">
        <v>530</v>
      </c>
      <c r="H9" s="16"/>
    </row>
    <row r="10" spans="1:8" ht="30" customHeight="1" x14ac:dyDescent="0.25">
      <c r="A10" s="19" t="s">
        <v>513</v>
      </c>
      <c r="B10" s="19" t="s">
        <v>514</v>
      </c>
      <c r="C10" s="20" t="s">
        <v>531</v>
      </c>
      <c r="D10" s="21" t="s">
        <v>532</v>
      </c>
      <c r="E10" s="23">
        <v>3</v>
      </c>
      <c r="F10" s="18" t="s">
        <v>46</v>
      </c>
      <c r="G10" s="21"/>
      <c r="H10" s="21"/>
    </row>
    <row r="11" spans="1:8" ht="18" customHeight="1" x14ac:dyDescent="0.25">
      <c r="A11" s="13" t="s">
        <v>533</v>
      </c>
      <c r="B11" s="13" t="s">
        <v>534</v>
      </c>
      <c r="C11" s="13"/>
      <c r="D11" s="13"/>
      <c r="E11" s="13"/>
      <c r="F11" s="13"/>
      <c r="G11" s="13"/>
      <c r="H11" s="13"/>
    </row>
    <row r="12" spans="1:8" ht="30" customHeight="1" x14ac:dyDescent="0.25">
      <c r="A12" s="14" t="s">
        <v>533</v>
      </c>
      <c r="B12" s="14" t="s">
        <v>534</v>
      </c>
      <c r="C12" s="15" t="s">
        <v>535</v>
      </c>
      <c r="D12" s="16" t="s">
        <v>536</v>
      </c>
      <c r="E12" s="22">
        <v>1</v>
      </c>
      <c r="F12" s="18" t="s">
        <v>226</v>
      </c>
      <c r="G12" s="16"/>
      <c r="H12" s="16"/>
    </row>
    <row r="13" spans="1:8" ht="30" customHeight="1" x14ac:dyDescent="0.25">
      <c r="A13" s="19" t="s">
        <v>533</v>
      </c>
      <c r="B13" s="19" t="s">
        <v>534</v>
      </c>
      <c r="C13" s="20" t="s">
        <v>537</v>
      </c>
      <c r="D13" s="21" t="s">
        <v>538</v>
      </c>
      <c r="E13" s="22">
        <v>1</v>
      </c>
      <c r="F13" s="18" t="s">
        <v>226</v>
      </c>
      <c r="G13" s="21"/>
      <c r="H13" s="21"/>
    </row>
    <row r="14" spans="1:8" ht="60" customHeight="1" x14ac:dyDescent="0.25">
      <c r="A14" s="14" t="s">
        <v>533</v>
      </c>
      <c r="B14" s="14" t="s">
        <v>534</v>
      </c>
      <c r="C14" s="15" t="s">
        <v>539</v>
      </c>
      <c r="D14" s="16" t="s">
        <v>540</v>
      </c>
      <c r="E14" s="23">
        <v>3</v>
      </c>
      <c r="F14" s="18" t="s">
        <v>46</v>
      </c>
      <c r="G14" s="16" t="s">
        <v>541</v>
      </c>
      <c r="H14" s="16"/>
    </row>
    <row r="15" spans="1:8" ht="18" customHeight="1" x14ac:dyDescent="0.25">
      <c r="A15" s="13" t="s">
        <v>542</v>
      </c>
      <c r="B15" s="13" t="s">
        <v>543</v>
      </c>
      <c r="C15" s="13"/>
      <c r="D15" s="13"/>
      <c r="E15" s="13"/>
      <c r="F15" s="13"/>
      <c r="G15" s="13"/>
      <c r="H15" s="13"/>
    </row>
    <row r="16" spans="1:8" ht="30" customHeight="1" x14ac:dyDescent="0.25">
      <c r="A16" s="14" t="s">
        <v>542</v>
      </c>
      <c r="B16" s="14" t="s">
        <v>543</v>
      </c>
      <c r="C16" s="15" t="s">
        <v>544</v>
      </c>
      <c r="D16" s="16" t="s">
        <v>545</v>
      </c>
      <c r="E16" s="17">
        <v>2</v>
      </c>
      <c r="F16" s="18" t="s">
        <v>226</v>
      </c>
      <c r="G16" s="16"/>
      <c r="H16" s="16"/>
    </row>
    <row r="17" spans="1:8" ht="30" customHeight="1" x14ac:dyDescent="0.25">
      <c r="A17" s="19" t="s">
        <v>542</v>
      </c>
      <c r="B17" s="19" t="s">
        <v>543</v>
      </c>
      <c r="C17" s="20" t="s">
        <v>546</v>
      </c>
      <c r="D17" s="21" t="s">
        <v>547</v>
      </c>
      <c r="E17" s="17">
        <v>2</v>
      </c>
      <c r="F17" s="18" t="s">
        <v>226</v>
      </c>
      <c r="G17" s="21"/>
      <c r="H17" s="21"/>
    </row>
    <row r="18" spans="1:8" ht="30" customHeight="1" x14ac:dyDescent="0.25">
      <c r="A18" s="14" t="s">
        <v>542</v>
      </c>
      <c r="B18" s="14" t="s">
        <v>543</v>
      </c>
      <c r="C18" s="15" t="s">
        <v>548</v>
      </c>
      <c r="D18" s="16" t="s">
        <v>549</v>
      </c>
      <c r="E18" s="17">
        <v>2</v>
      </c>
      <c r="F18" s="18" t="s">
        <v>226</v>
      </c>
      <c r="G18" s="16"/>
      <c r="H18" s="16"/>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zoomScale="70" zoomScaleNormal="70" workbookViewId="0">
      <pane ySplit="1" topLeftCell="A2" activePane="bottomLeft" state="frozen"/>
      <selection pane="bottomLeft" activeCell="L4" sqref="L4"/>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5">
      <c r="A1" s="12" t="s">
        <v>0</v>
      </c>
      <c r="B1" s="12" t="s">
        <v>1</v>
      </c>
      <c r="C1" s="12" t="s">
        <v>2</v>
      </c>
      <c r="D1" s="12" t="s">
        <v>3</v>
      </c>
      <c r="E1" s="12" t="s">
        <v>4</v>
      </c>
      <c r="F1" s="12" t="s">
        <v>5</v>
      </c>
      <c r="G1" s="12" t="s">
        <v>6</v>
      </c>
      <c r="H1" s="12" t="s">
        <v>7</v>
      </c>
    </row>
    <row r="2" spans="1:8" ht="18" customHeight="1" x14ac:dyDescent="0.25">
      <c r="A2" s="13" t="s">
        <v>8</v>
      </c>
      <c r="B2" s="13" t="s">
        <v>9</v>
      </c>
      <c r="C2" s="13"/>
      <c r="D2" s="13"/>
      <c r="E2" s="13"/>
      <c r="F2" s="13"/>
      <c r="G2" s="13"/>
      <c r="H2" s="13"/>
    </row>
    <row r="3" spans="1:8" ht="90" customHeight="1" x14ac:dyDescent="0.25">
      <c r="A3" s="14" t="s">
        <v>8</v>
      </c>
      <c r="B3" s="14" t="s">
        <v>9</v>
      </c>
      <c r="C3" s="15" t="s">
        <v>10</v>
      </c>
      <c r="D3" s="16" t="s">
        <v>11</v>
      </c>
      <c r="E3" s="22">
        <v>1</v>
      </c>
      <c r="F3" s="18" t="s">
        <v>12</v>
      </c>
      <c r="G3" s="16" t="s">
        <v>13</v>
      </c>
      <c r="H3" s="16" t="s">
        <v>14</v>
      </c>
    </row>
    <row r="4" spans="1:8" ht="75" customHeight="1" x14ac:dyDescent="0.25">
      <c r="A4" s="19" t="s">
        <v>8</v>
      </c>
      <c r="B4" s="19" t="s">
        <v>9</v>
      </c>
      <c r="C4" s="20" t="s">
        <v>15</v>
      </c>
      <c r="D4" s="21" t="s">
        <v>16</v>
      </c>
      <c r="E4" s="17">
        <v>2</v>
      </c>
      <c r="F4" s="18" t="s">
        <v>12</v>
      </c>
      <c r="G4" s="21" t="s">
        <v>17</v>
      </c>
      <c r="H4" s="21" t="s">
        <v>18</v>
      </c>
    </row>
    <row r="5" spans="1:8" ht="120" customHeight="1" x14ac:dyDescent="0.25">
      <c r="A5" s="14" t="s">
        <v>8</v>
      </c>
      <c r="B5" s="14" t="s">
        <v>9</v>
      </c>
      <c r="C5" s="15" t="s">
        <v>19</v>
      </c>
      <c r="D5" s="16" t="s">
        <v>20</v>
      </c>
      <c r="E5" s="17">
        <v>2</v>
      </c>
      <c r="F5" s="18" t="s">
        <v>12</v>
      </c>
      <c r="G5" s="16" t="s">
        <v>21</v>
      </c>
      <c r="H5" s="16" t="s">
        <v>22</v>
      </c>
    </row>
    <row r="6" spans="1:8" ht="18" customHeight="1" x14ac:dyDescent="0.25">
      <c r="A6" s="13" t="s">
        <v>23</v>
      </c>
      <c r="B6" s="13" t="s">
        <v>24</v>
      </c>
      <c r="C6" s="13"/>
      <c r="D6" s="13"/>
      <c r="E6" s="13"/>
      <c r="F6" s="13"/>
      <c r="G6" s="13"/>
      <c r="H6" s="13"/>
    </row>
    <row r="7" spans="1:8" ht="60" customHeight="1" x14ac:dyDescent="0.25">
      <c r="A7" s="14" t="s">
        <v>23</v>
      </c>
      <c r="B7" s="14" t="s">
        <v>24</v>
      </c>
      <c r="C7" s="15" t="s">
        <v>25</v>
      </c>
      <c r="D7" s="16" t="s">
        <v>26</v>
      </c>
      <c r="E7" s="22">
        <v>1</v>
      </c>
      <c r="F7" s="18" t="s">
        <v>12</v>
      </c>
      <c r="G7" s="16" t="s">
        <v>27</v>
      </c>
      <c r="H7" s="16" t="s">
        <v>28</v>
      </c>
    </row>
    <row r="8" spans="1:8" ht="60" customHeight="1" x14ac:dyDescent="0.25">
      <c r="A8" s="19" t="s">
        <v>23</v>
      </c>
      <c r="B8" s="19" t="s">
        <v>24</v>
      </c>
      <c r="C8" s="20" t="s">
        <v>29</v>
      </c>
      <c r="D8" s="21" t="s">
        <v>30</v>
      </c>
      <c r="E8" s="22">
        <v>1</v>
      </c>
      <c r="F8" s="18" t="s">
        <v>12</v>
      </c>
      <c r="G8" s="21" t="s">
        <v>31</v>
      </c>
      <c r="H8" s="21" t="s">
        <v>32</v>
      </c>
    </row>
    <row r="9" spans="1:8" ht="60" customHeight="1" x14ac:dyDescent="0.25">
      <c r="A9" s="14" t="s">
        <v>23</v>
      </c>
      <c r="B9" s="14" t="s">
        <v>24</v>
      </c>
      <c r="C9" s="15" t="s">
        <v>33</v>
      </c>
      <c r="D9" s="16" t="s">
        <v>34</v>
      </c>
      <c r="E9" s="22">
        <v>1</v>
      </c>
      <c r="F9" s="18" t="s">
        <v>12</v>
      </c>
      <c r="G9" s="16" t="s">
        <v>35</v>
      </c>
      <c r="H9" s="16"/>
    </row>
    <row r="10" spans="1:8" ht="105" customHeight="1" x14ac:dyDescent="0.25">
      <c r="A10" s="19" t="s">
        <v>23</v>
      </c>
      <c r="B10" s="19" t="s">
        <v>24</v>
      </c>
      <c r="C10" s="20" t="s">
        <v>36</v>
      </c>
      <c r="D10" s="21" t="s">
        <v>37</v>
      </c>
      <c r="E10" s="22">
        <v>1</v>
      </c>
      <c r="F10" s="18" t="s">
        <v>12</v>
      </c>
      <c r="G10" s="21" t="s">
        <v>38</v>
      </c>
      <c r="H10" s="21" t="s">
        <v>39</v>
      </c>
    </row>
    <row r="11" spans="1:8" ht="90" customHeight="1" x14ac:dyDescent="0.25">
      <c r="A11" s="14" t="s">
        <v>23</v>
      </c>
      <c r="B11" s="14" t="s">
        <v>24</v>
      </c>
      <c r="C11" s="15" t="s">
        <v>40</v>
      </c>
      <c r="D11" s="16" t="s">
        <v>41</v>
      </c>
      <c r="E11" s="22">
        <v>1</v>
      </c>
      <c r="F11" s="18" t="s">
        <v>12</v>
      </c>
      <c r="G11" s="16" t="s">
        <v>42</v>
      </c>
      <c r="H11" s="16" t="s">
        <v>43</v>
      </c>
    </row>
    <row r="12" spans="1:8" ht="60" customHeight="1" x14ac:dyDescent="0.25">
      <c r="A12" s="19" t="s">
        <v>23</v>
      </c>
      <c r="B12" s="19" t="s">
        <v>24</v>
      </c>
      <c r="C12" s="20" t="s">
        <v>44</v>
      </c>
      <c r="D12" s="21" t="s">
        <v>45</v>
      </c>
      <c r="E12" s="22">
        <v>1</v>
      </c>
      <c r="F12" s="18" t="s">
        <v>46</v>
      </c>
      <c r="G12" s="21" t="s">
        <v>47</v>
      </c>
      <c r="H12" s="21"/>
    </row>
    <row r="13" spans="1:8" ht="60" customHeight="1" x14ac:dyDescent="0.25">
      <c r="A13" s="14" t="s">
        <v>23</v>
      </c>
      <c r="B13" s="14" t="s">
        <v>24</v>
      </c>
      <c r="C13" s="15" t="s">
        <v>48</v>
      </c>
      <c r="D13" s="16" t="s">
        <v>49</v>
      </c>
      <c r="E13" s="22">
        <v>1</v>
      </c>
      <c r="F13" s="18" t="s">
        <v>46</v>
      </c>
      <c r="G13" s="16" t="s">
        <v>50</v>
      </c>
      <c r="H13" s="16"/>
    </row>
    <row r="14" spans="1:8" ht="75" customHeight="1" x14ac:dyDescent="0.25">
      <c r="A14" s="19" t="s">
        <v>23</v>
      </c>
      <c r="B14" s="19" t="s">
        <v>24</v>
      </c>
      <c r="C14" s="20" t="s">
        <v>51</v>
      </c>
      <c r="D14" s="21" t="s">
        <v>52</v>
      </c>
      <c r="E14" s="22">
        <v>1</v>
      </c>
      <c r="F14" s="18" t="s">
        <v>53</v>
      </c>
      <c r="G14" s="21" t="s">
        <v>54</v>
      </c>
      <c r="H14" s="21" t="s">
        <v>55</v>
      </c>
    </row>
    <row r="15" spans="1:8" ht="60" customHeight="1" x14ac:dyDescent="0.25">
      <c r="A15" s="14" t="s">
        <v>23</v>
      </c>
      <c r="B15" s="14" t="s">
        <v>24</v>
      </c>
      <c r="C15" s="15" t="s">
        <v>56</v>
      </c>
      <c r="D15" s="16" t="s">
        <v>57</v>
      </c>
      <c r="E15" s="17">
        <v>2</v>
      </c>
      <c r="F15" s="18" t="s">
        <v>12</v>
      </c>
      <c r="G15" s="16" t="s">
        <v>58</v>
      </c>
      <c r="H15" s="16" t="s">
        <v>59</v>
      </c>
    </row>
    <row r="16" spans="1:8" ht="60" customHeight="1" x14ac:dyDescent="0.25">
      <c r="A16" s="19" t="s">
        <v>23</v>
      </c>
      <c r="B16" s="19" t="s">
        <v>24</v>
      </c>
      <c r="C16" s="20" t="s">
        <v>60</v>
      </c>
      <c r="D16" s="21" t="s">
        <v>61</v>
      </c>
      <c r="E16" s="17">
        <v>2</v>
      </c>
      <c r="F16" s="18" t="s">
        <v>12</v>
      </c>
      <c r="G16" s="21" t="s">
        <v>62</v>
      </c>
      <c r="H16" s="21" t="s">
        <v>63</v>
      </c>
    </row>
    <row r="17" spans="1:8" ht="90" customHeight="1" x14ac:dyDescent="0.25">
      <c r="A17" s="14" t="s">
        <v>23</v>
      </c>
      <c r="B17" s="14" t="s">
        <v>24</v>
      </c>
      <c r="C17" s="15" t="s">
        <v>64</v>
      </c>
      <c r="D17" s="16" t="s">
        <v>65</v>
      </c>
      <c r="E17" s="17">
        <v>2</v>
      </c>
      <c r="F17" s="18" t="s">
        <v>12</v>
      </c>
      <c r="G17" s="16" t="s">
        <v>66</v>
      </c>
      <c r="H17" s="16" t="s">
        <v>67</v>
      </c>
    </row>
    <row r="18" spans="1:8" ht="105" customHeight="1" x14ac:dyDescent="0.25">
      <c r="A18" s="19" t="s">
        <v>23</v>
      </c>
      <c r="B18" s="19" t="s">
        <v>24</v>
      </c>
      <c r="C18" s="20" t="s">
        <v>68</v>
      </c>
      <c r="D18" s="21" t="s">
        <v>69</v>
      </c>
      <c r="E18" s="17">
        <v>2</v>
      </c>
      <c r="F18" s="18" t="s">
        <v>12</v>
      </c>
      <c r="G18" s="21" t="s">
        <v>70</v>
      </c>
      <c r="H18" s="21" t="s">
        <v>71</v>
      </c>
    </row>
    <row r="19" spans="1:8" ht="18" customHeight="1" x14ac:dyDescent="0.25">
      <c r="A19" s="13" t="s">
        <v>72</v>
      </c>
      <c r="B19" s="13" t="s">
        <v>73</v>
      </c>
      <c r="C19" s="13"/>
      <c r="D19" s="13"/>
      <c r="E19" s="13"/>
      <c r="F19" s="13"/>
      <c r="G19" s="13"/>
      <c r="H19" s="13"/>
    </row>
    <row r="20" spans="1:8" ht="75" customHeight="1" x14ac:dyDescent="0.25">
      <c r="A20" s="14" t="s">
        <v>72</v>
      </c>
      <c r="B20" s="14" t="s">
        <v>73</v>
      </c>
      <c r="C20" s="15" t="s">
        <v>74</v>
      </c>
      <c r="D20" s="16" t="s">
        <v>75</v>
      </c>
      <c r="E20" s="22">
        <v>1</v>
      </c>
      <c r="F20" s="18" t="s">
        <v>53</v>
      </c>
      <c r="G20" s="16" t="s">
        <v>76</v>
      </c>
      <c r="H20" s="16" t="s">
        <v>77</v>
      </c>
    </row>
    <row r="21" spans="1:8" ht="105" customHeight="1" x14ac:dyDescent="0.25">
      <c r="A21" s="19" t="s">
        <v>72</v>
      </c>
      <c r="B21" s="19" t="s">
        <v>73</v>
      </c>
      <c r="C21" s="20" t="s">
        <v>78</v>
      </c>
      <c r="D21" s="21" t="s">
        <v>79</v>
      </c>
      <c r="E21" s="22">
        <v>1</v>
      </c>
      <c r="F21" s="18" t="s">
        <v>53</v>
      </c>
      <c r="G21" s="21" t="s">
        <v>80</v>
      </c>
      <c r="H21" s="21" t="s">
        <v>81</v>
      </c>
    </row>
    <row r="22" spans="1:8" ht="165" customHeight="1" x14ac:dyDescent="0.25">
      <c r="A22" s="14" t="s">
        <v>72</v>
      </c>
      <c r="B22" s="14" t="s">
        <v>73</v>
      </c>
      <c r="C22" s="15" t="s">
        <v>82</v>
      </c>
      <c r="D22" s="16" t="s">
        <v>83</v>
      </c>
      <c r="E22" s="17">
        <v>2</v>
      </c>
      <c r="F22" s="18" t="s">
        <v>12</v>
      </c>
      <c r="G22" s="16" t="s">
        <v>84</v>
      </c>
      <c r="H22" s="16" t="s">
        <v>85</v>
      </c>
    </row>
    <row r="23" spans="1:8" ht="75" customHeight="1" x14ac:dyDescent="0.25">
      <c r="A23" s="19" t="s">
        <v>72</v>
      </c>
      <c r="B23" s="19" t="s">
        <v>73</v>
      </c>
      <c r="C23" s="20" t="s">
        <v>86</v>
      </c>
      <c r="D23" s="21" t="s">
        <v>87</v>
      </c>
      <c r="E23" s="17">
        <v>2</v>
      </c>
      <c r="F23" s="18" t="s">
        <v>12</v>
      </c>
      <c r="G23" s="21" t="s">
        <v>88</v>
      </c>
      <c r="H23" s="21" t="s">
        <v>89</v>
      </c>
    </row>
    <row r="24" spans="1:8" ht="30" customHeight="1" x14ac:dyDescent="0.25">
      <c r="A24" s="14" t="s">
        <v>72</v>
      </c>
      <c r="B24" s="14" t="s">
        <v>73</v>
      </c>
      <c r="C24" s="15" t="s">
        <v>90</v>
      </c>
      <c r="D24" s="16" t="s">
        <v>91</v>
      </c>
      <c r="E24" s="23">
        <v>3</v>
      </c>
      <c r="F24" s="18" t="s">
        <v>46</v>
      </c>
      <c r="G24" s="16"/>
      <c r="H24" s="16"/>
    </row>
    <row r="25" spans="1:8" ht="30" customHeight="1" x14ac:dyDescent="0.25">
      <c r="A25" s="19" t="s">
        <v>72</v>
      </c>
      <c r="B25" s="19" t="s">
        <v>73</v>
      </c>
      <c r="C25" s="20" t="s">
        <v>92</v>
      </c>
      <c r="D25" s="21" t="s">
        <v>93</v>
      </c>
      <c r="E25" s="23">
        <v>3</v>
      </c>
      <c r="F25" s="18" t="s">
        <v>46</v>
      </c>
      <c r="G25" s="21"/>
      <c r="H25" s="21"/>
    </row>
    <row r="26" spans="1:8" ht="30" customHeight="1" x14ac:dyDescent="0.25">
      <c r="A26" s="14" t="s">
        <v>72</v>
      </c>
      <c r="B26" s="14" t="s">
        <v>73</v>
      </c>
      <c r="C26" s="15" t="s">
        <v>94</v>
      </c>
      <c r="D26" s="16" t="s">
        <v>95</v>
      </c>
      <c r="E26" s="23">
        <v>3</v>
      </c>
      <c r="F26" s="18" t="s">
        <v>46</v>
      </c>
      <c r="G26" s="16"/>
      <c r="H26" s="16"/>
    </row>
    <row r="27" spans="1:8" ht="30" customHeight="1" x14ac:dyDescent="0.25">
      <c r="A27" s="19" t="s">
        <v>72</v>
      </c>
      <c r="B27" s="19" t="s">
        <v>73</v>
      </c>
      <c r="C27" s="20" t="s">
        <v>96</v>
      </c>
      <c r="D27" s="21" t="s">
        <v>97</v>
      </c>
      <c r="E27" s="23">
        <v>3</v>
      </c>
      <c r="F27" s="18" t="s">
        <v>46</v>
      </c>
      <c r="G27" s="21"/>
      <c r="H27" s="21"/>
    </row>
    <row r="28" spans="1:8" ht="18" customHeight="1" x14ac:dyDescent="0.25">
      <c r="A28" s="13" t="s">
        <v>98</v>
      </c>
      <c r="B28" s="13" t="s">
        <v>99</v>
      </c>
      <c r="C28" s="13"/>
      <c r="D28" s="13"/>
      <c r="E28" s="13"/>
      <c r="F28" s="13"/>
      <c r="G28" s="13"/>
      <c r="H28" s="13"/>
    </row>
    <row r="29" spans="1:8" ht="90" customHeight="1" x14ac:dyDescent="0.25">
      <c r="A29" s="14" t="s">
        <v>98</v>
      </c>
      <c r="B29" s="14" t="s">
        <v>99</v>
      </c>
      <c r="C29" s="15" t="s">
        <v>100</v>
      </c>
      <c r="D29" s="16" t="s">
        <v>101</v>
      </c>
      <c r="E29" s="22">
        <v>1</v>
      </c>
      <c r="F29" s="18" t="s">
        <v>12</v>
      </c>
      <c r="G29" s="16" t="s">
        <v>102</v>
      </c>
      <c r="H29" s="16" t="s">
        <v>103</v>
      </c>
    </row>
    <row r="30" spans="1:8" ht="90" customHeight="1" x14ac:dyDescent="0.25">
      <c r="A30" s="19" t="s">
        <v>98</v>
      </c>
      <c r="B30" s="19" t="s">
        <v>99</v>
      </c>
      <c r="C30" s="20" t="s">
        <v>104</v>
      </c>
      <c r="D30" s="21" t="s">
        <v>105</v>
      </c>
      <c r="E30" s="22">
        <v>1</v>
      </c>
      <c r="F30" s="18" t="s">
        <v>53</v>
      </c>
      <c r="G30" s="21" t="s">
        <v>106</v>
      </c>
      <c r="H30" s="21" t="s">
        <v>107</v>
      </c>
    </row>
    <row r="31" spans="1:8" ht="90" customHeight="1" x14ac:dyDescent="0.25">
      <c r="A31" s="14" t="s">
        <v>98</v>
      </c>
      <c r="B31" s="14" t="s">
        <v>99</v>
      </c>
      <c r="C31" s="15" t="s">
        <v>108</v>
      </c>
      <c r="D31" s="16" t="s">
        <v>109</v>
      </c>
      <c r="E31" s="17">
        <v>2</v>
      </c>
      <c r="F31" s="18" t="s">
        <v>12</v>
      </c>
      <c r="G31" s="16" t="s">
        <v>110</v>
      </c>
      <c r="H31" s="16"/>
    </row>
    <row r="32" spans="1:8" ht="60" customHeight="1" x14ac:dyDescent="0.25">
      <c r="A32" s="19" t="s">
        <v>98</v>
      </c>
      <c r="B32" s="19" t="s">
        <v>99</v>
      </c>
      <c r="C32" s="20" t="s">
        <v>111</v>
      </c>
      <c r="D32" s="21" t="s">
        <v>112</v>
      </c>
      <c r="E32" s="17">
        <v>2</v>
      </c>
      <c r="F32" s="18" t="s">
        <v>12</v>
      </c>
      <c r="G32" s="21" t="s">
        <v>113</v>
      </c>
      <c r="H32" s="21"/>
    </row>
    <row r="33" spans="1:8" ht="30" customHeight="1" x14ac:dyDescent="0.25">
      <c r="A33" s="14" t="s">
        <v>98</v>
      </c>
      <c r="B33" s="14" t="s">
        <v>99</v>
      </c>
      <c r="C33" s="15" t="s">
        <v>114</v>
      </c>
      <c r="D33" s="16" t="s">
        <v>115</v>
      </c>
      <c r="E33" s="23">
        <v>3</v>
      </c>
      <c r="F33" s="18" t="s">
        <v>46</v>
      </c>
      <c r="G33" s="16"/>
      <c r="H33" s="16"/>
    </row>
    <row r="34" spans="1:8" ht="30" customHeight="1" x14ac:dyDescent="0.25">
      <c r="A34" s="19" t="s">
        <v>98</v>
      </c>
      <c r="B34" s="19" t="s">
        <v>99</v>
      </c>
      <c r="C34" s="20" t="s">
        <v>116</v>
      </c>
      <c r="D34" s="21" t="s">
        <v>117</v>
      </c>
      <c r="E34" s="23">
        <v>3</v>
      </c>
      <c r="F34" s="18" t="s">
        <v>46</v>
      </c>
      <c r="G34" s="21"/>
      <c r="H34" s="21"/>
    </row>
    <row r="35" spans="1:8" ht="18" customHeight="1" x14ac:dyDescent="0.25">
      <c r="A35" s="13" t="s">
        <v>118</v>
      </c>
      <c r="B35" s="13" t="s">
        <v>119</v>
      </c>
      <c r="C35" s="13"/>
      <c r="D35" s="13"/>
      <c r="E35" s="13"/>
      <c r="F35" s="13"/>
      <c r="G35" s="13"/>
      <c r="H35" s="13"/>
    </row>
    <row r="36" spans="1:8" ht="75" customHeight="1" x14ac:dyDescent="0.25">
      <c r="A36" s="14" t="s">
        <v>118</v>
      </c>
      <c r="B36" s="14" t="s">
        <v>119</v>
      </c>
      <c r="C36" s="15" t="s">
        <v>120</v>
      </c>
      <c r="D36" s="16" t="s">
        <v>121</v>
      </c>
      <c r="E36" s="17">
        <v>2</v>
      </c>
      <c r="F36" s="18" t="s">
        <v>12</v>
      </c>
      <c r="G36" s="16" t="s">
        <v>122</v>
      </c>
      <c r="H36" s="16"/>
    </row>
    <row r="37" spans="1:8" ht="90" customHeight="1" x14ac:dyDescent="0.25">
      <c r="A37" s="19" t="s">
        <v>118</v>
      </c>
      <c r="B37" s="19" t="s">
        <v>119</v>
      </c>
      <c r="C37" s="20" t="s">
        <v>123</v>
      </c>
      <c r="D37" s="21" t="s">
        <v>124</v>
      </c>
      <c r="E37" s="17">
        <v>2</v>
      </c>
      <c r="F37" s="18" t="s">
        <v>12</v>
      </c>
      <c r="G37" s="21" t="s">
        <v>125</v>
      </c>
      <c r="H37" s="21"/>
    </row>
    <row r="38" spans="1:8" ht="105" customHeight="1" x14ac:dyDescent="0.25">
      <c r="A38" s="14" t="s">
        <v>118</v>
      </c>
      <c r="B38" s="14" t="s">
        <v>119</v>
      </c>
      <c r="C38" s="15" t="s">
        <v>126</v>
      </c>
      <c r="D38" s="16" t="s">
        <v>127</v>
      </c>
      <c r="E38" s="17">
        <v>2</v>
      </c>
      <c r="F38" s="18" t="s">
        <v>12</v>
      </c>
      <c r="G38" s="16" t="s">
        <v>128</v>
      </c>
      <c r="H38" s="16"/>
    </row>
    <row r="39" spans="1:8" ht="105" customHeight="1" x14ac:dyDescent="0.25">
      <c r="A39" s="19" t="s">
        <v>118</v>
      </c>
      <c r="B39" s="19" t="s">
        <v>119</v>
      </c>
      <c r="C39" s="20" t="s">
        <v>129</v>
      </c>
      <c r="D39" s="21" t="s">
        <v>130</v>
      </c>
      <c r="E39" s="17">
        <v>2</v>
      </c>
      <c r="F39" s="18" t="s">
        <v>12</v>
      </c>
      <c r="G39" s="21" t="s">
        <v>131</v>
      </c>
      <c r="H39" s="21"/>
    </row>
    <row r="40" spans="1:8" ht="75" customHeight="1" x14ac:dyDescent="0.25">
      <c r="A40" s="14" t="s">
        <v>118</v>
      </c>
      <c r="B40" s="14" t="s">
        <v>119</v>
      </c>
      <c r="C40" s="15" t="s">
        <v>132</v>
      </c>
      <c r="D40" s="16" t="s">
        <v>133</v>
      </c>
      <c r="E40" s="17">
        <v>2</v>
      </c>
      <c r="F40" s="18" t="s">
        <v>12</v>
      </c>
      <c r="G40" s="16" t="s">
        <v>134</v>
      </c>
      <c r="H40" s="16"/>
    </row>
    <row r="41" spans="1:8" ht="30" customHeight="1" x14ac:dyDescent="0.25">
      <c r="A41" s="19" t="s">
        <v>118</v>
      </c>
      <c r="B41" s="19" t="s">
        <v>119</v>
      </c>
      <c r="C41" s="20" t="s">
        <v>135</v>
      </c>
      <c r="D41" s="21" t="s">
        <v>136</v>
      </c>
      <c r="E41" s="23">
        <v>3</v>
      </c>
      <c r="F41" s="18" t="s">
        <v>46</v>
      </c>
      <c r="G41" s="21"/>
      <c r="H41" s="21"/>
    </row>
    <row r="42" spans="1:8" ht="30" customHeight="1" x14ac:dyDescent="0.25">
      <c r="A42" s="14" t="s">
        <v>118</v>
      </c>
      <c r="B42" s="14" t="s">
        <v>119</v>
      </c>
      <c r="C42" s="15" t="s">
        <v>137</v>
      </c>
      <c r="D42" s="16" t="s">
        <v>138</v>
      </c>
      <c r="E42" s="23">
        <v>3</v>
      </c>
      <c r="F42" s="18" t="s">
        <v>46</v>
      </c>
      <c r="G42" s="16"/>
      <c r="H42" s="16"/>
    </row>
    <row r="43" spans="1:8" ht="30" customHeight="1" x14ac:dyDescent="0.25">
      <c r="A43" s="19" t="s">
        <v>118</v>
      </c>
      <c r="B43" s="19" t="s">
        <v>119</v>
      </c>
      <c r="C43" s="20" t="s">
        <v>139</v>
      </c>
      <c r="D43" s="21" t="s">
        <v>140</v>
      </c>
      <c r="E43" s="23">
        <v>3</v>
      </c>
      <c r="F43" s="18" t="s">
        <v>46</v>
      </c>
      <c r="G43" s="21"/>
      <c r="H43" s="21"/>
    </row>
    <row r="44" spans="1:8" ht="18" customHeight="1" x14ac:dyDescent="0.25">
      <c r="A44" s="13" t="s">
        <v>141</v>
      </c>
      <c r="B44" s="13" t="s">
        <v>142</v>
      </c>
      <c r="C44" s="13"/>
      <c r="D44" s="13"/>
      <c r="E44" s="13"/>
      <c r="F44" s="13"/>
      <c r="G44" s="13"/>
      <c r="H44" s="13"/>
    </row>
    <row r="45" spans="1:8" ht="30" customHeight="1" x14ac:dyDescent="0.25">
      <c r="A45" s="14" t="s">
        <v>141</v>
      </c>
      <c r="B45" s="14" t="s">
        <v>142</v>
      </c>
      <c r="C45" s="15" t="s">
        <v>143</v>
      </c>
      <c r="D45" s="16" t="s">
        <v>144</v>
      </c>
      <c r="E45" s="17">
        <v>2</v>
      </c>
      <c r="F45" s="18" t="s">
        <v>46</v>
      </c>
      <c r="G45" s="16" t="s">
        <v>145</v>
      </c>
      <c r="H45" s="16"/>
    </row>
    <row r="46" spans="1:8" ht="30" customHeight="1" x14ac:dyDescent="0.25">
      <c r="A46" s="19" t="s">
        <v>141</v>
      </c>
      <c r="B46" s="19" t="s">
        <v>142</v>
      </c>
      <c r="C46" s="20" t="s">
        <v>146</v>
      </c>
      <c r="D46" s="21" t="s">
        <v>147</v>
      </c>
      <c r="E46" s="17">
        <v>2</v>
      </c>
      <c r="F46" s="18" t="s">
        <v>12</v>
      </c>
      <c r="G46" s="21" t="s">
        <v>148</v>
      </c>
      <c r="H46" s="21"/>
    </row>
    <row r="47" spans="1:8" ht="72" customHeight="1" x14ac:dyDescent="0.25">
      <c r="A47" s="14" t="s">
        <v>141</v>
      </c>
      <c r="B47" s="14" t="s">
        <v>142</v>
      </c>
      <c r="C47" s="15" t="s">
        <v>149</v>
      </c>
      <c r="D47" s="16" t="s">
        <v>150</v>
      </c>
      <c r="E47" s="17">
        <v>2</v>
      </c>
      <c r="F47" s="18" t="s">
        <v>12</v>
      </c>
      <c r="G47" s="16" t="s">
        <v>151</v>
      </c>
      <c r="H47" s="16"/>
    </row>
    <row r="48" spans="1:8" ht="30" customHeight="1" x14ac:dyDescent="0.25">
      <c r="A48" s="19" t="s">
        <v>141</v>
      </c>
      <c r="B48" s="19" t="s">
        <v>142</v>
      </c>
      <c r="C48" s="20" t="s">
        <v>152</v>
      </c>
      <c r="D48" s="21" t="s">
        <v>153</v>
      </c>
      <c r="E48" s="23">
        <v>3</v>
      </c>
      <c r="F48" s="18" t="s">
        <v>46</v>
      </c>
      <c r="G48" s="21"/>
      <c r="H48" s="21"/>
    </row>
    <row r="49" spans="1:8" ht="18" customHeight="1" x14ac:dyDescent="0.25">
      <c r="A49" s="13" t="s">
        <v>154</v>
      </c>
      <c r="B49" s="13" t="s">
        <v>155</v>
      </c>
      <c r="C49" s="13"/>
      <c r="D49" s="13"/>
      <c r="E49" s="13"/>
      <c r="F49" s="13"/>
      <c r="G49" s="13"/>
      <c r="H49" s="13"/>
    </row>
    <row r="50" spans="1:8" ht="30" customHeight="1" x14ac:dyDescent="0.25">
      <c r="A50" s="14" t="s">
        <v>154</v>
      </c>
      <c r="B50" s="14" t="s">
        <v>155</v>
      </c>
      <c r="C50" s="15" t="s">
        <v>156</v>
      </c>
      <c r="D50" s="16" t="s">
        <v>157</v>
      </c>
      <c r="E50" s="23">
        <v>3</v>
      </c>
      <c r="F50" s="18" t="s">
        <v>46</v>
      </c>
      <c r="G50" s="16"/>
      <c r="H50" s="16"/>
    </row>
    <row r="51" spans="1:8" ht="30" customHeight="1" x14ac:dyDescent="0.25">
      <c r="A51" s="19" t="s">
        <v>154</v>
      </c>
      <c r="B51" s="19" t="s">
        <v>155</v>
      </c>
      <c r="C51" s="20" t="s">
        <v>158</v>
      </c>
      <c r="D51" s="21" t="s">
        <v>159</v>
      </c>
      <c r="E51" s="23">
        <v>3</v>
      </c>
      <c r="F51" s="18" t="s">
        <v>46</v>
      </c>
      <c r="G51" s="21"/>
      <c r="H51" s="21"/>
    </row>
    <row r="52" spans="1:8" ht="18" customHeight="1" x14ac:dyDescent="0.25">
      <c r="A52" s="13" t="s">
        <v>160</v>
      </c>
      <c r="B52" s="13" t="s">
        <v>161</v>
      </c>
      <c r="C52" s="13"/>
      <c r="D52" s="13"/>
      <c r="E52" s="13"/>
      <c r="F52" s="13"/>
      <c r="G52" s="13"/>
      <c r="H52" s="13"/>
    </row>
    <row r="53" spans="1:8" ht="90" customHeight="1" x14ac:dyDescent="0.25">
      <c r="A53" s="14" t="s">
        <v>160</v>
      </c>
      <c r="B53" s="14" t="s">
        <v>161</v>
      </c>
      <c r="C53" s="15" t="s">
        <v>162</v>
      </c>
      <c r="D53" s="16" t="s">
        <v>163</v>
      </c>
      <c r="E53" s="17">
        <v>2</v>
      </c>
      <c r="F53" s="18" t="s">
        <v>46</v>
      </c>
      <c r="G53" s="16" t="s">
        <v>164</v>
      </c>
      <c r="H53" s="16"/>
    </row>
    <row r="54" spans="1:8" ht="90" customHeight="1" x14ac:dyDescent="0.25">
      <c r="A54" s="19" t="s">
        <v>160</v>
      </c>
      <c r="B54" s="19" t="s">
        <v>161</v>
      </c>
      <c r="C54" s="20" t="s">
        <v>165</v>
      </c>
      <c r="D54" s="21" t="s">
        <v>166</v>
      </c>
      <c r="E54" s="17">
        <v>2</v>
      </c>
      <c r="F54" s="18" t="s">
        <v>53</v>
      </c>
      <c r="G54" s="21" t="s">
        <v>167</v>
      </c>
      <c r="H54" s="21" t="s">
        <v>168</v>
      </c>
    </row>
    <row r="55" spans="1:8" ht="75" customHeight="1" x14ac:dyDescent="0.25">
      <c r="A55" s="14" t="s">
        <v>160</v>
      </c>
      <c r="B55" s="14" t="s">
        <v>161</v>
      </c>
      <c r="C55" s="15" t="s">
        <v>169</v>
      </c>
      <c r="D55" s="16" t="s">
        <v>170</v>
      </c>
      <c r="E55" s="17">
        <v>2</v>
      </c>
      <c r="F55" s="18" t="s">
        <v>12</v>
      </c>
      <c r="G55" s="16" t="s">
        <v>171</v>
      </c>
      <c r="H55" s="16" t="s">
        <v>172</v>
      </c>
    </row>
    <row r="56" spans="1:8" ht="150" customHeight="1" x14ac:dyDescent="0.25">
      <c r="A56" s="19" t="s">
        <v>160</v>
      </c>
      <c r="B56" s="19" t="s">
        <v>161</v>
      </c>
      <c r="C56" s="20" t="s">
        <v>173</v>
      </c>
      <c r="D56" s="21" t="s">
        <v>174</v>
      </c>
      <c r="E56" s="17">
        <v>2</v>
      </c>
      <c r="F56" s="18" t="s">
        <v>46</v>
      </c>
      <c r="G56" s="21" t="s">
        <v>175</v>
      </c>
      <c r="H56" s="21"/>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zoomScale="75" zoomScaleNormal="75" workbookViewId="0">
      <pane ySplit="1" topLeftCell="A13" activePane="bottomLeft" state="frozen"/>
      <selection pane="bottomLeft" activeCell="F18" sqref="F18"/>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0</v>
      </c>
      <c r="B1" s="12" t="s">
        <v>1</v>
      </c>
      <c r="C1" s="12" t="s">
        <v>2</v>
      </c>
      <c r="D1" s="12" t="s">
        <v>3</v>
      </c>
      <c r="E1" s="12" t="s">
        <v>4</v>
      </c>
      <c r="F1" s="12" t="s">
        <v>5</v>
      </c>
      <c r="G1" s="12" t="s">
        <v>6</v>
      </c>
      <c r="H1" s="12" t="s">
        <v>7</v>
      </c>
    </row>
    <row r="2" spans="1:8" ht="18" customHeight="1" x14ac:dyDescent="0.25">
      <c r="A2" s="13" t="s">
        <v>550</v>
      </c>
      <c r="B2" s="13" t="s">
        <v>551</v>
      </c>
      <c r="C2" s="13"/>
      <c r="D2" s="13"/>
      <c r="E2" s="13"/>
      <c r="F2" s="13"/>
      <c r="G2" s="13"/>
      <c r="H2" s="13"/>
    </row>
    <row r="3" spans="1:8" ht="30" customHeight="1" x14ac:dyDescent="0.25">
      <c r="A3" s="14" t="s">
        <v>550</v>
      </c>
      <c r="B3" s="14" t="s">
        <v>551</v>
      </c>
      <c r="C3" s="15" t="s">
        <v>552</v>
      </c>
      <c r="D3" s="16" t="s">
        <v>553</v>
      </c>
      <c r="E3" s="17">
        <v>2</v>
      </c>
      <c r="F3" s="18" t="s">
        <v>12</v>
      </c>
      <c r="G3" s="16" t="s">
        <v>554</v>
      </c>
      <c r="H3" s="16" t="s">
        <v>555</v>
      </c>
    </row>
    <row r="4" spans="1:8" ht="30" customHeight="1" x14ac:dyDescent="0.25">
      <c r="A4" s="19" t="s">
        <v>550</v>
      </c>
      <c r="B4" s="19" t="s">
        <v>551</v>
      </c>
      <c r="C4" s="20" t="s">
        <v>556</v>
      </c>
      <c r="D4" s="21" t="s">
        <v>557</v>
      </c>
      <c r="E4" s="17">
        <v>2</v>
      </c>
      <c r="F4" s="18" t="s">
        <v>12</v>
      </c>
      <c r="G4" s="21" t="s">
        <v>558</v>
      </c>
      <c r="H4" s="21" t="s">
        <v>559</v>
      </c>
    </row>
    <row r="5" spans="1:8" ht="30" customHeight="1" x14ac:dyDescent="0.25">
      <c r="A5" s="14" t="s">
        <v>550</v>
      </c>
      <c r="B5" s="14" t="s">
        <v>551</v>
      </c>
      <c r="C5" s="15" t="s">
        <v>560</v>
      </c>
      <c r="D5" s="16" t="s">
        <v>561</v>
      </c>
      <c r="E5" s="17">
        <v>2</v>
      </c>
      <c r="F5" s="18" t="s">
        <v>12</v>
      </c>
      <c r="G5" s="16" t="s">
        <v>562</v>
      </c>
      <c r="H5" s="16" t="s">
        <v>563</v>
      </c>
    </row>
    <row r="6" spans="1:8" ht="18" customHeight="1" x14ac:dyDescent="0.25">
      <c r="A6" s="13" t="s">
        <v>564</v>
      </c>
      <c r="B6" s="13" t="s">
        <v>565</v>
      </c>
      <c r="C6" s="13"/>
      <c r="D6" s="13"/>
      <c r="E6" s="13"/>
      <c r="F6" s="13"/>
      <c r="G6" s="13"/>
      <c r="H6" s="13"/>
    </row>
    <row r="7" spans="1:8" ht="90" customHeight="1" x14ac:dyDescent="0.25">
      <c r="A7" s="14" t="s">
        <v>564</v>
      </c>
      <c r="B7" s="14" t="s">
        <v>565</v>
      </c>
      <c r="C7" s="15" t="s">
        <v>566</v>
      </c>
      <c r="D7" s="16" t="s">
        <v>567</v>
      </c>
      <c r="E7" s="22">
        <v>1</v>
      </c>
      <c r="F7" s="18" t="s">
        <v>53</v>
      </c>
      <c r="G7" s="16" t="s">
        <v>568</v>
      </c>
      <c r="H7" s="16"/>
    </row>
    <row r="8" spans="1:8" ht="120" customHeight="1" x14ac:dyDescent="0.25">
      <c r="A8" s="19" t="s">
        <v>564</v>
      </c>
      <c r="B8" s="19" t="s">
        <v>565</v>
      </c>
      <c r="C8" s="20" t="s">
        <v>569</v>
      </c>
      <c r="D8" s="21" t="s">
        <v>570</v>
      </c>
      <c r="E8" s="22">
        <v>1</v>
      </c>
      <c r="F8" s="18" t="s">
        <v>53</v>
      </c>
      <c r="G8" s="21" t="s">
        <v>571</v>
      </c>
      <c r="H8" s="21"/>
    </row>
    <row r="9" spans="1:8" ht="30" customHeight="1" x14ac:dyDescent="0.25">
      <c r="A9" s="14" t="s">
        <v>564</v>
      </c>
      <c r="B9" s="14" t="s">
        <v>565</v>
      </c>
      <c r="C9" s="15" t="s">
        <v>572</v>
      </c>
      <c r="D9" s="16" t="s">
        <v>573</v>
      </c>
      <c r="E9" s="22">
        <v>1</v>
      </c>
      <c r="F9" s="18" t="s">
        <v>46</v>
      </c>
      <c r="G9" s="16"/>
      <c r="H9" s="16"/>
    </row>
    <row r="10" spans="1:8" ht="105" customHeight="1" x14ac:dyDescent="0.25">
      <c r="A10" s="19" t="s">
        <v>564</v>
      </c>
      <c r="B10" s="19" t="s">
        <v>565</v>
      </c>
      <c r="C10" s="20" t="s">
        <v>574</v>
      </c>
      <c r="D10" s="21" t="s">
        <v>575</v>
      </c>
      <c r="E10" s="22">
        <v>1</v>
      </c>
      <c r="F10" s="18" t="s">
        <v>53</v>
      </c>
      <c r="G10" s="21" t="s">
        <v>576</v>
      </c>
      <c r="H10" s="21"/>
    </row>
    <row r="11" spans="1:8" ht="18" customHeight="1" x14ac:dyDescent="0.25">
      <c r="A11" s="13" t="s">
        <v>577</v>
      </c>
      <c r="B11" s="13" t="s">
        <v>578</v>
      </c>
      <c r="C11" s="13"/>
      <c r="D11" s="13"/>
      <c r="E11" s="13"/>
      <c r="F11" s="13"/>
      <c r="G11" s="13"/>
      <c r="H11" s="13"/>
    </row>
    <row r="12" spans="1:8" ht="30" customHeight="1" x14ac:dyDescent="0.25">
      <c r="A12" s="14" t="s">
        <v>577</v>
      </c>
      <c r="B12" s="14" t="s">
        <v>578</v>
      </c>
      <c r="C12" s="15" t="s">
        <v>579</v>
      </c>
      <c r="D12" s="16" t="s">
        <v>580</v>
      </c>
      <c r="E12" s="17">
        <v>2</v>
      </c>
      <c r="F12" s="18" t="s">
        <v>226</v>
      </c>
      <c r="G12" s="16"/>
      <c r="H12" s="16"/>
    </row>
    <row r="13" spans="1:8" ht="30" customHeight="1" x14ac:dyDescent="0.25">
      <c r="A13" s="19" t="s">
        <v>577</v>
      </c>
      <c r="B13" s="19" t="s">
        <v>578</v>
      </c>
      <c r="C13" s="20" t="s">
        <v>581</v>
      </c>
      <c r="D13" s="21" t="s">
        <v>582</v>
      </c>
      <c r="E13" s="17">
        <v>2</v>
      </c>
      <c r="F13" s="18" t="s">
        <v>226</v>
      </c>
      <c r="G13" s="21"/>
      <c r="H13" s="21"/>
    </row>
    <row r="14" spans="1:8" ht="18" customHeight="1" x14ac:dyDescent="0.25">
      <c r="A14" s="13" t="s">
        <v>583</v>
      </c>
      <c r="B14" s="13" t="s">
        <v>584</v>
      </c>
      <c r="C14" s="13"/>
      <c r="D14" s="13"/>
      <c r="E14" s="13"/>
      <c r="F14" s="13"/>
      <c r="G14" s="13"/>
      <c r="H14" s="13"/>
    </row>
    <row r="15" spans="1:8" ht="120" customHeight="1" x14ac:dyDescent="0.25">
      <c r="A15" s="14" t="s">
        <v>583</v>
      </c>
      <c r="B15" s="14" t="s">
        <v>584</v>
      </c>
      <c r="C15" s="15" t="s">
        <v>585</v>
      </c>
      <c r="D15" s="16" t="s">
        <v>586</v>
      </c>
      <c r="E15" s="22">
        <v>1</v>
      </c>
      <c r="F15" s="18" t="s">
        <v>53</v>
      </c>
      <c r="G15" s="16" t="s">
        <v>587</v>
      </c>
      <c r="H15" s="16"/>
    </row>
    <row r="16" spans="1:8" ht="30" customHeight="1" x14ac:dyDescent="0.25">
      <c r="A16" s="19" t="s">
        <v>583</v>
      </c>
      <c r="B16" s="19" t="s">
        <v>584</v>
      </c>
      <c r="C16" s="20" t="s">
        <v>588</v>
      </c>
      <c r="D16" s="21" t="s">
        <v>589</v>
      </c>
      <c r="E16" s="22">
        <v>1</v>
      </c>
      <c r="F16" s="18" t="s">
        <v>226</v>
      </c>
      <c r="G16" s="21"/>
      <c r="H16" s="21"/>
    </row>
    <row r="17" spans="1:8" ht="30" customHeight="1" x14ac:dyDescent="0.25">
      <c r="A17" s="14" t="s">
        <v>583</v>
      </c>
      <c r="B17" s="14" t="s">
        <v>584</v>
      </c>
      <c r="C17" s="15" t="s">
        <v>590</v>
      </c>
      <c r="D17" s="16" t="s">
        <v>591</v>
      </c>
      <c r="E17" s="17">
        <v>2</v>
      </c>
      <c r="F17" s="18" t="s">
        <v>226</v>
      </c>
      <c r="G17" s="16"/>
      <c r="H17" s="16"/>
    </row>
    <row r="18" spans="1:8" ht="30" customHeight="1" x14ac:dyDescent="0.25">
      <c r="A18" s="19" t="s">
        <v>583</v>
      </c>
      <c r="B18" s="19" t="s">
        <v>584</v>
      </c>
      <c r="C18" s="20" t="s">
        <v>592</v>
      </c>
      <c r="D18" s="21" t="s">
        <v>593</v>
      </c>
      <c r="E18" s="17">
        <v>2</v>
      </c>
      <c r="F18" s="18" t="s">
        <v>46</v>
      </c>
      <c r="G18" s="21"/>
      <c r="H18" s="21"/>
    </row>
    <row r="19" spans="1:8" ht="30" customHeight="1" x14ac:dyDescent="0.25">
      <c r="A19" s="14" t="s">
        <v>583</v>
      </c>
      <c r="B19" s="14" t="s">
        <v>584</v>
      </c>
      <c r="C19" s="15" t="s">
        <v>594</v>
      </c>
      <c r="D19" s="16" t="s">
        <v>595</v>
      </c>
      <c r="E19" s="17">
        <v>2</v>
      </c>
      <c r="F19" s="18" t="s">
        <v>226</v>
      </c>
      <c r="G19" s="16"/>
      <c r="H19" s="16"/>
    </row>
    <row r="20" spans="1:8" ht="18" customHeight="1" x14ac:dyDescent="0.25">
      <c r="A20" s="13" t="s">
        <v>596</v>
      </c>
      <c r="B20" s="13" t="s">
        <v>597</v>
      </c>
      <c r="C20" s="13"/>
      <c r="D20" s="13"/>
      <c r="E20" s="13"/>
      <c r="F20" s="13"/>
      <c r="G20" s="13"/>
      <c r="H20" s="13"/>
    </row>
    <row r="21" spans="1:8" ht="30" customHeight="1" x14ac:dyDescent="0.25">
      <c r="A21" s="14" t="s">
        <v>596</v>
      </c>
      <c r="B21" s="14" t="s">
        <v>597</v>
      </c>
      <c r="C21" s="15" t="s">
        <v>598</v>
      </c>
      <c r="D21" s="16" t="s">
        <v>599</v>
      </c>
      <c r="E21" s="17">
        <v>2</v>
      </c>
      <c r="F21" s="18" t="s">
        <v>226</v>
      </c>
      <c r="G21" s="16"/>
      <c r="H21" s="16"/>
    </row>
    <row r="22" spans="1:8" ht="30" customHeight="1" x14ac:dyDescent="0.25">
      <c r="A22" s="19" t="s">
        <v>596</v>
      </c>
      <c r="B22" s="19" t="s">
        <v>597</v>
      </c>
      <c r="C22" s="20" t="s">
        <v>600</v>
      </c>
      <c r="D22" s="21" t="s">
        <v>601</v>
      </c>
      <c r="E22" s="17">
        <v>2</v>
      </c>
      <c r="F22" s="18" t="s">
        <v>226</v>
      </c>
      <c r="G22" s="21"/>
      <c r="H22" s="21"/>
    </row>
    <row r="23" spans="1:8" ht="30" customHeight="1" x14ac:dyDescent="0.25">
      <c r="A23" s="14" t="s">
        <v>596</v>
      </c>
      <c r="B23" s="14" t="s">
        <v>597</v>
      </c>
      <c r="C23" s="15" t="s">
        <v>602</v>
      </c>
      <c r="D23" s="16" t="s">
        <v>603</v>
      </c>
      <c r="E23" s="23">
        <v>3</v>
      </c>
      <c r="F23" s="18" t="s">
        <v>46</v>
      </c>
      <c r="G23" s="16"/>
      <c r="H23" s="16"/>
    </row>
    <row r="24" spans="1:8" ht="18" customHeight="1" x14ac:dyDescent="0.25">
      <c r="A24" s="13" t="s">
        <v>604</v>
      </c>
      <c r="B24" s="13" t="s">
        <v>605</v>
      </c>
      <c r="C24" s="13"/>
      <c r="D24" s="13"/>
      <c r="E24" s="13"/>
      <c r="F24" s="13"/>
      <c r="G24" s="13"/>
      <c r="H24" s="13"/>
    </row>
    <row r="25" spans="1:8" ht="30" customHeight="1" x14ac:dyDescent="0.25">
      <c r="A25" s="14" t="s">
        <v>604</v>
      </c>
      <c r="B25" s="14" t="s">
        <v>605</v>
      </c>
      <c r="C25" s="15" t="s">
        <v>606</v>
      </c>
      <c r="D25" s="16" t="s">
        <v>607</v>
      </c>
      <c r="E25" s="17">
        <v>2</v>
      </c>
      <c r="F25" s="18" t="s">
        <v>226</v>
      </c>
      <c r="G25" s="16"/>
      <c r="H25" s="16"/>
    </row>
    <row r="26" spans="1:8" ht="105" customHeight="1" x14ac:dyDescent="0.25">
      <c r="A26" s="19" t="s">
        <v>604</v>
      </c>
      <c r="B26" s="19" t="s">
        <v>605</v>
      </c>
      <c r="C26" s="20" t="s">
        <v>608</v>
      </c>
      <c r="D26" s="21" t="s">
        <v>609</v>
      </c>
      <c r="E26" s="17">
        <v>2</v>
      </c>
      <c r="F26" s="18" t="s">
        <v>53</v>
      </c>
      <c r="G26" s="21" t="s">
        <v>610</v>
      </c>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zoomScale="75" zoomScaleNormal="75" workbookViewId="0">
      <pane ySplit="1" topLeftCell="A2" activePane="bottomLeft" state="frozen"/>
      <selection pane="bottomLeft" activeCell="G13" sqref="G13"/>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0</v>
      </c>
      <c r="B1" s="12" t="s">
        <v>1</v>
      </c>
      <c r="C1" s="12" t="s">
        <v>2</v>
      </c>
      <c r="D1" s="12" t="s">
        <v>3</v>
      </c>
      <c r="E1" s="12" t="s">
        <v>4</v>
      </c>
      <c r="F1" s="12" t="s">
        <v>5</v>
      </c>
      <c r="G1" s="12" t="s">
        <v>6</v>
      </c>
      <c r="H1" s="12" t="s">
        <v>7</v>
      </c>
    </row>
    <row r="2" spans="1:8" ht="18" customHeight="1" x14ac:dyDescent="0.25">
      <c r="A2" s="13" t="s">
        <v>611</v>
      </c>
      <c r="B2" s="13" t="s">
        <v>612</v>
      </c>
      <c r="C2" s="13"/>
      <c r="D2" s="13"/>
      <c r="E2" s="13"/>
      <c r="F2" s="13"/>
      <c r="G2" s="13"/>
      <c r="H2" s="13"/>
    </row>
    <row r="3" spans="1:8" ht="30" customHeight="1" x14ac:dyDescent="0.25">
      <c r="A3" s="14" t="s">
        <v>611</v>
      </c>
      <c r="B3" s="14" t="s">
        <v>612</v>
      </c>
      <c r="C3" s="15" t="s">
        <v>613</v>
      </c>
      <c r="D3" s="16" t="s">
        <v>614</v>
      </c>
      <c r="E3" s="22">
        <v>1</v>
      </c>
      <c r="F3" s="18" t="s">
        <v>12</v>
      </c>
      <c r="G3" s="16" t="s">
        <v>615</v>
      </c>
      <c r="H3" s="16" t="s">
        <v>616</v>
      </c>
    </row>
    <row r="4" spans="1:8" ht="30" customHeight="1" x14ac:dyDescent="0.25">
      <c r="A4" s="19" t="s">
        <v>611</v>
      </c>
      <c r="B4" s="19" t="s">
        <v>612</v>
      </c>
      <c r="C4" s="20" t="s">
        <v>617</v>
      </c>
      <c r="D4" s="21" t="s">
        <v>618</v>
      </c>
      <c r="E4" s="17">
        <v>2</v>
      </c>
      <c r="F4" s="18" t="s">
        <v>12</v>
      </c>
      <c r="G4" s="21" t="s">
        <v>619</v>
      </c>
      <c r="H4" s="21" t="s">
        <v>620</v>
      </c>
    </row>
    <row r="5" spans="1:8" ht="30" customHeight="1" x14ac:dyDescent="0.25">
      <c r="A5" s="14" t="s">
        <v>611</v>
      </c>
      <c r="B5" s="14" t="s">
        <v>612</v>
      </c>
      <c r="C5" s="15" t="s">
        <v>621</v>
      </c>
      <c r="D5" s="16" t="s">
        <v>622</v>
      </c>
      <c r="E5" s="23">
        <v>3</v>
      </c>
      <c r="F5" s="18" t="s">
        <v>46</v>
      </c>
      <c r="G5" s="16" t="s">
        <v>623</v>
      </c>
      <c r="H5" s="16"/>
    </row>
    <row r="6" spans="1:8" ht="90" customHeight="1" x14ac:dyDescent="0.25">
      <c r="A6" s="19" t="s">
        <v>611</v>
      </c>
      <c r="B6" s="19" t="s">
        <v>612</v>
      </c>
      <c r="C6" s="20" t="s">
        <v>624</v>
      </c>
      <c r="D6" s="21" t="s">
        <v>625</v>
      </c>
      <c r="E6" s="23">
        <v>3</v>
      </c>
      <c r="F6" s="18" t="s">
        <v>46</v>
      </c>
      <c r="G6" s="21" t="s">
        <v>626</v>
      </c>
      <c r="H6" s="21"/>
    </row>
    <row r="7" spans="1:8" ht="18" customHeight="1" x14ac:dyDescent="0.25">
      <c r="A7" s="13" t="s">
        <v>627</v>
      </c>
      <c r="B7" s="13" t="s">
        <v>628</v>
      </c>
      <c r="C7" s="13"/>
      <c r="D7" s="13"/>
      <c r="E7" s="13"/>
      <c r="F7" s="13"/>
      <c r="G7" s="13"/>
      <c r="H7" s="13"/>
    </row>
    <row r="8" spans="1:8" ht="30" customHeight="1" x14ac:dyDescent="0.25">
      <c r="A8" s="14" t="s">
        <v>627</v>
      </c>
      <c r="B8" s="14" t="s">
        <v>628</v>
      </c>
      <c r="C8" s="15" t="s">
        <v>629</v>
      </c>
      <c r="D8" s="16" t="s">
        <v>630</v>
      </c>
      <c r="E8" s="22">
        <v>1</v>
      </c>
      <c r="F8" s="18" t="s">
        <v>53</v>
      </c>
      <c r="G8" s="16" t="s">
        <v>631</v>
      </c>
      <c r="H8" s="16" t="s">
        <v>632</v>
      </c>
    </row>
    <row r="9" spans="1:8" ht="30" customHeight="1" x14ac:dyDescent="0.25">
      <c r="A9" s="19" t="s">
        <v>627</v>
      </c>
      <c r="B9" s="19" t="s">
        <v>628</v>
      </c>
      <c r="C9" s="20" t="s">
        <v>633</v>
      </c>
      <c r="D9" s="21" t="s">
        <v>634</v>
      </c>
      <c r="E9" s="22">
        <v>1</v>
      </c>
      <c r="F9" s="18" t="s">
        <v>53</v>
      </c>
      <c r="G9" s="21" t="s">
        <v>635</v>
      </c>
      <c r="H9" s="21" t="s">
        <v>636</v>
      </c>
    </row>
    <row r="10" spans="1:8" ht="30" customHeight="1" x14ac:dyDescent="0.25">
      <c r="A10" s="14" t="s">
        <v>627</v>
      </c>
      <c r="B10" s="14" t="s">
        <v>628</v>
      </c>
      <c r="C10" s="15" t="s">
        <v>637</v>
      </c>
      <c r="D10" s="16" t="s">
        <v>638</v>
      </c>
      <c r="E10" s="17">
        <v>2</v>
      </c>
      <c r="F10" s="18" t="s">
        <v>53</v>
      </c>
      <c r="G10" s="16" t="s">
        <v>639</v>
      </c>
      <c r="H10" s="16" t="s">
        <v>640</v>
      </c>
    </row>
    <row r="11" spans="1:8" ht="105" customHeight="1" x14ac:dyDescent="0.25">
      <c r="A11" s="19" t="s">
        <v>627</v>
      </c>
      <c r="B11" s="19" t="s">
        <v>628</v>
      </c>
      <c r="C11" s="20" t="s">
        <v>641</v>
      </c>
      <c r="D11" s="21" t="s">
        <v>642</v>
      </c>
      <c r="E11" s="23">
        <v>3</v>
      </c>
      <c r="F11" s="18" t="s">
        <v>46</v>
      </c>
      <c r="G11" s="21" t="s">
        <v>643</v>
      </c>
      <c r="H11" s="21"/>
    </row>
    <row r="12" spans="1:8" ht="18" customHeight="1" x14ac:dyDescent="0.25">
      <c r="A12" s="13" t="s">
        <v>644</v>
      </c>
      <c r="B12" s="13" t="s">
        <v>645</v>
      </c>
      <c r="C12" s="13"/>
      <c r="D12" s="13"/>
      <c r="E12" s="13"/>
      <c r="F12" s="13"/>
      <c r="G12" s="13"/>
      <c r="H12" s="13"/>
    </row>
    <row r="13" spans="1:8" ht="60" customHeight="1" x14ac:dyDescent="0.25">
      <c r="A13" s="14" t="s">
        <v>644</v>
      </c>
      <c r="B13" s="14" t="s">
        <v>645</v>
      </c>
      <c r="C13" s="15" t="s">
        <v>646</v>
      </c>
      <c r="D13" s="16" t="s">
        <v>647</v>
      </c>
      <c r="E13" s="22">
        <v>1</v>
      </c>
      <c r="F13" s="18" t="s">
        <v>53</v>
      </c>
      <c r="G13" s="16" t="s">
        <v>648</v>
      </c>
      <c r="H13" s="16"/>
    </row>
    <row r="14" spans="1:8" ht="30" customHeight="1" x14ac:dyDescent="0.25">
      <c r="A14" s="19" t="s">
        <v>644</v>
      </c>
      <c r="B14" s="19" t="s">
        <v>645</v>
      </c>
      <c r="C14" s="20" t="s">
        <v>649</v>
      </c>
      <c r="D14" s="21" t="s">
        <v>650</v>
      </c>
      <c r="E14" s="23">
        <v>3</v>
      </c>
      <c r="F14" s="18" t="s">
        <v>46</v>
      </c>
      <c r="G14" s="21"/>
      <c r="H14" s="21"/>
    </row>
    <row r="15" spans="1:8" ht="30" customHeight="1" x14ac:dyDescent="0.25">
      <c r="A15" s="14" t="s">
        <v>644</v>
      </c>
      <c r="B15" s="14" t="s">
        <v>645</v>
      </c>
      <c r="C15" s="15" t="s">
        <v>651</v>
      </c>
      <c r="D15" s="16" t="s">
        <v>652</v>
      </c>
      <c r="E15" s="23">
        <v>3</v>
      </c>
      <c r="F15" s="18" t="s">
        <v>46</v>
      </c>
      <c r="G15" s="16" t="s">
        <v>653</v>
      </c>
      <c r="H15" s="16"/>
    </row>
    <row r="16" spans="1:8" ht="18" customHeight="1" x14ac:dyDescent="0.25">
      <c r="A16" s="13" t="s">
        <v>654</v>
      </c>
      <c r="B16" s="13" t="s">
        <v>655</v>
      </c>
      <c r="C16" s="13"/>
      <c r="D16" s="13"/>
      <c r="E16" s="13"/>
      <c r="F16" s="13"/>
      <c r="G16" s="13"/>
      <c r="H16" s="13"/>
    </row>
    <row r="17" spans="1:8" ht="30" customHeight="1" x14ac:dyDescent="0.25">
      <c r="A17" s="14" t="s">
        <v>654</v>
      </c>
      <c r="B17" s="14" t="s">
        <v>655</v>
      </c>
      <c r="C17" s="15" t="s">
        <v>656</v>
      </c>
      <c r="D17" s="16" t="s">
        <v>657</v>
      </c>
      <c r="E17" s="17">
        <v>2</v>
      </c>
      <c r="F17" s="18" t="s">
        <v>46</v>
      </c>
      <c r="G17" s="16" t="s">
        <v>658</v>
      </c>
      <c r="H17" s="16"/>
    </row>
    <row r="18" spans="1:8" ht="30" customHeight="1" x14ac:dyDescent="0.25">
      <c r="A18" s="19" t="s">
        <v>654</v>
      </c>
      <c r="B18" s="19" t="s">
        <v>655</v>
      </c>
      <c r="C18" s="20" t="s">
        <v>659</v>
      </c>
      <c r="D18" s="21" t="s">
        <v>660</v>
      </c>
      <c r="E18" s="23">
        <v>3</v>
      </c>
      <c r="F18" s="18" t="s">
        <v>46</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zoomScale="79" zoomScaleNormal="75" workbookViewId="0">
      <pane ySplit="1" topLeftCell="A2" activePane="bottomLeft" state="frozen"/>
      <selection pane="bottomLeft" activeCell="F7" sqref="F7"/>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0</v>
      </c>
      <c r="B1" s="12" t="s">
        <v>1</v>
      </c>
      <c r="C1" s="12" t="s">
        <v>2</v>
      </c>
      <c r="D1" s="12" t="s">
        <v>3</v>
      </c>
      <c r="E1" s="12" t="s">
        <v>4</v>
      </c>
      <c r="F1" s="12" t="s">
        <v>5</v>
      </c>
      <c r="G1" s="12" t="s">
        <v>6</v>
      </c>
      <c r="H1" s="12" t="s">
        <v>7</v>
      </c>
    </row>
    <row r="2" spans="1:8" ht="18" customHeight="1" x14ac:dyDescent="0.25">
      <c r="A2" s="13" t="s">
        <v>661</v>
      </c>
      <c r="B2" s="13" t="s">
        <v>662</v>
      </c>
      <c r="C2" s="13"/>
      <c r="D2" s="13"/>
      <c r="E2" s="13"/>
      <c r="F2" s="13"/>
      <c r="G2" s="13"/>
      <c r="H2" s="13"/>
    </row>
    <row r="3" spans="1:8" ht="90" customHeight="1" x14ac:dyDescent="0.25">
      <c r="A3" s="14" t="s">
        <v>661</v>
      </c>
      <c r="B3" s="14" t="s">
        <v>662</v>
      </c>
      <c r="C3" s="15" t="s">
        <v>663</v>
      </c>
      <c r="D3" s="16" t="s">
        <v>664</v>
      </c>
      <c r="E3" s="22">
        <v>1</v>
      </c>
      <c r="F3" s="18" t="s">
        <v>53</v>
      </c>
      <c r="G3" s="16" t="s">
        <v>665</v>
      </c>
      <c r="H3" s="16" t="s">
        <v>666</v>
      </c>
    </row>
    <row r="4" spans="1:8" ht="105" customHeight="1" x14ac:dyDescent="0.25">
      <c r="A4" s="19" t="s">
        <v>661</v>
      </c>
      <c r="B4" s="19" t="s">
        <v>662</v>
      </c>
      <c r="C4" s="20" t="s">
        <v>667</v>
      </c>
      <c r="D4" s="21" t="s">
        <v>668</v>
      </c>
      <c r="E4" s="22">
        <v>1</v>
      </c>
      <c r="F4" s="18" t="s">
        <v>53</v>
      </c>
      <c r="G4" s="21" t="s">
        <v>669</v>
      </c>
      <c r="H4" s="21" t="s">
        <v>670</v>
      </c>
    </row>
    <row r="5" spans="1:8" ht="105" customHeight="1" x14ac:dyDescent="0.25">
      <c r="A5" s="14" t="s">
        <v>661</v>
      </c>
      <c r="B5" s="14" t="s">
        <v>662</v>
      </c>
      <c r="C5" s="15" t="s">
        <v>671</v>
      </c>
      <c r="D5" s="16" t="s">
        <v>672</v>
      </c>
      <c r="E5" s="22">
        <v>1</v>
      </c>
      <c r="F5" s="18" t="s">
        <v>53</v>
      </c>
      <c r="G5" s="16" t="s">
        <v>673</v>
      </c>
      <c r="H5" s="16" t="s">
        <v>674</v>
      </c>
    </row>
    <row r="6" spans="1:8" ht="18" customHeight="1" x14ac:dyDescent="0.25">
      <c r="A6" s="13" t="s">
        <v>675</v>
      </c>
      <c r="B6" s="13" t="s">
        <v>676</v>
      </c>
      <c r="C6" s="13"/>
      <c r="D6" s="13"/>
      <c r="E6" s="13"/>
      <c r="F6" s="13"/>
      <c r="G6" s="13"/>
      <c r="H6" s="13"/>
    </row>
    <row r="7" spans="1:8" ht="75" customHeight="1" x14ac:dyDescent="0.25">
      <c r="A7" s="14" t="s">
        <v>675</v>
      </c>
      <c r="B7" s="14" t="s">
        <v>676</v>
      </c>
      <c r="C7" s="15" t="s">
        <v>677</v>
      </c>
      <c r="D7" s="16" t="s">
        <v>678</v>
      </c>
      <c r="E7" s="22">
        <v>1</v>
      </c>
      <c r="F7" s="18" t="s">
        <v>53</v>
      </c>
      <c r="G7" s="16" t="s">
        <v>679</v>
      </c>
      <c r="H7" s="16" t="s">
        <v>680</v>
      </c>
    </row>
    <row r="8" spans="1:8" ht="75" customHeight="1" x14ac:dyDescent="0.25">
      <c r="A8" s="19" t="s">
        <v>675</v>
      </c>
      <c r="B8" s="19" t="s">
        <v>676</v>
      </c>
      <c r="C8" s="20" t="s">
        <v>681</v>
      </c>
      <c r="D8" s="21" t="s">
        <v>682</v>
      </c>
      <c r="E8" s="17">
        <v>2</v>
      </c>
      <c r="F8" s="18" t="s">
        <v>12</v>
      </c>
      <c r="G8" s="21" t="s">
        <v>683</v>
      </c>
      <c r="H8" s="21" t="s">
        <v>684</v>
      </c>
    </row>
    <row r="9" spans="1:8" ht="75" customHeight="1" x14ac:dyDescent="0.25">
      <c r="A9" s="14" t="s">
        <v>675</v>
      </c>
      <c r="B9" s="14" t="s">
        <v>676</v>
      </c>
      <c r="C9" s="15" t="s">
        <v>685</v>
      </c>
      <c r="D9" s="16" t="s">
        <v>686</v>
      </c>
      <c r="E9" s="17">
        <v>2</v>
      </c>
      <c r="F9" s="18" t="s">
        <v>12</v>
      </c>
      <c r="G9" s="16" t="s">
        <v>687</v>
      </c>
      <c r="H9" s="16" t="s">
        <v>688</v>
      </c>
    </row>
    <row r="10" spans="1:8" ht="120" customHeight="1" x14ac:dyDescent="0.25">
      <c r="A10" s="19" t="s">
        <v>675</v>
      </c>
      <c r="B10" s="19" t="s">
        <v>676</v>
      </c>
      <c r="C10" s="20" t="s">
        <v>689</v>
      </c>
      <c r="D10" s="21" t="s">
        <v>690</v>
      </c>
      <c r="E10" s="17">
        <v>2</v>
      </c>
      <c r="F10" s="18" t="s">
        <v>12</v>
      </c>
      <c r="G10" s="21" t="s">
        <v>691</v>
      </c>
      <c r="H10" s="21" t="s">
        <v>692</v>
      </c>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Normal="100" workbookViewId="0">
      <pane ySplit="1" topLeftCell="A34" activePane="bottomLeft" state="frozen"/>
      <selection pane="bottomLeft" activeCell="F12" sqref="F12"/>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0</v>
      </c>
      <c r="B1" s="12" t="s">
        <v>1</v>
      </c>
      <c r="C1" s="12" t="s">
        <v>2</v>
      </c>
      <c r="D1" s="12" t="s">
        <v>3</v>
      </c>
      <c r="E1" s="12" t="s">
        <v>4</v>
      </c>
      <c r="F1" s="12" t="s">
        <v>5</v>
      </c>
      <c r="G1" s="12" t="s">
        <v>6</v>
      </c>
      <c r="H1" s="12" t="s">
        <v>7</v>
      </c>
    </row>
    <row r="2" spans="1:8" ht="18" customHeight="1" x14ac:dyDescent="0.25">
      <c r="A2" s="13" t="s">
        <v>693</v>
      </c>
      <c r="B2" s="13" t="s">
        <v>694</v>
      </c>
      <c r="C2" s="13"/>
      <c r="D2" s="13"/>
      <c r="E2" s="13"/>
      <c r="F2" s="13"/>
      <c r="G2" s="13"/>
      <c r="H2" s="13"/>
    </row>
    <row r="3" spans="1:8" ht="75" customHeight="1" x14ac:dyDescent="0.25">
      <c r="A3" s="14" t="s">
        <v>693</v>
      </c>
      <c r="B3" s="14" t="s">
        <v>694</v>
      </c>
      <c r="C3" s="15" t="s">
        <v>695</v>
      </c>
      <c r="D3" s="16" t="s">
        <v>696</v>
      </c>
      <c r="E3" s="17">
        <v>2</v>
      </c>
      <c r="F3" s="18" t="s">
        <v>53</v>
      </c>
      <c r="G3" s="16" t="s">
        <v>697</v>
      </c>
      <c r="H3" s="16" t="s">
        <v>698</v>
      </c>
    </row>
    <row r="4" spans="1:8" ht="135" customHeight="1" x14ac:dyDescent="0.25">
      <c r="A4" s="19" t="s">
        <v>693</v>
      </c>
      <c r="B4" s="19" t="s">
        <v>694</v>
      </c>
      <c r="C4" s="20" t="s">
        <v>699</v>
      </c>
      <c r="D4" s="21" t="s">
        <v>700</v>
      </c>
      <c r="E4" s="17">
        <v>2</v>
      </c>
      <c r="F4" s="18" t="s">
        <v>53</v>
      </c>
      <c r="G4" s="21" t="s">
        <v>701</v>
      </c>
      <c r="H4" s="21" t="s">
        <v>702</v>
      </c>
    </row>
    <row r="5" spans="1:8" ht="18" customHeight="1" x14ac:dyDescent="0.25">
      <c r="A5" s="13" t="s">
        <v>703</v>
      </c>
      <c r="B5" s="13" t="s">
        <v>704</v>
      </c>
      <c r="C5" s="13"/>
      <c r="D5" s="13"/>
      <c r="E5" s="13"/>
      <c r="F5" s="13"/>
      <c r="G5" s="13"/>
      <c r="H5" s="13"/>
    </row>
    <row r="6" spans="1:8" ht="105" customHeight="1" x14ac:dyDescent="0.25">
      <c r="A6" s="14" t="s">
        <v>703</v>
      </c>
      <c r="B6" s="14" t="s">
        <v>704</v>
      </c>
      <c r="C6" s="15" t="s">
        <v>705</v>
      </c>
      <c r="D6" s="16" t="s">
        <v>706</v>
      </c>
      <c r="E6" s="17">
        <v>2</v>
      </c>
      <c r="F6" s="18" t="s">
        <v>46</v>
      </c>
      <c r="G6" s="16" t="s">
        <v>707</v>
      </c>
      <c r="H6" s="16"/>
    </row>
    <row r="7" spans="1:8" ht="75" customHeight="1" x14ac:dyDescent="0.25">
      <c r="A7" s="19" t="s">
        <v>703</v>
      </c>
      <c r="B7" s="19" t="s">
        <v>704</v>
      </c>
      <c r="C7" s="20" t="s">
        <v>708</v>
      </c>
      <c r="D7" s="21" t="s">
        <v>709</v>
      </c>
      <c r="E7" s="17">
        <v>2</v>
      </c>
      <c r="F7" s="18" t="s">
        <v>46</v>
      </c>
      <c r="G7" s="21" t="s">
        <v>710</v>
      </c>
      <c r="H7" s="21"/>
    </row>
    <row r="8" spans="1:8" ht="45" customHeight="1" x14ac:dyDescent="0.25">
      <c r="A8" s="14" t="s">
        <v>703</v>
      </c>
      <c r="B8" s="14" t="s">
        <v>704</v>
      </c>
      <c r="C8" s="15" t="s">
        <v>711</v>
      </c>
      <c r="D8" s="16" t="s">
        <v>712</v>
      </c>
      <c r="E8" s="23">
        <v>3</v>
      </c>
      <c r="F8" s="18" t="s">
        <v>46</v>
      </c>
      <c r="G8" s="16"/>
      <c r="H8" s="16"/>
    </row>
    <row r="9" spans="1:8" ht="18" customHeight="1" x14ac:dyDescent="0.25">
      <c r="A9" s="13" t="s">
        <v>713</v>
      </c>
      <c r="B9" s="13" t="s">
        <v>714</v>
      </c>
      <c r="C9" s="13"/>
      <c r="D9" s="13"/>
      <c r="E9" s="13"/>
      <c r="F9" s="13"/>
      <c r="G9" s="13"/>
      <c r="H9" s="13"/>
    </row>
    <row r="10" spans="1:8" ht="90" customHeight="1" x14ac:dyDescent="0.25">
      <c r="A10" s="14" t="s">
        <v>713</v>
      </c>
      <c r="B10" s="14" t="s">
        <v>714</v>
      </c>
      <c r="C10" s="15" t="s">
        <v>715</v>
      </c>
      <c r="D10" s="16" t="s">
        <v>716</v>
      </c>
      <c r="E10" s="17">
        <v>2</v>
      </c>
      <c r="F10" s="18" t="s">
        <v>12</v>
      </c>
      <c r="G10" s="16" t="s">
        <v>717</v>
      </c>
      <c r="H10" s="16" t="s">
        <v>718</v>
      </c>
    </row>
    <row r="11" spans="1:8" ht="106.5" customHeight="1" x14ac:dyDescent="0.25">
      <c r="A11" s="19" t="s">
        <v>713</v>
      </c>
      <c r="B11" s="19" t="s">
        <v>714</v>
      </c>
      <c r="C11" s="20" t="s">
        <v>719</v>
      </c>
      <c r="D11" s="21" t="s">
        <v>720</v>
      </c>
      <c r="E11" s="17">
        <v>2</v>
      </c>
      <c r="F11" s="18" t="s">
        <v>53</v>
      </c>
      <c r="G11" s="21" t="s">
        <v>721</v>
      </c>
      <c r="H11" s="21" t="s">
        <v>722</v>
      </c>
    </row>
    <row r="12" spans="1:8" ht="87" customHeight="1" x14ac:dyDescent="0.25">
      <c r="A12" s="14" t="s">
        <v>713</v>
      </c>
      <c r="B12" s="14" t="s">
        <v>714</v>
      </c>
      <c r="C12" s="15" t="s">
        <v>723</v>
      </c>
      <c r="D12" s="16" t="s">
        <v>724</v>
      </c>
      <c r="E12" s="17">
        <v>2</v>
      </c>
      <c r="F12" s="18" t="s">
        <v>53</v>
      </c>
      <c r="G12" s="16" t="s">
        <v>725</v>
      </c>
      <c r="H12" s="16" t="s">
        <v>726</v>
      </c>
    </row>
    <row r="13" spans="1:8" ht="73.150000000000006" customHeight="1" x14ac:dyDescent="0.25">
      <c r="A13" s="19" t="s">
        <v>713</v>
      </c>
      <c r="B13" s="19" t="s">
        <v>714</v>
      </c>
      <c r="C13" s="20" t="s">
        <v>727</v>
      </c>
      <c r="D13" s="21" t="s">
        <v>728</v>
      </c>
      <c r="E13" s="17">
        <v>2</v>
      </c>
      <c r="F13" s="18" t="s">
        <v>46</v>
      </c>
      <c r="G13" s="21" t="s">
        <v>729</v>
      </c>
      <c r="H13" s="21"/>
    </row>
    <row r="14" spans="1:8" ht="100.5" customHeight="1" x14ac:dyDescent="0.25">
      <c r="A14" s="14" t="s">
        <v>713</v>
      </c>
      <c r="B14" s="14" t="s">
        <v>714</v>
      </c>
      <c r="C14" s="15" t="s">
        <v>730</v>
      </c>
      <c r="D14" s="16" t="s">
        <v>731</v>
      </c>
      <c r="E14" s="23">
        <v>3</v>
      </c>
      <c r="F14" s="18" t="s">
        <v>46</v>
      </c>
      <c r="G14" s="16" t="s">
        <v>732</v>
      </c>
      <c r="H14" s="16"/>
    </row>
    <row r="15" spans="1:8" ht="18" customHeight="1" x14ac:dyDescent="0.25">
      <c r="A15" s="13" t="s">
        <v>733</v>
      </c>
      <c r="B15" s="13" t="s">
        <v>734</v>
      </c>
      <c r="C15" s="13"/>
      <c r="D15" s="13"/>
      <c r="E15" s="13"/>
      <c r="F15" s="13"/>
      <c r="G15" s="13"/>
      <c r="H15" s="13"/>
    </row>
    <row r="16" spans="1:8" ht="60" customHeight="1" x14ac:dyDescent="0.25">
      <c r="A16" s="14" t="s">
        <v>733</v>
      </c>
      <c r="B16" s="14" t="s">
        <v>734</v>
      </c>
      <c r="C16" s="15" t="s">
        <v>735</v>
      </c>
      <c r="D16" s="16" t="s">
        <v>736</v>
      </c>
      <c r="E16" s="22">
        <v>1</v>
      </c>
      <c r="F16" s="18" t="s">
        <v>12</v>
      </c>
      <c r="G16" s="16" t="s">
        <v>737</v>
      </c>
      <c r="H16" s="16" t="s">
        <v>738</v>
      </c>
    </row>
    <row r="17" spans="1:8" ht="90" customHeight="1" x14ac:dyDescent="0.25">
      <c r="A17" s="19" t="s">
        <v>733</v>
      </c>
      <c r="B17" s="19" t="s">
        <v>734</v>
      </c>
      <c r="C17" s="20" t="s">
        <v>739</v>
      </c>
      <c r="D17" s="21" t="s">
        <v>740</v>
      </c>
      <c r="E17" s="22">
        <v>1</v>
      </c>
      <c r="F17" s="18" t="s">
        <v>12</v>
      </c>
      <c r="G17" s="21" t="s">
        <v>741</v>
      </c>
      <c r="H17" s="21" t="s">
        <v>742</v>
      </c>
    </row>
    <row r="18" spans="1:8" ht="45" customHeight="1" x14ac:dyDescent="0.25">
      <c r="A18" s="14" t="s">
        <v>733</v>
      </c>
      <c r="B18" s="14" t="s">
        <v>734</v>
      </c>
      <c r="C18" s="15" t="s">
        <v>743</v>
      </c>
      <c r="D18" s="16" t="s">
        <v>744</v>
      </c>
      <c r="E18" s="22">
        <v>1</v>
      </c>
      <c r="F18" s="18" t="s">
        <v>12</v>
      </c>
      <c r="G18" s="16" t="s">
        <v>745</v>
      </c>
      <c r="H18" s="16" t="s">
        <v>746</v>
      </c>
    </row>
    <row r="19" spans="1:8" ht="105.75" customHeight="1" x14ac:dyDescent="0.25">
      <c r="A19" s="19" t="s">
        <v>733</v>
      </c>
      <c r="B19" s="19" t="s">
        <v>734</v>
      </c>
      <c r="C19" s="20" t="s">
        <v>747</v>
      </c>
      <c r="D19" s="21" t="s">
        <v>748</v>
      </c>
      <c r="E19" s="22">
        <v>1</v>
      </c>
      <c r="F19" s="18" t="s">
        <v>12</v>
      </c>
      <c r="G19" s="21" t="s">
        <v>749</v>
      </c>
      <c r="H19" s="21" t="s">
        <v>750</v>
      </c>
    </row>
    <row r="20" spans="1:8" ht="135" customHeight="1" x14ac:dyDescent="0.25">
      <c r="A20" s="14" t="s">
        <v>733</v>
      </c>
      <c r="B20" s="14" t="s">
        <v>734</v>
      </c>
      <c r="C20" s="15" t="s">
        <v>751</v>
      </c>
      <c r="D20" s="16" t="s">
        <v>752</v>
      </c>
      <c r="E20" s="22">
        <v>1</v>
      </c>
      <c r="F20" s="18" t="s">
        <v>12</v>
      </c>
      <c r="G20" s="16" t="s">
        <v>753</v>
      </c>
      <c r="H20" s="16" t="s">
        <v>754</v>
      </c>
    </row>
    <row r="21" spans="1:8" ht="105" customHeight="1" x14ac:dyDescent="0.25">
      <c r="A21" s="19" t="s">
        <v>733</v>
      </c>
      <c r="B21" s="19" t="s">
        <v>734</v>
      </c>
      <c r="C21" s="20" t="s">
        <v>755</v>
      </c>
      <c r="D21" s="21" t="s">
        <v>756</v>
      </c>
      <c r="E21" s="17">
        <v>2</v>
      </c>
      <c r="F21" s="18" t="s">
        <v>12</v>
      </c>
      <c r="G21" s="21" t="s">
        <v>757</v>
      </c>
      <c r="H21" s="21" t="s">
        <v>758</v>
      </c>
    </row>
    <row r="22" spans="1:8" ht="90" customHeight="1" x14ac:dyDescent="0.25">
      <c r="A22" s="14" t="s">
        <v>733</v>
      </c>
      <c r="B22" s="14" t="s">
        <v>734</v>
      </c>
      <c r="C22" s="15" t="s">
        <v>759</v>
      </c>
      <c r="D22" s="16" t="s">
        <v>760</v>
      </c>
      <c r="E22" s="17">
        <v>2</v>
      </c>
      <c r="F22" s="18" t="s">
        <v>46</v>
      </c>
      <c r="G22" s="16" t="s">
        <v>761</v>
      </c>
      <c r="H22" s="16"/>
    </row>
    <row r="23" spans="1:8" ht="73.900000000000006" customHeight="1" x14ac:dyDescent="0.25">
      <c r="A23" s="19" t="s">
        <v>733</v>
      </c>
      <c r="B23" s="19" t="s">
        <v>734</v>
      </c>
      <c r="C23" s="20" t="s">
        <v>762</v>
      </c>
      <c r="D23" s="21" t="s">
        <v>763</v>
      </c>
      <c r="E23" s="17">
        <v>2</v>
      </c>
      <c r="F23" s="18" t="s">
        <v>12</v>
      </c>
      <c r="G23" s="21" t="s">
        <v>764</v>
      </c>
      <c r="H23" s="21" t="s">
        <v>765</v>
      </c>
    </row>
    <row r="24" spans="1:8" ht="107.25" customHeight="1" x14ac:dyDescent="0.25">
      <c r="A24" s="14" t="s">
        <v>733</v>
      </c>
      <c r="B24" s="14" t="s">
        <v>734</v>
      </c>
      <c r="C24" s="15" t="s">
        <v>766</v>
      </c>
      <c r="D24" s="16" t="s">
        <v>767</v>
      </c>
      <c r="E24" s="17">
        <v>2</v>
      </c>
      <c r="F24" s="18" t="s">
        <v>12</v>
      </c>
      <c r="G24" s="16" t="s">
        <v>768</v>
      </c>
      <c r="H24" s="16" t="s">
        <v>769</v>
      </c>
    </row>
    <row r="25" spans="1:8" ht="90" customHeight="1" x14ac:dyDescent="0.25">
      <c r="A25" s="19" t="s">
        <v>733</v>
      </c>
      <c r="B25" s="19" t="s">
        <v>734</v>
      </c>
      <c r="C25" s="20" t="s">
        <v>770</v>
      </c>
      <c r="D25" s="21" t="s">
        <v>771</v>
      </c>
      <c r="E25" s="17">
        <v>2</v>
      </c>
      <c r="F25" s="18" t="s">
        <v>12</v>
      </c>
      <c r="G25" s="21" t="s">
        <v>772</v>
      </c>
      <c r="H25" s="21" t="s">
        <v>773</v>
      </c>
    </row>
    <row r="26" spans="1:8" ht="100.5" customHeight="1" x14ac:dyDescent="0.25">
      <c r="A26" s="14" t="s">
        <v>733</v>
      </c>
      <c r="B26" s="14" t="s">
        <v>734</v>
      </c>
      <c r="C26" s="15" t="s">
        <v>774</v>
      </c>
      <c r="D26" s="16" t="s">
        <v>775</v>
      </c>
      <c r="E26" s="17">
        <v>2</v>
      </c>
      <c r="F26" s="18" t="s">
        <v>12</v>
      </c>
      <c r="G26" s="16" t="s">
        <v>776</v>
      </c>
      <c r="H26" s="16" t="s">
        <v>777</v>
      </c>
    </row>
    <row r="27" spans="1:8" ht="75" customHeight="1" x14ac:dyDescent="0.25">
      <c r="A27" s="19" t="s">
        <v>733</v>
      </c>
      <c r="B27" s="19" t="s">
        <v>734</v>
      </c>
      <c r="C27" s="20" t="s">
        <v>778</v>
      </c>
      <c r="D27" s="21" t="s">
        <v>779</v>
      </c>
      <c r="E27" s="23">
        <v>3</v>
      </c>
      <c r="F27" s="18" t="s">
        <v>46</v>
      </c>
      <c r="G27" s="21" t="s">
        <v>780</v>
      </c>
      <c r="H27" s="21"/>
    </row>
    <row r="28" spans="1:8" ht="30" customHeight="1" x14ac:dyDescent="0.25">
      <c r="A28" s="14" t="s">
        <v>733</v>
      </c>
      <c r="B28" s="14" t="s">
        <v>734</v>
      </c>
      <c r="C28" s="15" t="s">
        <v>781</v>
      </c>
      <c r="D28" s="16" t="s">
        <v>782</v>
      </c>
      <c r="E28" s="23">
        <v>3</v>
      </c>
      <c r="F28" s="18" t="s">
        <v>46</v>
      </c>
      <c r="G28" s="16" t="s">
        <v>783</v>
      </c>
      <c r="H28" s="16"/>
    </row>
    <row r="29" spans="1:8" ht="60" customHeight="1" x14ac:dyDescent="0.25">
      <c r="A29" s="19" t="s">
        <v>733</v>
      </c>
      <c r="B29" s="19" t="s">
        <v>734</v>
      </c>
      <c r="C29" s="20" t="s">
        <v>784</v>
      </c>
      <c r="D29" s="21" t="s">
        <v>785</v>
      </c>
      <c r="E29" s="23">
        <v>3</v>
      </c>
      <c r="F29" s="18" t="s">
        <v>46</v>
      </c>
      <c r="G29" s="21" t="s">
        <v>786</v>
      </c>
      <c r="H29" s="21"/>
    </row>
    <row r="30" spans="1:8" ht="90" customHeight="1" x14ac:dyDescent="0.25">
      <c r="A30" s="14" t="s">
        <v>733</v>
      </c>
      <c r="B30" s="14" t="s">
        <v>734</v>
      </c>
      <c r="C30" s="15" t="s">
        <v>787</v>
      </c>
      <c r="D30" s="16" t="s">
        <v>788</v>
      </c>
      <c r="E30" s="23">
        <v>3</v>
      </c>
      <c r="F30" s="18" t="s">
        <v>46</v>
      </c>
      <c r="G30" s="16" t="s">
        <v>789</v>
      </c>
      <c r="H30" s="16"/>
    </row>
    <row r="31" spans="1:8" ht="75" customHeight="1" x14ac:dyDescent="0.25">
      <c r="A31" s="19" t="s">
        <v>733</v>
      </c>
      <c r="B31" s="19" t="s">
        <v>734</v>
      </c>
      <c r="C31" s="20" t="s">
        <v>790</v>
      </c>
      <c r="D31" s="21" t="s">
        <v>791</v>
      </c>
      <c r="E31" s="23">
        <v>3</v>
      </c>
      <c r="F31" s="18" t="s">
        <v>46</v>
      </c>
      <c r="G31" s="21" t="s">
        <v>792</v>
      </c>
      <c r="H31" s="21"/>
    </row>
    <row r="32" spans="1:8" ht="18" customHeight="1" x14ac:dyDescent="0.25">
      <c r="A32" s="13" t="s">
        <v>793</v>
      </c>
      <c r="B32" s="13" t="s">
        <v>794</v>
      </c>
      <c r="C32" s="13"/>
      <c r="D32" s="13"/>
      <c r="E32" s="13"/>
      <c r="F32" s="13"/>
      <c r="G32" s="13"/>
      <c r="H32" s="13"/>
    </row>
    <row r="33" spans="1:8" ht="90" customHeight="1" x14ac:dyDescent="0.25">
      <c r="A33" s="14" t="s">
        <v>793</v>
      </c>
      <c r="B33" s="14" t="s">
        <v>794</v>
      </c>
      <c r="C33" s="15" t="s">
        <v>795</v>
      </c>
      <c r="D33" s="16" t="s">
        <v>796</v>
      </c>
      <c r="E33" s="17">
        <v>2</v>
      </c>
      <c r="F33" s="18" t="s">
        <v>12</v>
      </c>
      <c r="G33" s="16" t="s">
        <v>797</v>
      </c>
      <c r="H33" s="16" t="s">
        <v>798</v>
      </c>
    </row>
    <row r="34" spans="1:8" ht="86.25" customHeight="1" x14ac:dyDescent="0.25">
      <c r="A34" s="19" t="s">
        <v>793</v>
      </c>
      <c r="B34" s="19" t="s">
        <v>794</v>
      </c>
      <c r="C34" s="20" t="s">
        <v>799</v>
      </c>
      <c r="D34" s="21" t="s">
        <v>800</v>
      </c>
      <c r="E34" s="17">
        <v>2</v>
      </c>
      <c r="F34" s="18" t="s">
        <v>53</v>
      </c>
      <c r="G34" s="21" t="s">
        <v>801</v>
      </c>
      <c r="H34" s="21" t="s">
        <v>802</v>
      </c>
    </row>
    <row r="35" spans="1:8" ht="120" customHeight="1" x14ac:dyDescent="0.25">
      <c r="A35" s="14" t="s">
        <v>793</v>
      </c>
      <c r="B35" s="14" t="s">
        <v>794</v>
      </c>
      <c r="C35" s="15" t="s">
        <v>803</v>
      </c>
      <c r="D35" s="16" t="s">
        <v>804</v>
      </c>
      <c r="E35" s="17">
        <v>2</v>
      </c>
      <c r="F35" s="18" t="s">
        <v>53</v>
      </c>
      <c r="G35" s="16" t="s">
        <v>805</v>
      </c>
      <c r="H35" s="16" t="s">
        <v>806</v>
      </c>
    </row>
    <row r="36" spans="1:8" ht="96" customHeight="1" x14ac:dyDescent="0.25">
      <c r="A36" s="19" t="s">
        <v>793</v>
      </c>
      <c r="B36" s="19" t="s">
        <v>794</v>
      </c>
      <c r="C36" s="20" t="s">
        <v>807</v>
      </c>
      <c r="D36" s="21" t="s">
        <v>808</v>
      </c>
      <c r="E36" s="17">
        <v>2</v>
      </c>
      <c r="F36" s="18" t="s">
        <v>12</v>
      </c>
      <c r="G36" s="21" t="s">
        <v>809</v>
      </c>
      <c r="H36" s="21" t="s">
        <v>810</v>
      </c>
    </row>
    <row r="37" spans="1:8" ht="105" customHeight="1" x14ac:dyDescent="0.25">
      <c r="A37" s="14" t="s">
        <v>793</v>
      </c>
      <c r="B37" s="14" t="s">
        <v>794</v>
      </c>
      <c r="C37" s="15" t="s">
        <v>811</v>
      </c>
      <c r="D37" s="16" t="s">
        <v>812</v>
      </c>
      <c r="E37" s="17">
        <v>2</v>
      </c>
      <c r="F37" s="18" t="s">
        <v>46</v>
      </c>
      <c r="G37" s="16" t="s">
        <v>813</v>
      </c>
      <c r="H37" s="16"/>
    </row>
    <row r="38" spans="1:8" ht="18" customHeight="1" x14ac:dyDescent="0.25">
      <c r="A38" s="13" t="s">
        <v>814</v>
      </c>
      <c r="B38" s="13" t="s">
        <v>815</v>
      </c>
      <c r="C38" s="13"/>
      <c r="D38" s="13"/>
      <c r="E38" s="13"/>
      <c r="F38" s="13"/>
      <c r="G38" s="13"/>
      <c r="H38" s="13"/>
    </row>
    <row r="39" spans="1:8" ht="75" customHeight="1" x14ac:dyDescent="0.25">
      <c r="A39" s="14" t="s">
        <v>814</v>
      </c>
      <c r="B39" s="14" t="s">
        <v>815</v>
      </c>
      <c r="C39" s="15" t="s">
        <v>816</v>
      </c>
      <c r="D39" s="16" t="s">
        <v>817</v>
      </c>
      <c r="E39" s="17">
        <v>2</v>
      </c>
      <c r="F39" s="18" t="s">
        <v>12</v>
      </c>
      <c r="G39" s="16" t="s">
        <v>818</v>
      </c>
      <c r="H39" s="16" t="s">
        <v>819</v>
      </c>
    </row>
    <row r="40" spans="1:8" ht="106.5" customHeight="1" x14ac:dyDescent="0.25">
      <c r="A40" s="19" t="s">
        <v>814</v>
      </c>
      <c r="B40" s="19" t="s">
        <v>815</v>
      </c>
      <c r="C40" s="20" t="s">
        <v>820</v>
      </c>
      <c r="D40" s="21" t="s">
        <v>821</v>
      </c>
      <c r="E40" s="17">
        <v>2</v>
      </c>
      <c r="F40" s="18" t="s">
        <v>12</v>
      </c>
      <c r="G40" s="21" t="s">
        <v>822</v>
      </c>
      <c r="H40" s="21" t="s">
        <v>823</v>
      </c>
    </row>
    <row r="41" spans="1:8" ht="18" customHeight="1" x14ac:dyDescent="0.25">
      <c r="A41" s="13" t="s">
        <v>824</v>
      </c>
      <c r="B41" s="13" t="s">
        <v>825</v>
      </c>
      <c r="C41" s="13"/>
      <c r="D41" s="13"/>
      <c r="E41" s="13"/>
      <c r="F41" s="13"/>
      <c r="G41" s="13"/>
      <c r="H41" s="13"/>
    </row>
    <row r="42" spans="1:8" ht="138" customHeight="1" x14ac:dyDescent="0.25">
      <c r="A42" s="14" t="s">
        <v>824</v>
      </c>
      <c r="B42" s="14" t="s">
        <v>825</v>
      </c>
      <c r="C42" s="15" t="s">
        <v>826</v>
      </c>
      <c r="D42" s="16" t="s">
        <v>827</v>
      </c>
      <c r="E42" s="17">
        <v>2</v>
      </c>
      <c r="F42" s="18" t="s">
        <v>12</v>
      </c>
      <c r="G42" s="16" t="s">
        <v>828</v>
      </c>
      <c r="H42" s="16" t="s">
        <v>829</v>
      </c>
    </row>
    <row r="43" spans="1:8" ht="105" customHeight="1" x14ac:dyDescent="0.25">
      <c r="A43" s="19" t="s">
        <v>824</v>
      </c>
      <c r="B43" s="19" t="s">
        <v>825</v>
      </c>
      <c r="C43" s="20" t="s">
        <v>830</v>
      </c>
      <c r="D43" s="21" t="s">
        <v>831</v>
      </c>
      <c r="E43" s="17">
        <v>2</v>
      </c>
      <c r="F43" s="18" t="s">
        <v>12</v>
      </c>
      <c r="G43" s="21" t="s">
        <v>832</v>
      </c>
      <c r="H43" s="21" t="s">
        <v>833</v>
      </c>
    </row>
    <row r="44" spans="1:8" ht="111" customHeight="1" x14ac:dyDescent="0.25">
      <c r="A44" s="14" t="s">
        <v>824</v>
      </c>
      <c r="B44" s="14" t="s">
        <v>825</v>
      </c>
      <c r="C44" s="15" t="s">
        <v>834</v>
      </c>
      <c r="D44" s="16" t="s">
        <v>835</v>
      </c>
      <c r="E44" s="17">
        <v>2</v>
      </c>
      <c r="F44" s="18" t="s">
        <v>12</v>
      </c>
      <c r="G44" s="16" t="s">
        <v>836</v>
      </c>
      <c r="H44" s="16" t="s">
        <v>837</v>
      </c>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75" zoomScaleNormal="75" workbookViewId="0">
      <pane ySplit="1" topLeftCell="A25" activePane="bottomLeft" state="frozen"/>
      <selection pane="bottomLeft" activeCell="F28" sqref="F28"/>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5">
      <c r="A1" s="12" t="s">
        <v>0</v>
      </c>
      <c r="B1" s="12" t="s">
        <v>1</v>
      </c>
      <c r="C1" s="12" t="s">
        <v>2</v>
      </c>
      <c r="D1" s="12" t="s">
        <v>3</v>
      </c>
      <c r="E1" s="12" t="s">
        <v>4</v>
      </c>
      <c r="F1" s="12" t="s">
        <v>5</v>
      </c>
      <c r="G1" s="12" t="s">
        <v>6</v>
      </c>
      <c r="H1" s="12" t="s">
        <v>7</v>
      </c>
    </row>
    <row r="2" spans="1:8" x14ac:dyDescent="0.25">
      <c r="A2" s="13" t="s">
        <v>838</v>
      </c>
      <c r="B2" s="13" t="s">
        <v>839</v>
      </c>
      <c r="C2" s="13"/>
      <c r="D2" s="13"/>
      <c r="E2" s="13"/>
      <c r="F2" s="13"/>
      <c r="G2" s="13"/>
      <c r="H2" s="13"/>
    </row>
    <row r="3" spans="1:8" ht="210" customHeight="1" x14ac:dyDescent="0.25">
      <c r="A3" s="14" t="s">
        <v>838</v>
      </c>
      <c r="B3" s="14" t="s">
        <v>839</v>
      </c>
      <c r="C3" s="15" t="s">
        <v>840</v>
      </c>
      <c r="D3" s="16" t="s">
        <v>841</v>
      </c>
      <c r="E3" s="17">
        <v>2</v>
      </c>
      <c r="F3" s="18" t="s">
        <v>12</v>
      </c>
      <c r="G3" s="16" t="s">
        <v>842</v>
      </c>
      <c r="H3" s="16" t="s">
        <v>843</v>
      </c>
    </row>
    <row r="4" spans="1:8" ht="180" customHeight="1" x14ac:dyDescent="0.25">
      <c r="A4" s="19" t="s">
        <v>838</v>
      </c>
      <c r="B4" s="19" t="s">
        <v>839</v>
      </c>
      <c r="C4" s="20" t="s">
        <v>844</v>
      </c>
      <c r="D4" s="21" t="s">
        <v>845</v>
      </c>
      <c r="E4" s="17">
        <v>2</v>
      </c>
      <c r="F4" s="18" t="s">
        <v>12</v>
      </c>
      <c r="G4" s="16" t="s">
        <v>846</v>
      </c>
      <c r="H4" s="21" t="s">
        <v>847</v>
      </c>
    </row>
    <row r="5" spans="1:8" ht="45" customHeight="1" x14ac:dyDescent="0.25">
      <c r="A5" s="14" t="s">
        <v>838</v>
      </c>
      <c r="B5" s="14" t="s">
        <v>839</v>
      </c>
      <c r="C5" s="15" t="s">
        <v>848</v>
      </c>
      <c r="D5" s="16" t="s">
        <v>849</v>
      </c>
      <c r="E5" s="23">
        <v>3</v>
      </c>
      <c r="F5" s="18" t="s">
        <v>46</v>
      </c>
      <c r="G5" s="21"/>
      <c r="H5" s="16"/>
    </row>
    <row r="6" spans="1:8" ht="60" customHeight="1" x14ac:dyDescent="0.25">
      <c r="A6" s="19" t="s">
        <v>838</v>
      </c>
      <c r="B6" s="19" t="s">
        <v>839</v>
      </c>
      <c r="C6" s="20" t="s">
        <v>850</v>
      </c>
      <c r="D6" s="21" t="s">
        <v>851</v>
      </c>
      <c r="E6" s="23">
        <v>3</v>
      </c>
      <c r="F6" s="18" t="s">
        <v>46</v>
      </c>
      <c r="G6" s="16"/>
      <c r="H6" s="21"/>
    </row>
    <row r="7" spans="1:8" x14ac:dyDescent="0.25">
      <c r="A7" s="13" t="s">
        <v>852</v>
      </c>
      <c r="B7" s="13" t="s">
        <v>853</v>
      </c>
      <c r="C7" s="13"/>
      <c r="D7" s="13"/>
      <c r="E7" s="13"/>
      <c r="F7" s="13"/>
      <c r="G7" s="13"/>
      <c r="H7" s="13"/>
    </row>
    <row r="8" spans="1:8" ht="165" customHeight="1" x14ac:dyDescent="0.25">
      <c r="A8" s="14" t="s">
        <v>852</v>
      </c>
      <c r="B8" s="14" t="s">
        <v>853</v>
      </c>
      <c r="C8" s="15" t="s">
        <v>854</v>
      </c>
      <c r="D8" s="16" t="s">
        <v>855</v>
      </c>
      <c r="E8" s="17">
        <v>2</v>
      </c>
      <c r="F8" s="18" t="s">
        <v>53</v>
      </c>
      <c r="G8" s="16" t="s">
        <v>856</v>
      </c>
      <c r="H8" s="16" t="s">
        <v>857</v>
      </c>
    </row>
    <row r="9" spans="1:8" ht="225" customHeight="1" x14ac:dyDescent="0.25">
      <c r="A9" s="19" t="s">
        <v>852</v>
      </c>
      <c r="B9" s="19" t="s">
        <v>853</v>
      </c>
      <c r="C9" s="20" t="s">
        <v>858</v>
      </c>
      <c r="D9" s="21" t="s">
        <v>859</v>
      </c>
      <c r="E9" s="17">
        <v>2</v>
      </c>
      <c r="F9" s="18" t="s">
        <v>12</v>
      </c>
      <c r="G9" s="21" t="s">
        <v>860</v>
      </c>
      <c r="H9" s="21" t="s">
        <v>861</v>
      </c>
    </row>
    <row r="10" spans="1:8" ht="150" customHeight="1" x14ac:dyDescent="0.25">
      <c r="A10" s="14" t="s">
        <v>852</v>
      </c>
      <c r="B10" s="14" t="s">
        <v>853</v>
      </c>
      <c r="C10" s="15" t="s">
        <v>862</v>
      </c>
      <c r="D10" s="16" t="s">
        <v>863</v>
      </c>
      <c r="E10" s="17">
        <v>2</v>
      </c>
      <c r="F10" s="18" t="s">
        <v>53</v>
      </c>
      <c r="G10" s="16" t="s">
        <v>864</v>
      </c>
      <c r="H10" s="16" t="s">
        <v>865</v>
      </c>
    </row>
    <row r="11" spans="1:8" ht="240" customHeight="1" x14ac:dyDescent="0.25">
      <c r="A11" s="19" t="s">
        <v>852</v>
      </c>
      <c r="B11" s="19" t="s">
        <v>853</v>
      </c>
      <c r="C11" s="20" t="s">
        <v>866</v>
      </c>
      <c r="D11" s="21" t="s">
        <v>867</v>
      </c>
      <c r="E11" s="23">
        <v>3</v>
      </c>
      <c r="F11" s="18" t="s">
        <v>53</v>
      </c>
      <c r="G11" s="21" t="s">
        <v>868</v>
      </c>
      <c r="H11" s="21" t="s">
        <v>869</v>
      </c>
    </row>
    <row r="12" spans="1:8" ht="195" customHeight="1" x14ac:dyDescent="0.25">
      <c r="A12" s="14" t="s">
        <v>852</v>
      </c>
      <c r="B12" s="14" t="s">
        <v>853</v>
      </c>
      <c r="C12" s="15" t="s">
        <v>870</v>
      </c>
      <c r="D12" s="16" t="s">
        <v>871</v>
      </c>
      <c r="E12" s="23">
        <v>3</v>
      </c>
      <c r="F12" s="18" t="s">
        <v>46</v>
      </c>
      <c r="G12" s="16" t="s">
        <v>872</v>
      </c>
      <c r="H12" s="16"/>
    </row>
    <row r="13" spans="1:8" x14ac:dyDescent="0.25">
      <c r="A13" s="13" t="s">
        <v>873</v>
      </c>
      <c r="B13" s="13" t="s">
        <v>874</v>
      </c>
      <c r="C13" s="13"/>
      <c r="D13" s="13"/>
      <c r="E13" s="13"/>
      <c r="F13" s="13"/>
      <c r="G13" s="13"/>
      <c r="H13" s="13"/>
    </row>
    <row r="14" spans="1:8" ht="150" customHeight="1" x14ac:dyDescent="0.25">
      <c r="A14" s="14" t="s">
        <v>873</v>
      </c>
      <c r="B14" s="14" t="s">
        <v>874</v>
      </c>
      <c r="C14" s="15" t="s">
        <v>875</v>
      </c>
      <c r="D14" s="16" t="s">
        <v>876</v>
      </c>
      <c r="E14" s="22">
        <v>1</v>
      </c>
      <c r="F14" s="18" t="s">
        <v>53</v>
      </c>
      <c r="G14" s="16" t="s">
        <v>877</v>
      </c>
      <c r="H14" s="16" t="s">
        <v>878</v>
      </c>
    </row>
    <row r="15" spans="1:8" ht="150" customHeight="1" x14ac:dyDescent="0.25">
      <c r="A15" s="19" t="s">
        <v>873</v>
      </c>
      <c r="B15" s="19" t="s">
        <v>874</v>
      </c>
      <c r="C15" s="20" t="s">
        <v>879</v>
      </c>
      <c r="D15" s="21" t="s">
        <v>880</v>
      </c>
      <c r="E15" s="22">
        <v>1</v>
      </c>
      <c r="F15" s="18" t="s">
        <v>53</v>
      </c>
      <c r="G15" s="21" t="s">
        <v>881</v>
      </c>
      <c r="H15" s="21" t="s">
        <v>882</v>
      </c>
    </row>
    <row r="16" spans="1:8" ht="150" customHeight="1" x14ac:dyDescent="0.25">
      <c r="A16" s="14" t="s">
        <v>873</v>
      </c>
      <c r="B16" s="14" t="s">
        <v>874</v>
      </c>
      <c r="C16" s="15" t="s">
        <v>883</v>
      </c>
      <c r="D16" s="16" t="s">
        <v>884</v>
      </c>
      <c r="E16" s="17">
        <v>2</v>
      </c>
      <c r="F16" s="18" t="s">
        <v>53</v>
      </c>
      <c r="G16" s="16" t="s">
        <v>885</v>
      </c>
      <c r="H16" s="16" t="s">
        <v>886</v>
      </c>
    </row>
    <row r="17" spans="1:8" ht="60" customHeight="1" x14ac:dyDescent="0.25">
      <c r="A17" s="19" t="s">
        <v>873</v>
      </c>
      <c r="B17" s="19" t="s">
        <v>874</v>
      </c>
      <c r="C17" s="20" t="s">
        <v>887</v>
      </c>
      <c r="D17" s="21" t="s">
        <v>888</v>
      </c>
      <c r="E17" s="23">
        <v>3</v>
      </c>
      <c r="F17" s="18" t="s">
        <v>46</v>
      </c>
      <c r="G17" s="21"/>
      <c r="H17" s="21"/>
    </row>
    <row r="18" spans="1:8" ht="195" customHeight="1" x14ac:dyDescent="0.25">
      <c r="A18" s="14" t="s">
        <v>873</v>
      </c>
      <c r="B18" s="14" t="s">
        <v>874</v>
      </c>
      <c r="C18" s="15" t="s">
        <v>889</v>
      </c>
      <c r="D18" s="16" t="s">
        <v>890</v>
      </c>
      <c r="E18" s="23">
        <v>3</v>
      </c>
      <c r="F18" s="18" t="s">
        <v>46</v>
      </c>
      <c r="G18" s="21" t="s">
        <v>891</v>
      </c>
      <c r="H18" s="16"/>
    </row>
    <row r="19" spans="1:8" x14ac:dyDescent="0.25">
      <c r="A19" s="13" t="s">
        <v>892</v>
      </c>
      <c r="B19" s="13" t="s">
        <v>893</v>
      </c>
      <c r="C19" s="13"/>
      <c r="D19" s="13"/>
      <c r="E19" s="13"/>
      <c r="F19" s="13"/>
      <c r="G19" s="13"/>
      <c r="H19" s="13"/>
    </row>
    <row r="20" spans="1:8" ht="135" customHeight="1" x14ac:dyDescent="0.25">
      <c r="A20" s="14" t="s">
        <v>892</v>
      </c>
      <c r="B20" s="14" t="s">
        <v>893</v>
      </c>
      <c r="C20" s="15" t="s">
        <v>894</v>
      </c>
      <c r="D20" s="16" t="s">
        <v>895</v>
      </c>
      <c r="E20" s="22">
        <v>1</v>
      </c>
      <c r="F20" s="18" t="s">
        <v>53</v>
      </c>
      <c r="G20" s="27" t="s">
        <v>896</v>
      </c>
      <c r="H20" s="16" t="s">
        <v>897</v>
      </c>
    </row>
    <row r="21" spans="1:8" ht="195" customHeight="1" x14ac:dyDescent="0.25">
      <c r="A21" s="19" t="s">
        <v>892</v>
      </c>
      <c r="B21" s="19" t="s">
        <v>893</v>
      </c>
      <c r="C21" s="20" t="s">
        <v>898</v>
      </c>
      <c r="D21" s="21" t="s">
        <v>899</v>
      </c>
      <c r="E21" s="17">
        <v>2</v>
      </c>
      <c r="F21" s="18" t="s">
        <v>53</v>
      </c>
      <c r="G21" s="27" t="s">
        <v>900</v>
      </c>
      <c r="H21" s="21" t="s">
        <v>901</v>
      </c>
    </row>
    <row r="22" spans="1:8" ht="180" customHeight="1" x14ac:dyDescent="0.25">
      <c r="A22" s="14" t="s">
        <v>892</v>
      </c>
      <c r="B22" s="14" t="s">
        <v>893</v>
      </c>
      <c r="C22" s="15" t="s">
        <v>902</v>
      </c>
      <c r="D22" s="16" t="s">
        <v>903</v>
      </c>
      <c r="E22" s="17">
        <v>2</v>
      </c>
      <c r="F22" s="18" t="s">
        <v>53</v>
      </c>
      <c r="G22" s="27" t="s">
        <v>904</v>
      </c>
      <c r="H22" s="16" t="s">
        <v>905</v>
      </c>
    </row>
    <row r="23" spans="1:8" ht="180" customHeight="1" x14ac:dyDescent="0.25">
      <c r="A23" s="19" t="s">
        <v>892</v>
      </c>
      <c r="B23" s="19" t="s">
        <v>893</v>
      </c>
      <c r="C23" s="20" t="s">
        <v>906</v>
      </c>
      <c r="D23" s="21" t="s">
        <v>907</v>
      </c>
      <c r="E23" s="17">
        <v>2</v>
      </c>
      <c r="F23" s="18" t="s">
        <v>53</v>
      </c>
      <c r="G23" s="21" t="s">
        <v>908</v>
      </c>
      <c r="H23" s="21" t="s">
        <v>909</v>
      </c>
    </row>
    <row r="24" spans="1:8" x14ac:dyDescent="0.25">
      <c r="A24" s="13" t="s">
        <v>910</v>
      </c>
      <c r="B24" s="13" t="s">
        <v>911</v>
      </c>
      <c r="C24" s="13"/>
      <c r="D24" s="13"/>
      <c r="E24" s="13"/>
      <c r="F24" s="13"/>
      <c r="G24" s="13"/>
      <c r="H24" s="13"/>
    </row>
    <row r="25" spans="1:8" ht="210" customHeight="1" x14ac:dyDescent="0.25">
      <c r="A25" s="14" t="s">
        <v>910</v>
      </c>
      <c r="B25" s="14" t="s">
        <v>911</v>
      </c>
      <c r="C25" s="15" t="s">
        <v>912</v>
      </c>
      <c r="D25" s="16" t="s">
        <v>913</v>
      </c>
      <c r="E25" s="17">
        <v>2</v>
      </c>
      <c r="F25" s="18" t="s">
        <v>12</v>
      </c>
      <c r="G25" s="16" t="s">
        <v>914</v>
      </c>
      <c r="H25" s="16" t="s">
        <v>915</v>
      </c>
    </row>
    <row r="26" spans="1:8" ht="210" customHeight="1" x14ac:dyDescent="0.25">
      <c r="A26" s="19" t="s">
        <v>910</v>
      </c>
      <c r="B26" s="19" t="s">
        <v>911</v>
      </c>
      <c r="C26" s="20" t="s">
        <v>916</v>
      </c>
      <c r="D26" s="21" t="s">
        <v>917</v>
      </c>
      <c r="E26" s="23">
        <v>3</v>
      </c>
      <c r="F26" s="18" t="s">
        <v>53</v>
      </c>
      <c r="G26" s="21" t="s">
        <v>918</v>
      </c>
      <c r="H26" s="21" t="s">
        <v>919</v>
      </c>
    </row>
    <row r="27" spans="1:8" x14ac:dyDescent="0.25">
      <c r="A27" s="13" t="s">
        <v>920</v>
      </c>
      <c r="B27" s="13" t="s">
        <v>921</v>
      </c>
      <c r="C27" s="13"/>
      <c r="D27" s="13"/>
      <c r="E27" s="13"/>
      <c r="F27" s="13"/>
      <c r="G27" s="13"/>
      <c r="H27" s="13"/>
    </row>
    <row r="28" spans="1:8" ht="210" customHeight="1" x14ac:dyDescent="0.25">
      <c r="A28" s="14" t="s">
        <v>920</v>
      </c>
      <c r="B28" s="14" t="s">
        <v>921</v>
      </c>
      <c r="C28" s="15" t="s">
        <v>922</v>
      </c>
      <c r="D28" s="16" t="s">
        <v>923</v>
      </c>
      <c r="E28" s="17">
        <v>2</v>
      </c>
      <c r="F28" s="18" t="s">
        <v>53</v>
      </c>
      <c r="G28" s="16" t="s">
        <v>924</v>
      </c>
      <c r="H28" s="16" t="s">
        <v>925</v>
      </c>
    </row>
    <row r="29" spans="1:8" ht="150" customHeight="1" x14ac:dyDescent="0.25">
      <c r="A29" s="19" t="s">
        <v>920</v>
      </c>
      <c r="B29" s="19" t="s">
        <v>921</v>
      </c>
      <c r="C29" s="20" t="s">
        <v>926</v>
      </c>
      <c r="D29" s="21" t="s">
        <v>927</v>
      </c>
      <c r="E29" s="23">
        <v>3</v>
      </c>
      <c r="F29" s="18" t="s">
        <v>46</v>
      </c>
      <c r="G29" s="21" t="s">
        <v>928</v>
      </c>
      <c r="H29" s="21"/>
    </row>
    <row r="30" spans="1:8" x14ac:dyDescent="0.25">
      <c r="A30" s="13" t="s">
        <v>929</v>
      </c>
      <c r="B30" s="13" t="s">
        <v>930</v>
      </c>
      <c r="C30" s="13"/>
      <c r="D30" s="13"/>
      <c r="E30" s="13"/>
      <c r="F30" s="13"/>
      <c r="G30" s="13"/>
      <c r="H30" s="13"/>
    </row>
    <row r="31" spans="1:8" ht="210" customHeight="1" x14ac:dyDescent="0.25">
      <c r="A31" s="14" t="s">
        <v>929</v>
      </c>
      <c r="B31" s="14" t="s">
        <v>930</v>
      </c>
      <c r="C31" s="15" t="s">
        <v>931</v>
      </c>
      <c r="D31" s="16" t="s">
        <v>932</v>
      </c>
      <c r="E31" s="23">
        <v>3</v>
      </c>
      <c r="F31" s="18" t="s">
        <v>46</v>
      </c>
      <c r="G31" s="16" t="s">
        <v>933</v>
      </c>
      <c r="H31" s="16"/>
    </row>
    <row r="32" spans="1:8" ht="45" customHeight="1" x14ac:dyDescent="0.25">
      <c r="A32" s="19" t="s">
        <v>929</v>
      </c>
      <c r="B32" s="19" t="s">
        <v>930</v>
      </c>
      <c r="C32" s="20" t="s">
        <v>934</v>
      </c>
      <c r="D32" s="21" t="s">
        <v>935</v>
      </c>
      <c r="E32" s="23">
        <v>3</v>
      </c>
      <c r="F32" s="18" t="s">
        <v>46</v>
      </c>
      <c r="G32" s="21"/>
      <c r="H32" s="21"/>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85" zoomScaleNormal="85" workbookViewId="0">
      <pane ySplit="1" topLeftCell="A2" activePane="bottomLeft" state="frozen"/>
      <selection pane="bottomLeft" activeCell="F9" sqref="F9"/>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0</v>
      </c>
      <c r="B1" s="12" t="s">
        <v>1</v>
      </c>
      <c r="C1" s="12" t="s">
        <v>2</v>
      </c>
      <c r="D1" s="12" t="s">
        <v>3</v>
      </c>
      <c r="E1" s="12" t="s">
        <v>4</v>
      </c>
      <c r="F1" s="12" t="s">
        <v>5</v>
      </c>
      <c r="G1" s="12" t="s">
        <v>6</v>
      </c>
      <c r="H1" s="12" t="s">
        <v>7</v>
      </c>
    </row>
    <row r="2" spans="1:8" ht="18" customHeight="1" x14ac:dyDescent="0.25">
      <c r="A2" s="13" t="s">
        <v>936</v>
      </c>
      <c r="B2" s="13" t="s">
        <v>937</v>
      </c>
      <c r="C2" s="13"/>
      <c r="D2" s="13"/>
      <c r="E2" s="13"/>
      <c r="F2" s="13"/>
      <c r="G2" s="13"/>
      <c r="H2" s="13"/>
    </row>
    <row r="3" spans="1:8" ht="90" customHeight="1" x14ac:dyDescent="0.25">
      <c r="A3" s="14" t="s">
        <v>936</v>
      </c>
      <c r="B3" s="14" t="s">
        <v>937</v>
      </c>
      <c r="C3" s="15" t="s">
        <v>938</v>
      </c>
      <c r="D3" s="16" t="s">
        <v>939</v>
      </c>
      <c r="E3" s="22">
        <v>1</v>
      </c>
      <c r="F3" s="18" t="s">
        <v>12</v>
      </c>
      <c r="G3" s="16" t="s">
        <v>940</v>
      </c>
      <c r="H3" s="16" t="s">
        <v>941</v>
      </c>
    </row>
    <row r="4" spans="1:8" ht="90" customHeight="1" x14ac:dyDescent="0.25">
      <c r="A4" s="19" t="s">
        <v>936</v>
      </c>
      <c r="B4" s="19" t="s">
        <v>937</v>
      </c>
      <c r="C4" s="20" t="s">
        <v>942</v>
      </c>
      <c r="D4" s="21" t="s">
        <v>943</v>
      </c>
      <c r="E4" s="17">
        <v>2</v>
      </c>
      <c r="F4" s="18" t="s">
        <v>12</v>
      </c>
      <c r="G4" s="21" t="s">
        <v>944</v>
      </c>
      <c r="H4" s="21" t="s">
        <v>945</v>
      </c>
    </row>
    <row r="5" spans="1:8" ht="60" customHeight="1" x14ac:dyDescent="0.25">
      <c r="A5" s="14" t="s">
        <v>936</v>
      </c>
      <c r="B5" s="14" t="s">
        <v>937</v>
      </c>
      <c r="C5" s="15" t="s">
        <v>946</v>
      </c>
      <c r="D5" s="16" t="s">
        <v>947</v>
      </c>
      <c r="E5" s="17">
        <v>2</v>
      </c>
      <c r="F5" s="18" t="s">
        <v>46</v>
      </c>
      <c r="G5" s="16" t="s">
        <v>948</v>
      </c>
      <c r="H5" s="16"/>
    </row>
    <row r="6" spans="1:8" ht="30" customHeight="1" x14ac:dyDescent="0.25">
      <c r="A6" s="19" t="s">
        <v>936</v>
      </c>
      <c r="B6" s="19" t="s">
        <v>937</v>
      </c>
      <c r="C6" s="20" t="s">
        <v>949</v>
      </c>
      <c r="D6" s="21" t="s">
        <v>950</v>
      </c>
      <c r="E6" s="23">
        <v>3</v>
      </c>
      <c r="F6" s="18" t="s">
        <v>46</v>
      </c>
      <c r="G6" s="21"/>
      <c r="H6" s="21"/>
    </row>
    <row r="7" spans="1:8" ht="30" customHeight="1" x14ac:dyDescent="0.25">
      <c r="A7" s="14" t="s">
        <v>936</v>
      </c>
      <c r="B7" s="14" t="s">
        <v>937</v>
      </c>
      <c r="C7" s="15" t="s">
        <v>951</v>
      </c>
      <c r="D7" s="16" t="s">
        <v>952</v>
      </c>
      <c r="E7" s="23">
        <v>3</v>
      </c>
      <c r="F7" s="18" t="s">
        <v>46</v>
      </c>
      <c r="G7" s="16"/>
      <c r="H7" s="16"/>
    </row>
    <row r="8" spans="1:8" ht="18" customHeight="1" x14ac:dyDescent="0.25">
      <c r="A8" s="13" t="s">
        <v>953</v>
      </c>
      <c r="B8" s="13" t="s">
        <v>954</v>
      </c>
      <c r="C8" s="13"/>
      <c r="D8" s="13"/>
      <c r="E8" s="13"/>
      <c r="F8" s="13"/>
      <c r="G8" s="13"/>
      <c r="H8" s="13"/>
    </row>
    <row r="9" spans="1:8" ht="90" customHeight="1" x14ac:dyDescent="0.25">
      <c r="A9" s="14" t="s">
        <v>953</v>
      </c>
      <c r="B9" s="14" t="s">
        <v>954</v>
      </c>
      <c r="C9" s="15" t="s">
        <v>955</v>
      </c>
      <c r="D9" s="16" t="s">
        <v>956</v>
      </c>
      <c r="E9" s="22">
        <v>1</v>
      </c>
      <c r="F9" s="18" t="s">
        <v>12</v>
      </c>
      <c r="G9" s="16" t="s">
        <v>957</v>
      </c>
      <c r="H9" s="16" t="s">
        <v>958</v>
      </c>
    </row>
    <row r="10" spans="1:8" ht="90" customHeight="1" x14ac:dyDescent="0.25">
      <c r="A10" s="19" t="s">
        <v>953</v>
      </c>
      <c r="B10" s="19" t="s">
        <v>954</v>
      </c>
      <c r="C10" s="20" t="s">
        <v>959</v>
      </c>
      <c r="D10" s="21" t="s">
        <v>960</v>
      </c>
      <c r="E10" s="22">
        <v>1</v>
      </c>
      <c r="F10" s="18" t="s">
        <v>12</v>
      </c>
      <c r="G10" s="21" t="s">
        <v>961</v>
      </c>
      <c r="H10" s="21" t="s">
        <v>962</v>
      </c>
    </row>
    <row r="11" spans="1:8" ht="18" customHeight="1" x14ac:dyDescent="0.25">
      <c r="A11" s="13" t="s">
        <v>963</v>
      </c>
      <c r="B11" s="13" t="s">
        <v>964</v>
      </c>
      <c r="C11" s="13"/>
      <c r="D11" s="13"/>
      <c r="E11" s="13"/>
      <c r="F11" s="13"/>
      <c r="G11" s="13"/>
      <c r="H11" s="13"/>
    </row>
    <row r="12" spans="1:8" ht="30" customHeight="1" x14ac:dyDescent="0.25">
      <c r="A12" s="14" t="s">
        <v>963</v>
      </c>
      <c r="B12" s="14" t="s">
        <v>964</v>
      </c>
      <c r="C12" s="15" t="s">
        <v>965</v>
      </c>
      <c r="D12" s="16" t="s">
        <v>966</v>
      </c>
      <c r="E12" s="17">
        <v>2</v>
      </c>
      <c r="F12" s="18" t="s">
        <v>12</v>
      </c>
      <c r="G12" s="16" t="s">
        <v>967</v>
      </c>
      <c r="H12" s="16" t="s">
        <v>968</v>
      </c>
    </row>
    <row r="13" spans="1:8" ht="30" customHeight="1" x14ac:dyDescent="0.25">
      <c r="A13" s="19" t="s">
        <v>963</v>
      </c>
      <c r="B13" s="19" t="s">
        <v>964</v>
      </c>
      <c r="C13" s="20" t="s">
        <v>969</v>
      </c>
      <c r="D13" s="21" t="s">
        <v>970</v>
      </c>
      <c r="E13" s="17">
        <v>2</v>
      </c>
      <c r="F13" s="18" t="s">
        <v>12</v>
      </c>
      <c r="G13" s="21" t="s">
        <v>971</v>
      </c>
      <c r="H13" s="21" t="s">
        <v>972</v>
      </c>
    </row>
    <row r="14" spans="1:8" ht="30" customHeight="1" x14ac:dyDescent="0.25">
      <c r="A14" s="14" t="s">
        <v>963</v>
      </c>
      <c r="B14" s="14" t="s">
        <v>964</v>
      </c>
      <c r="C14" s="15" t="s">
        <v>973</v>
      </c>
      <c r="D14" s="16" t="s">
        <v>974</v>
      </c>
      <c r="E14" s="17">
        <v>2</v>
      </c>
      <c r="F14" s="18" t="s">
        <v>12</v>
      </c>
      <c r="G14" s="16" t="s">
        <v>975</v>
      </c>
      <c r="H14" s="16" t="s">
        <v>976</v>
      </c>
    </row>
    <row r="15" spans="1:8" ht="75" customHeight="1" x14ac:dyDescent="0.25">
      <c r="A15" s="19" t="s">
        <v>963</v>
      </c>
      <c r="B15" s="19" t="s">
        <v>964</v>
      </c>
      <c r="C15" s="20" t="s">
        <v>977</v>
      </c>
      <c r="D15" s="21" t="s">
        <v>978</v>
      </c>
      <c r="E15" s="17">
        <v>2</v>
      </c>
      <c r="F15" s="18" t="s">
        <v>12</v>
      </c>
      <c r="G15" s="21" t="s">
        <v>979</v>
      </c>
      <c r="H15" s="21" t="s">
        <v>980</v>
      </c>
    </row>
    <row r="16" spans="1:8" ht="30" customHeight="1" x14ac:dyDescent="0.25">
      <c r="A16" s="14" t="s">
        <v>963</v>
      </c>
      <c r="B16" s="14" t="s">
        <v>964</v>
      </c>
      <c r="C16" s="15" t="s">
        <v>981</v>
      </c>
      <c r="D16" s="16" t="s">
        <v>982</v>
      </c>
      <c r="E16" s="23">
        <v>3</v>
      </c>
      <c r="F16" s="18" t="s">
        <v>46</v>
      </c>
      <c r="G16" s="16"/>
      <c r="H16" s="16"/>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75" zoomScaleNormal="75" workbookViewId="0">
      <pane ySplit="1" topLeftCell="A3" activePane="bottomLeft" state="frozen"/>
      <selection pane="bottomLeft" activeCell="D23" sqref="D23"/>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0</v>
      </c>
      <c r="B1" s="12" t="s">
        <v>1</v>
      </c>
      <c r="C1" s="12" t="s">
        <v>2</v>
      </c>
      <c r="D1" s="12" t="s">
        <v>3</v>
      </c>
      <c r="E1" s="12" t="s">
        <v>4</v>
      </c>
      <c r="F1" s="12" t="s">
        <v>5</v>
      </c>
      <c r="G1" s="12" t="s">
        <v>6</v>
      </c>
      <c r="H1" s="12" t="s">
        <v>7</v>
      </c>
    </row>
    <row r="2" spans="1:8" ht="18" customHeight="1" x14ac:dyDescent="0.25">
      <c r="A2" s="13" t="s">
        <v>983</v>
      </c>
      <c r="B2" s="13" t="s">
        <v>984</v>
      </c>
      <c r="C2" s="13"/>
      <c r="D2" s="13"/>
      <c r="E2" s="13"/>
      <c r="F2" s="13"/>
      <c r="G2" s="13"/>
      <c r="H2" s="13"/>
    </row>
    <row r="3" spans="1:8" ht="30" customHeight="1" x14ac:dyDescent="0.25">
      <c r="A3" s="14" t="s">
        <v>983</v>
      </c>
      <c r="B3" s="14" t="s">
        <v>984</v>
      </c>
      <c r="C3" s="15" t="s">
        <v>985</v>
      </c>
      <c r="D3" s="16" t="s">
        <v>986</v>
      </c>
      <c r="E3" s="17">
        <v>2</v>
      </c>
      <c r="F3" s="18" t="s">
        <v>12</v>
      </c>
      <c r="G3" s="16" t="s">
        <v>987</v>
      </c>
      <c r="H3" s="16" t="s">
        <v>988</v>
      </c>
    </row>
    <row r="4" spans="1:8" ht="30" customHeight="1" x14ac:dyDescent="0.25">
      <c r="A4" s="19" t="s">
        <v>983</v>
      </c>
      <c r="B4" s="19" t="s">
        <v>984</v>
      </c>
      <c r="C4" s="20" t="s">
        <v>989</v>
      </c>
      <c r="D4" s="21" t="s">
        <v>990</v>
      </c>
      <c r="E4" s="23">
        <v>3</v>
      </c>
      <c r="F4" s="18" t="s">
        <v>46</v>
      </c>
      <c r="G4" s="21"/>
      <c r="H4" s="21"/>
    </row>
    <row r="5" spans="1:8" ht="30" customHeight="1" x14ac:dyDescent="0.25">
      <c r="A5" s="14" t="s">
        <v>983</v>
      </c>
      <c r="B5" s="14" t="s">
        <v>984</v>
      </c>
      <c r="C5" s="15" t="s">
        <v>991</v>
      </c>
      <c r="D5" s="16" t="s">
        <v>992</v>
      </c>
      <c r="E5" s="23">
        <v>3</v>
      </c>
      <c r="F5" s="18" t="s">
        <v>46</v>
      </c>
      <c r="G5" s="16"/>
      <c r="H5" s="16"/>
    </row>
    <row r="6" spans="1:8" ht="30" customHeight="1" x14ac:dyDescent="0.25">
      <c r="A6" s="19" t="s">
        <v>983</v>
      </c>
      <c r="B6" s="19" t="s">
        <v>984</v>
      </c>
      <c r="C6" s="20" t="s">
        <v>993</v>
      </c>
      <c r="D6" s="21" t="s">
        <v>994</v>
      </c>
      <c r="E6" s="23">
        <v>3</v>
      </c>
      <c r="F6" s="18" t="s">
        <v>46</v>
      </c>
      <c r="G6" s="21"/>
      <c r="H6" s="21"/>
    </row>
    <row r="7" spans="1:8" ht="18" customHeight="1" x14ac:dyDescent="0.25">
      <c r="A7" s="13" t="s">
        <v>995</v>
      </c>
      <c r="B7" s="13" t="s">
        <v>996</v>
      </c>
      <c r="C7" s="13"/>
      <c r="D7" s="13"/>
      <c r="E7" s="13"/>
      <c r="F7" s="13"/>
      <c r="G7" s="13"/>
      <c r="H7" s="13"/>
    </row>
    <row r="8" spans="1:8" ht="30" customHeight="1" x14ac:dyDescent="0.25">
      <c r="A8" s="14" t="s">
        <v>995</v>
      </c>
      <c r="B8" s="14" t="s">
        <v>996</v>
      </c>
      <c r="C8" s="15" t="s">
        <v>997</v>
      </c>
      <c r="D8" s="16" t="s">
        <v>998</v>
      </c>
      <c r="E8" s="17">
        <v>2</v>
      </c>
      <c r="F8" s="18" t="s">
        <v>226</v>
      </c>
      <c r="G8" s="16"/>
      <c r="H8" s="16"/>
    </row>
    <row r="9" spans="1:8" ht="30" customHeight="1" x14ac:dyDescent="0.25">
      <c r="A9" s="19" t="s">
        <v>995</v>
      </c>
      <c r="B9" s="19" t="s">
        <v>996</v>
      </c>
      <c r="C9" s="20" t="s">
        <v>999</v>
      </c>
      <c r="D9" s="21" t="s">
        <v>1000</v>
      </c>
      <c r="E9" s="17">
        <v>2</v>
      </c>
      <c r="F9" s="18" t="s">
        <v>226</v>
      </c>
      <c r="G9" s="21"/>
      <c r="H9" s="21"/>
    </row>
    <row r="10" spans="1:8" ht="30" customHeight="1" x14ac:dyDescent="0.25">
      <c r="A10" s="14" t="s">
        <v>995</v>
      </c>
      <c r="B10" s="14" t="s">
        <v>996</v>
      </c>
      <c r="C10" s="15" t="s">
        <v>1001</v>
      </c>
      <c r="D10" s="16" t="s">
        <v>1002</v>
      </c>
      <c r="E10" s="17">
        <v>2</v>
      </c>
      <c r="F10" s="18" t="s">
        <v>46</v>
      </c>
      <c r="G10" s="16" t="s">
        <v>1003</v>
      </c>
      <c r="H10" s="16"/>
    </row>
    <row r="11" spans="1:8" ht="30" customHeight="1" x14ac:dyDescent="0.25">
      <c r="A11" s="19" t="s">
        <v>995</v>
      </c>
      <c r="B11" s="19" t="s">
        <v>996</v>
      </c>
      <c r="C11" s="20" t="s">
        <v>1004</v>
      </c>
      <c r="D11" s="21" t="s">
        <v>1005</v>
      </c>
      <c r="E11" s="17">
        <v>2</v>
      </c>
      <c r="F11" s="18" t="s">
        <v>226</v>
      </c>
      <c r="G11" s="21"/>
      <c r="H11" s="21"/>
    </row>
    <row r="12" spans="1:8" ht="30" customHeight="1" x14ac:dyDescent="0.25">
      <c r="A12" s="14" t="s">
        <v>995</v>
      </c>
      <c r="B12" s="14" t="s">
        <v>996</v>
      </c>
      <c r="C12" s="15" t="s">
        <v>1006</v>
      </c>
      <c r="D12" s="16" t="s">
        <v>1007</v>
      </c>
      <c r="E12" s="17">
        <v>2</v>
      </c>
      <c r="F12" s="18" t="s">
        <v>46</v>
      </c>
      <c r="G12" s="16" t="s">
        <v>1008</v>
      </c>
      <c r="H12" s="16"/>
    </row>
    <row r="13" spans="1:8" ht="30" customHeight="1" x14ac:dyDescent="0.25">
      <c r="A13" s="19" t="s">
        <v>995</v>
      </c>
      <c r="B13" s="19" t="s">
        <v>996</v>
      </c>
      <c r="C13" s="20" t="s">
        <v>1009</v>
      </c>
      <c r="D13" s="21" t="s">
        <v>1010</v>
      </c>
      <c r="E13" s="23">
        <v>3</v>
      </c>
      <c r="F13" s="18" t="s">
        <v>46</v>
      </c>
      <c r="G13" s="21"/>
      <c r="H13" s="21"/>
    </row>
    <row r="14" spans="1:8" ht="18" customHeight="1" x14ac:dyDescent="0.25">
      <c r="A14" s="13" t="s">
        <v>1011</v>
      </c>
      <c r="B14" s="13" t="s">
        <v>1012</v>
      </c>
      <c r="C14" s="13"/>
      <c r="D14" s="13"/>
      <c r="E14" s="13"/>
      <c r="F14" s="13"/>
      <c r="G14" s="13"/>
      <c r="H14" s="13"/>
    </row>
    <row r="15" spans="1:8" ht="30" customHeight="1" x14ac:dyDescent="0.25">
      <c r="A15" s="14" t="s">
        <v>1011</v>
      </c>
      <c r="B15" s="14" t="s">
        <v>1012</v>
      </c>
      <c r="C15" s="15" t="s">
        <v>1013</v>
      </c>
      <c r="D15" s="16" t="s">
        <v>1014</v>
      </c>
      <c r="E15" s="17">
        <v>2</v>
      </c>
      <c r="F15" s="18" t="s">
        <v>226</v>
      </c>
      <c r="G15" s="16"/>
      <c r="H15" s="16"/>
    </row>
    <row r="16" spans="1:8" ht="30" customHeight="1" x14ac:dyDescent="0.25">
      <c r="A16" s="19" t="s">
        <v>1011</v>
      </c>
      <c r="B16" s="19" t="s">
        <v>1012</v>
      </c>
      <c r="C16" s="20" t="s">
        <v>1015</v>
      </c>
      <c r="D16" s="21" t="s">
        <v>1016</v>
      </c>
      <c r="E16" s="17">
        <v>2</v>
      </c>
      <c r="F16" s="18" t="s">
        <v>226</v>
      </c>
      <c r="G16" s="21"/>
      <c r="H16" s="21"/>
    </row>
    <row r="17" spans="1:8" ht="30" customHeight="1" x14ac:dyDescent="0.25">
      <c r="A17" s="14" t="s">
        <v>1011</v>
      </c>
      <c r="B17" s="14" t="s">
        <v>1012</v>
      </c>
      <c r="C17" s="15" t="s">
        <v>1017</v>
      </c>
      <c r="D17" s="16" t="s">
        <v>1018</v>
      </c>
      <c r="E17" s="23">
        <v>3</v>
      </c>
      <c r="F17" s="18" t="s">
        <v>46</v>
      </c>
      <c r="G17" s="16"/>
      <c r="H17" s="16"/>
    </row>
    <row r="18" spans="1:8" ht="30" customHeight="1" x14ac:dyDescent="0.25">
      <c r="A18" s="19" t="s">
        <v>1011</v>
      </c>
      <c r="B18" s="19" t="s">
        <v>1012</v>
      </c>
      <c r="C18" s="20" t="s">
        <v>1019</v>
      </c>
      <c r="D18" s="21" t="s">
        <v>1020</v>
      </c>
      <c r="E18" s="23">
        <v>3</v>
      </c>
      <c r="F18" s="18" t="s">
        <v>46</v>
      </c>
      <c r="G18" s="21"/>
      <c r="H18" s="21"/>
    </row>
    <row r="19" spans="1:8" ht="18" customHeight="1" x14ac:dyDescent="0.25">
      <c r="A19" s="13" t="s">
        <v>1021</v>
      </c>
      <c r="B19" s="13" t="s">
        <v>1022</v>
      </c>
      <c r="C19" s="13"/>
      <c r="D19" s="13"/>
      <c r="E19" s="13"/>
      <c r="F19" s="13"/>
      <c r="G19" s="13"/>
      <c r="H19" s="13"/>
    </row>
    <row r="20" spans="1:8" ht="30" customHeight="1" x14ac:dyDescent="0.25">
      <c r="A20" s="14" t="s">
        <v>1021</v>
      </c>
      <c r="B20" s="14" t="s">
        <v>1022</v>
      </c>
      <c r="C20" s="15" t="s">
        <v>1023</v>
      </c>
      <c r="D20" s="16" t="s">
        <v>1024</v>
      </c>
      <c r="E20" s="22">
        <v>1</v>
      </c>
      <c r="F20" s="18" t="s">
        <v>226</v>
      </c>
      <c r="G20" s="16"/>
      <c r="H20" s="16"/>
    </row>
    <row r="21" spans="1:8" ht="30" customHeight="1" x14ac:dyDescent="0.25">
      <c r="A21" s="19" t="s">
        <v>1021</v>
      </c>
      <c r="B21" s="19" t="s">
        <v>1022</v>
      </c>
      <c r="C21" s="20" t="s">
        <v>1025</v>
      </c>
      <c r="D21" s="21" t="s">
        <v>1026</v>
      </c>
      <c r="E21" s="17">
        <v>2</v>
      </c>
      <c r="F21" s="18" t="s">
        <v>226</v>
      </c>
      <c r="G21" s="21"/>
      <c r="H21" s="21"/>
    </row>
    <row r="22" spans="1:8" ht="30" customHeight="1" x14ac:dyDescent="0.25">
      <c r="A22" s="14" t="s">
        <v>1021</v>
      </c>
      <c r="B22" s="14" t="s">
        <v>1022</v>
      </c>
      <c r="C22" s="15" t="s">
        <v>1027</v>
      </c>
      <c r="D22" s="16" t="s">
        <v>1028</v>
      </c>
      <c r="E22" s="17">
        <v>2</v>
      </c>
      <c r="F22" s="18" t="s">
        <v>46</v>
      </c>
      <c r="G22" s="16" t="s">
        <v>1029</v>
      </c>
      <c r="H22" s="16"/>
    </row>
    <row r="23" spans="1:8" ht="45" customHeight="1" x14ac:dyDescent="0.25">
      <c r="A23" s="19" t="s">
        <v>1021</v>
      </c>
      <c r="B23" s="19" t="s">
        <v>1022</v>
      </c>
      <c r="C23" s="20" t="s">
        <v>1030</v>
      </c>
      <c r="D23" s="21" t="s">
        <v>1031</v>
      </c>
      <c r="E23" s="17">
        <v>2</v>
      </c>
      <c r="F23" s="18" t="s">
        <v>226</v>
      </c>
      <c r="G23" s="21"/>
      <c r="H23" s="21"/>
    </row>
    <row r="24" spans="1:8" ht="30" customHeight="1" x14ac:dyDescent="0.25">
      <c r="A24" s="14" t="s">
        <v>1021</v>
      </c>
      <c r="B24" s="14" t="s">
        <v>1022</v>
      </c>
      <c r="C24" s="15" t="s">
        <v>1032</v>
      </c>
      <c r="D24" s="16" t="s">
        <v>1033</v>
      </c>
      <c r="E24" s="17">
        <v>2</v>
      </c>
      <c r="F24" s="18" t="s">
        <v>226</v>
      </c>
      <c r="G24" s="16"/>
      <c r="H24" s="16"/>
    </row>
    <row r="25" spans="1:8" ht="30" customHeight="1" x14ac:dyDescent="0.25">
      <c r="A25" s="19" t="s">
        <v>1021</v>
      </c>
      <c r="B25" s="19" t="s">
        <v>1022</v>
      </c>
      <c r="C25" s="20" t="s">
        <v>1034</v>
      </c>
      <c r="D25" s="21" t="s">
        <v>1035</v>
      </c>
      <c r="E25" s="23">
        <v>3</v>
      </c>
      <c r="F25" s="18" t="s">
        <v>46</v>
      </c>
      <c r="G25" s="21"/>
      <c r="H25" s="21"/>
    </row>
    <row r="26" spans="1:8" ht="30" customHeight="1" x14ac:dyDescent="0.25">
      <c r="A26" s="14" t="s">
        <v>1021</v>
      </c>
      <c r="B26" s="14" t="s">
        <v>1022</v>
      </c>
      <c r="C26" s="15" t="s">
        <v>1036</v>
      </c>
      <c r="D26" s="16" t="s">
        <v>1037</v>
      </c>
      <c r="E26" s="23">
        <v>3</v>
      </c>
      <c r="F26" s="18" t="s">
        <v>46</v>
      </c>
      <c r="G26" s="16" t="s">
        <v>1038</v>
      </c>
      <c r="H26" s="1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70" zoomScaleNormal="70" workbookViewId="0">
      <pane ySplit="1" topLeftCell="A2" activePane="bottomLeft" state="frozen"/>
      <selection pane="bottomLeft" activeCell="F8" sqref="F8"/>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8.5703125" customWidth="1"/>
    <col min="8" max="8" width="35" customWidth="1"/>
  </cols>
  <sheetData>
    <row r="1" spans="1:8" ht="28.15" customHeight="1" x14ac:dyDescent="0.25">
      <c r="A1" s="12" t="s">
        <v>0</v>
      </c>
      <c r="B1" s="12" t="s">
        <v>1</v>
      </c>
      <c r="C1" s="12" t="s">
        <v>2</v>
      </c>
      <c r="D1" s="12" t="s">
        <v>3</v>
      </c>
      <c r="E1" s="12" t="s">
        <v>4</v>
      </c>
      <c r="F1" s="12" t="s">
        <v>5</v>
      </c>
      <c r="G1" s="12" t="s">
        <v>6</v>
      </c>
      <c r="H1" s="12" t="s">
        <v>7</v>
      </c>
    </row>
    <row r="2" spans="1:8" ht="18" customHeight="1" x14ac:dyDescent="0.25">
      <c r="A2" s="13" t="s">
        <v>1039</v>
      </c>
      <c r="B2" s="13" t="s">
        <v>1040</v>
      </c>
      <c r="C2" s="13"/>
      <c r="D2" s="13"/>
      <c r="E2" s="13"/>
      <c r="F2" s="13"/>
      <c r="G2" s="13"/>
      <c r="H2" s="13"/>
    </row>
    <row r="3" spans="1:8" ht="120" customHeight="1" x14ac:dyDescent="0.25">
      <c r="A3" s="14" t="s">
        <v>1039</v>
      </c>
      <c r="B3" s="14" t="s">
        <v>1040</v>
      </c>
      <c r="C3" s="15" t="s">
        <v>1041</v>
      </c>
      <c r="D3" s="16" t="s">
        <v>1042</v>
      </c>
      <c r="E3" s="17">
        <v>2</v>
      </c>
      <c r="F3" s="18" t="s">
        <v>12</v>
      </c>
      <c r="G3" s="16" t="s">
        <v>1043</v>
      </c>
      <c r="H3" s="16" t="s">
        <v>1044</v>
      </c>
    </row>
    <row r="4" spans="1:8" ht="105.4" customHeight="1" x14ac:dyDescent="0.25">
      <c r="A4" s="19" t="s">
        <v>1039</v>
      </c>
      <c r="B4" s="19" t="s">
        <v>1040</v>
      </c>
      <c r="C4" s="20" t="s">
        <v>1045</v>
      </c>
      <c r="D4" s="21" t="s">
        <v>1046</v>
      </c>
      <c r="E4" s="17">
        <v>2</v>
      </c>
      <c r="F4" s="18" t="s">
        <v>46</v>
      </c>
      <c r="G4" s="21" t="s">
        <v>1047</v>
      </c>
      <c r="H4" s="21"/>
    </row>
    <row r="5" spans="1:8" ht="18" customHeight="1" x14ac:dyDescent="0.25">
      <c r="A5" s="13" t="s">
        <v>1048</v>
      </c>
      <c r="B5" s="13" t="s">
        <v>1049</v>
      </c>
      <c r="C5" s="13"/>
      <c r="D5" s="13"/>
      <c r="E5" s="13"/>
      <c r="F5" s="13"/>
      <c r="G5" s="13"/>
      <c r="H5" s="13"/>
    </row>
    <row r="6" spans="1:8" ht="90" customHeight="1" x14ac:dyDescent="0.25">
      <c r="A6" s="14" t="s">
        <v>1048</v>
      </c>
      <c r="B6" s="14" t="s">
        <v>1049</v>
      </c>
      <c r="C6" s="15" t="s">
        <v>1050</v>
      </c>
      <c r="D6" s="16" t="s">
        <v>1051</v>
      </c>
      <c r="E6" s="22">
        <v>1</v>
      </c>
      <c r="F6" s="18" t="s">
        <v>53</v>
      </c>
      <c r="G6" s="16" t="s">
        <v>1052</v>
      </c>
      <c r="H6" s="16" t="s">
        <v>1053</v>
      </c>
    </row>
    <row r="7" spans="1:8" ht="50.45" customHeight="1" x14ac:dyDescent="0.25">
      <c r="A7" s="19" t="s">
        <v>1048</v>
      </c>
      <c r="B7" s="19" t="s">
        <v>1049</v>
      </c>
      <c r="C7" s="20" t="s">
        <v>1054</v>
      </c>
      <c r="D7" s="21" t="s">
        <v>1055</v>
      </c>
      <c r="E7" s="17">
        <v>2</v>
      </c>
      <c r="F7" s="18" t="s">
        <v>12</v>
      </c>
      <c r="G7" s="21" t="s">
        <v>1056</v>
      </c>
      <c r="H7" s="21" t="s">
        <v>1057</v>
      </c>
    </row>
    <row r="8" spans="1:8" ht="68.650000000000006" customHeight="1" x14ac:dyDescent="0.25">
      <c r="A8" s="14" t="s">
        <v>1048</v>
      </c>
      <c r="B8" s="14" t="s">
        <v>1049</v>
      </c>
      <c r="C8" s="15" t="s">
        <v>1058</v>
      </c>
      <c r="D8" s="16" t="s">
        <v>1059</v>
      </c>
      <c r="E8" s="17">
        <v>2</v>
      </c>
      <c r="F8" s="18" t="s">
        <v>53</v>
      </c>
      <c r="G8" s="16" t="s">
        <v>1060</v>
      </c>
      <c r="H8" s="16" t="s">
        <v>1061</v>
      </c>
    </row>
    <row r="9" spans="1:8" ht="90" customHeight="1" x14ac:dyDescent="0.25">
      <c r="A9" s="19" t="s">
        <v>1048</v>
      </c>
      <c r="B9" s="19" t="s">
        <v>1049</v>
      </c>
      <c r="C9" s="20" t="s">
        <v>1062</v>
      </c>
      <c r="D9" s="21" t="s">
        <v>1063</v>
      </c>
      <c r="E9" s="17">
        <v>2</v>
      </c>
      <c r="F9" s="18" t="s">
        <v>12</v>
      </c>
      <c r="G9" s="21" t="s">
        <v>1064</v>
      </c>
      <c r="H9" s="21" t="s">
        <v>1065</v>
      </c>
    </row>
    <row r="10" spans="1:8" ht="30" customHeight="1" x14ac:dyDescent="0.25">
      <c r="A10" s="14" t="s">
        <v>1048</v>
      </c>
      <c r="B10" s="14" t="s">
        <v>1049</v>
      </c>
      <c r="C10" s="15" t="s">
        <v>1066</v>
      </c>
      <c r="D10" s="16" t="s">
        <v>1067</v>
      </c>
      <c r="E10" s="23">
        <v>3</v>
      </c>
      <c r="F10" s="18" t="s">
        <v>46</v>
      </c>
      <c r="G10" s="16"/>
      <c r="H10" s="16"/>
    </row>
    <row r="11" spans="1:8" ht="30" customHeight="1" x14ac:dyDescent="0.25">
      <c r="A11" s="19" t="s">
        <v>1048</v>
      </c>
      <c r="B11" s="19" t="s">
        <v>1049</v>
      </c>
      <c r="C11" s="20" t="s">
        <v>1068</v>
      </c>
      <c r="D11" s="21" t="s">
        <v>1069</v>
      </c>
      <c r="E11" s="23">
        <v>3</v>
      </c>
      <c r="F11" s="18" t="s">
        <v>46</v>
      </c>
      <c r="G11" s="21"/>
      <c r="H11" s="21"/>
    </row>
    <row r="12" spans="1:8" ht="30" customHeight="1" x14ac:dyDescent="0.25">
      <c r="A12" s="14" t="s">
        <v>1048</v>
      </c>
      <c r="B12" s="14" t="s">
        <v>1049</v>
      </c>
      <c r="C12" s="15" t="s">
        <v>1070</v>
      </c>
      <c r="D12" s="16" t="s">
        <v>1071</v>
      </c>
      <c r="E12" s="23">
        <v>3</v>
      </c>
      <c r="F12" s="18" t="s">
        <v>46</v>
      </c>
      <c r="G12" s="16"/>
      <c r="H12" s="16"/>
    </row>
    <row r="13" spans="1:8" ht="30" customHeight="1" x14ac:dyDescent="0.25">
      <c r="A13" s="19" t="s">
        <v>1048</v>
      </c>
      <c r="B13" s="19" t="s">
        <v>1049</v>
      </c>
      <c r="C13" s="20" t="s">
        <v>1072</v>
      </c>
      <c r="D13" s="21" t="s">
        <v>1073</v>
      </c>
      <c r="E13" s="23">
        <v>3</v>
      </c>
      <c r="F13" s="18" t="s">
        <v>46</v>
      </c>
      <c r="G13" s="21"/>
      <c r="H13" s="21"/>
    </row>
    <row r="14" spans="1:8" ht="18" customHeight="1" x14ac:dyDescent="0.25">
      <c r="A14" s="13" t="s">
        <v>1074</v>
      </c>
      <c r="B14" s="13" t="s">
        <v>1075</v>
      </c>
      <c r="C14" s="13"/>
      <c r="D14" s="13"/>
      <c r="E14" s="13"/>
      <c r="F14" s="13"/>
      <c r="G14" s="13"/>
      <c r="H14" s="13"/>
    </row>
    <row r="15" spans="1:8" ht="30" customHeight="1" x14ac:dyDescent="0.25">
      <c r="A15" s="14" t="s">
        <v>1074</v>
      </c>
      <c r="B15" s="14" t="s">
        <v>1075</v>
      </c>
      <c r="C15" s="15" t="s">
        <v>1076</v>
      </c>
      <c r="D15" s="16" t="s">
        <v>1077</v>
      </c>
      <c r="E15" s="22">
        <v>1</v>
      </c>
      <c r="F15" s="18" t="s">
        <v>46</v>
      </c>
      <c r="G15" s="16" t="s">
        <v>1078</v>
      </c>
      <c r="H15" s="16"/>
    </row>
    <row r="16" spans="1:8" ht="45" customHeight="1" x14ac:dyDescent="0.25">
      <c r="A16" s="19" t="s">
        <v>1074</v>
      </c>
      <c r="B16" s="19" t="s">
        <v>1075</v>
      </c>
      <c r="C16" s="20" t="s">
        <v>1079</v>
      </c>
      <c r="D16" s="21" t="s">
        <v>1080</v>
      </c>
      <c r="E16" s="17">
        <v>2</v>
      </c>
      <c r="F16" s="18" t="s">
        <v>12</v>
      </c>
      <c r="G16" s="21" t="s">
        <v>1081</v>
      </c>
      <c r="H16" s="21" t="s">
        <v>1082</v>
      </c>
    </row>
    <row r="17" spans="1:8" ht="45" customHeight="1" x14ac:dyDescent="0.25">
      <c r="A17" s="14" t="s">
        <v>1074</v>
      </c>
      <c r="B17" s="14" t="s">
        <v>1075</v>
      </c>
      <c r="C17" s="15" t="s">
        <v>1083</v>
      </c>
      <c r="D17" s="16" t="s">
        <v>1084</v>
      </c>
      <c r="E17" s="17">
        <v>2</v>
      </c>
      <c r="F17" s="18" t="s">
        <v>46</v>
      </c>
      <c r="G17" s="16" t="s">
        <v>1085</v>
      </c>
      <c r="H17" s="16"/>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zoomScale="75" zoomScaleNormal="75" workbookViewId="0">
      <pane ySplit="1" topLeftCell="A20" activePane="bottomLeft" state="frozen"/>
      <selection pane="bottomLeft" activeCell="F21" sqref="F21"/>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5">
      <c r="A1" s="12" t="s">
        <v>0</v>
      </c>
      <c r="B1" s="12" t="s">
        <v>1</v>
      </c>
      <c r="C1" s="12" t="s">
        <v>2</v>
      </c>
      <c r="D1" s="12" t="s">
        <v>3</v>
      </c>
      <c r="E1" s="12" t="s">
        <v>4</v>
      </c>
      <c r="F1" s="12" t="s">
        <v>5</v>
      </c>
      <c r="G1" s="12" t="s">
        <v>6</v>
      </c>
      <c r="H1" s="12" t="s">
        <v>7</v>
      </c>
    </row>
    <row r="2" spans="1:8" x14ac:dyDescent="0.25">
      <c r="A2" s="13" t="s">
        <v>1086</v>
      </c>
      <c r="B2" s="13" t="s">
        <v>1087</v>
      </c>
      <c r="C2" s="13"/>
      <c r="D2" s="13"/>
      <c r="E2" s="13"/>
      <c r="F2" s="13"/>
      <c r="G2" s="13"/>
      <c r="H2" s="13"/>
    </row>
    <row r="3" spans="1:8" ht="105" customHeight="1" x14ac:dyDescent="0.25">
      <c r="A3" s="14" t="s">
        <v>1086</v>
      </c>
      <c r="B3" s="14" t="s">
        <v>1087</v>
      </c>
      <c r="C3" s="15" t="s">
        <v>1088</v>
      </c>
      <c r="D3" s="16" t="s">
        <v>1089</v>
      </c>
      <c r="E3" s="22">
        <v>1</v>
      </c>
      <c r="F3" s="18" t="s">
        <v>12</v>
      </c>
      <c r="G3" s="16" t="s">
        <v>1090</v>
      </c>
      <c r="H3" s="16" t="s">
        <v>1091</v>
      </c>
    </row>
    <row r="4" spans="1:8" ht="120" customHeight="1" x14ac:dyDescent="0.25">
      <c r="A4" s="19" t="s">
        <v>1086</v>
      </c>
      <c r="B4" s="19" t="s">
        <v>1087</v>
      </c>
      <c r="C4" s="20" t="s">
        <v>1092</v>
      </c>
      <c r="D4" s="21" t="s">
        <v>1093</v>
      </c>
      <c r="E4" s="17">
        <v>2</v>
      </c>
      <c r="F4" s="18" t="s">
        <v>12</v>
      </c>
      <c r="G4" s="21" t="s">
        <v>1094</v>
      </c>
      <c r="H4" s="21" t="s">
        <v>1095</v>
      </c>
    </row>
    <row r="5" spans="1:8" ht="150" customHeight="1" x14ac:dyDescent="0.25">
      <c r="A5" s="14" t="s">
        <v>1086</v>
      </c>
      <c r="B5" s="14" t="s">
        <v>1087</v>
      </c>
      <c r="C5" s="15" t="s">
        <v>1096</v>
      </c>
      <c r="D5" s="16" t="s">
        <v>1097</v>
      </c>
      <c r="E5" s="17">
        <v>2</v>
      </c>
      <c r="F5" s="18" t="s">
        <v>12</v>
      </c>
      <c r="G5" s="16" t="s">
        <v>1098</v>
      </c>
      <c r="H5" s="16" t="s">
        <v>1099</v>
      </c>
    </row>
    <row r="6" spans="1:8" ht="30" customHeight="1" x14ac:dyDescent="0.25">
      <c r="A6" s="19" t="s">
        <v>1086</v>
      </c>
      <c r="B6" s="19" t="s">
        <v>1087</v>
      </c>
      <c r="C6" s="20" t="s">
        <v>1100</v>
      </c>
      <c r="D6" s="21" t="s">
        <v>1101</v>
      </c>
      <c r="E6" s="23">
        <v>3</v>
      </c>
      <c r="F6" s="18" t="s">
        <v>46</v>
      </c>
      <c r="G6" s="21"/>
      <c r="H6" s="21"/>
    </row>
    <row r="7" spans="1:8" ht="255" customHeight="1" x14ac:dyDescent="0.25">
      <c r="A7" s="14" t="s">
        <v>1086</v>
      </c>
      <c r="B7" s="14" t="s">
        <v>1087</v>
      </c>
      <c r="C7" s="15" t="s">
        <v>1102</v>
      </c>
      <c r="D7" s="16" t="s">
        <v>1103</v>
      </c>
      <c r="E7" s="23">
        <v>3</v>
      </c>
      <c r="F7" s="18" t="s">
        <v>12</v>
      </c>
      <c r="G7" s="16" t="s">
        <v>1104</v>
      </c>
      <c r="H7" s="16" t="s">
        <v>1105</v>
      </c>
    </row>
    <row r="8" spans="1:8" x14ac:dyDescent="0.25">
      <c r="A8" s="13" t="s">
        <v>1106</v>
      </c>
      <c r="B8" s="13" t="s">
        <v>1107</v>
      </c>
      <c r="C8" s="13"/>
      <c r="D8" s="13"/>
      <c r="E8" s="13"/>
      <c r="F8" s="13"/>
      <c r="G8" s="13"/>
      <c r="H8" s="13"/>
    </row>
    <row r="9" spans="1:8" ht="150" customHeight="1" x14ac:dyDescent="0.25">
      <c r="A9" s="14" t="s">
        <v>1106</v>
      </c>
      <c r="B9" s="14" t="s">
        <v>1107</v>
      </c>
      <c r="C9" s="15" t="s">
        <v>1108</v>
      </c>
      <c r="D9" s="16" t="s">
        <v>1109</v>
      </c>
      <c r="E9" s="22">
        <v>1</v>
      </c>
      <c r="F9" s="18" t="s">
        <v>12</v>
      </c>
      <c r="G9" s="16" t="s">
        <v>1110</v>
      </c>
      <c r="H9" s="16" t="s">
        <v>1111</v>
      </c>
    </row>
    <row r="10" spans="1:8" ht="165" customHeight="1" x14ac:dyDescent="0.25">
      <c r="A10" s="19" t="s">
        <v>1106</v>
      </c>
      <c r="B10" s="19" t="s">
        <v>1107</v>
      </c>
      <c r="C10" s="20" t="s">
        <v>1112</v>
      </c>
      <c r="D10" s="21" t="s">
        <v>1113</v>
      </c>
      <c r="E10" s="17">
        <v>2</v>
      </c>
      <c r="F10" s="18" t="s">
        <v>53</v>
      </c>
      <c r="G10" s="21" t="s">
        <v>1114</v>
      </c>
      <c r="H10" s="21" t="s">
        <v>1115</v>
      </c>
    </row>
    <row r="11" spans="1:8" ht="150" customHeight="1" x14ac:dyDescent="0.25">
      <c r="A11" s="14" t="s">
        <v>1106</v>
      </c>
      <c r="B11" s="14" t="s">
        <v>1107</v>
      </c>
      <c r="C11" s="15" t="s">
        <v>1116</v>
      </c>
      <c r="D11" s="16" t="s">
        <v>1117</v>
      </c>
      <c r="E11" s="17">
        <v>2</v>
      </c>
      <c r="F11" s="18" t="s">
        <v>12</v>
      </c>
      <c r="G11" s="16" t="s">
        <v>1118</v>
      </c>
      <c r="H11" s="16" t="s">
        <v>1119</v>
      </c>
    </row>
    <row r="12" spans="1:8" ht="60" customHeight="1" x14ac:dyDescent="0.25">
      <c r="A12" s="19" t="s">
        <v>1106</v>
      </c>
      <c r="B12" s="19" t="s">
        <v>1107</v>
      </c>
      <c r="C12" s="20" t="s">
        <v>1120</v>
      </c>
      <c r="D12" s="21" t="s">
        <v>1121</v>
      </c>
      <c r="E12" s="23">
        <v>3</v>
      </c>
      <c r="F12" s="18" t="s">
        <v>46</v>
      </c>
      <c r="G12" s="21"/>
      <c r="H12" s="21"/>
    </row>
    <row r="13" spans="1:8" ht="285" customHeight="1" x14ac:dyDescent="0.25">
      <c r="A13" s="14" t="s">
        <v>1106</v>
      </c>
      <c r="B13" s="14" t="s">
        <v>1107</v>
      </c>
      <c r="C13" s="15" t="s">
        <v>1122</v>
      </c>
      <c r="D13" s="16" t="s">
        <v>1123</v>
      </c>
      <c r="E13" s="23">
        <v>3</v>
      </c>
      <c r="F13" s="18" t="s">
        <v>53</v>
      </c>
      <c r="G13" s="16" t="s">
        <v>1124</v>
      </c>
      <c r="H13" s="16" t="s">
        <v>1125</v>
      </c>
    </row>
    <row r="14" spans="1:8" x14ac:dyDescent="0.25">
      <c r="A14" s="13" t="s">
        <v>1126</v>
      </c>
      <c r="B14" s="13" t="s">
        <v>1127</v>
      </c>
      <c r="C14" s="13"/>
      <c r="D14" s="13"/>
      <c r="E14" s="13"/>
      <c r="F14" s="13"/>
      <c r="G14" s="13"/>
      <c r="H14" s="13"/>
    </row>
    <row r="15" spans="1:8" ht="165" customHeight="1" x14ac:dyDescent="0.25">
      <c r="A15" s="14" t="s">
        <v>1126</v>
      </c>
      <c r="B15" s="14" t="s">
        <v>1127</v>
      </c>
      <c r="C15" s="15" t="s">
        <v>1128</v>
      </c>
      <c r="D15" s="16" t="s">
        <v>1129</v>
      </c>
      <c r="E15" s="22">
        <v>1</v>
      </c>
      <c r="F15" s="18" t="s">
        <v>53</v>
      </c>
      <c r="G15" s="16" t="s">
        <v>1130</v>
      </c>
      <c r="H15" s="16" t="s">
        <v>1131</v>
      </c>
    </row>
    <row r="16" spans="1:8" ht="135" customHeight="1" x14ac:dyDescent="0.25">
      <c r="A16" s="19" t="s">
        <v>1126</v>
      </c>
      <c r="B16" s="19" t="s">
        <v>1127</v>
      </c>
      <c r="C16" s="20" t="s">
        <v>1132</v>
      </c>
      <c r="D16" s="21" t="s">
        <v>1133</v>
      </c>
      <c r="E16" s="17">
        <v>2</v>
      </c>
      <c r="F16" s="18" t="s">
        <v>12</v>
      </c>
      <c r="G16" s="21" t="s">
        <v>1134</v>
      </c>
      <c r="H16" s="21" t="s">
        <v>1135</v>
      </c>
    </row>
    <row r="17" spans="1:8" ht="165" customHeight="1" x14ac:dyDescent="0.25">
      <c r="A17" s="14" t="s">
        <v>1126</v>
      </c>
      <c r="B17" s="14" t="s">
        <v>1127</v>
      </c>
      <c r="C17" s="15" t="s">
        <v>1136</v>
      </c>
      <c r="D17" s="16" t="s">
        <v>1137</v>
      </c>
      <c r="E17" s="17">
        <v>2</v>
      </c>
      <c r="F17" s="18" t="s">
        <v>53</v>
      </c>
      <c r="G17" s="16" t="s">
        <v>1138</v>
      </c>
      <c r="H17" s="16" t="s">
        <v>1139</v>
      </c>
    </row>
    <row r="18" spans="1:8" ht="165" customHeight="1" x14ac:dyDescent="0.25">
      <c r="A18" s="19" t="s">
        <v>1126</v>
      </c>
      <c r="B18" s="19" t="s">
        <v>1127</v>
      </c>
      <c r="C18" s="20" t="s">
        <v>1140</v>
      </c>
      <c r="D18" s="21" t="s">
        <v>1141</v>
      </c>
      <c r="E18" s="17">
        <v>2</v>
      </c>
      <c r="F18" s="18" t="s">
        <v>12</v>
      </c>
      <c r="G18" s="21" t="s">
        <v>1142</v>
      </c>
      <c r="H18" s="21" t="s">
        <v>1143</v>
      </c>
    </row>
    <row r="19" spans="1:8" ht="135" customHeight="1" x14ac:dyDescent="0.25">
      <c r="A19" s="14" t="s">
        <v>1126</v>
      </c>
      <c r="B19" s="14" t="s">
        <v>1127</v>
      </c>
      <c r="C19" s="15" t="s">
        <v>1144</v>
      </c>
      <c r="D19" s="16" t="s">
        <v>1145</v>
      </c>
      <c r="E19" s="17">
        <v>2</v>
      </c>
      <c r="F19" s="18" t="s">
        <v>53</v>
      </c>
      <c r="G19" s="16" t="s">
        <v>1146</v>
      </c>
      <c r="H19" s="16" t="s">
        <v>1147</v>
      </c>
    </row>
    <row r="20" spans="1:8" ht="105" customHeight="1" x14ac:dyDescent="0.25">
      <c r="A20" s="19" t="s">
        <v>1126</v>
      </c>
      <c r="B20" s="19" t="s">
        <v>1127</v>
      </c>
      <c r="C20" s="20" t="s">
        <v>1148</v>
      </c>
      <c r="D20" s="21" t="s">
        <v>1149</v>
      </c>
      <c r="E20" s="17">
        <v>2</v>
      </c>
      <c r="F20" s="18" t="s">
        <v>46</v>
      </c>
      <c r="G20" s="21" t="s">
        <v>1150</v>
      </c>
      <c r="H20" s="21"/>
    </row>
    <row r="21" spans="1:8" ht="165" customHeight="1" x14ac:dyDescent="0.25">
      <c r="A21" s="14" t="s">
        <v>1126</v>
      </c>
      <c r="B21" s="14" t="s">
        <v>1127</v>
      </c>
      <c r="C21" s="15" t="s">
        <v>1151</v>
      </c>
      <c r="D21" s="16" t="s">
        <v>1152</v>
      </c>
      <c r="E21" s="17">
        <v>2</v>
      </c>
      <c r="F21" s="18" t="s">
        <v>53</v>
      </c>
      <c r="G21" s="16" t="s">
        <v>1153</v>
      </c>
      <c r="H21" s="16" t="s">
        <v>1154</v>
      </c>
    </row>
    <row r="22" spans="1:8" x14ac:dyDescent="0.25">
      <c r="A22" s="13" t="s">
        <v>1155</v>
      </c>
      <c r="B22" s="13" t="s">
        <v>1156</v>
      </c>
      <c r="C22" s="13"/>
      <c r="D22" s="13"/>
      <c r="E22" s="13"/>
      <c r="F22" s="13"/>
      <c r="G22" s="13"/>
      <c r="H22" s="13"/>
    </row>
    <row r="23" spans="1:8" ht="75" customHeight="1" x14ac:dyDescent="0.25">
      <c r="A23" s="14" t="s">
        <v>1155</v>
      </c>
      <c r="B23" s="14" t="s">
        <v>1156</v>
      </c>
      <c r="C23" s="15" t="s">
        <v>1157</v>
      </c>
      <c r="D23" s="16" t="s">
        <v>1158</v>
      </c>
      <c r="E23" s="23">
        <v>3</v>
      </c>
      <c r="F23" s="18" t="s">
        <v>46</v>
      </c>
      <c r="G23" s="16"/>
      <c r="H23" s="16"/>
    </row>
    <row r="24" spans="1:8" ht="90" customHeight="1" x14ac:dyDescent="0.25">
      <c r="A24" s="19" t="s">
        <v>1155</v>
      </c>
      <c r="B24" s="19" t="s">
        <v>1156</v>
      </c>
      <c r="C24" s="20" t="s">
        <v>1159</v>
      </c>
      <c r="D24" s="21" t="s">
        <v>1160</v>
      </c>
      <c r="E24" s="23">
        <v>3</v>
      </c>
      <c r="F24" s="18" t="s">
        <v>46</v>
      </c>
      <c r="G24" s="21"/>
      <c r="H24" s="21"/>
    </row>
    <row r="25" spans="1:8" ht="75" customHeight="1" x14ac:dyDescent="0.25">
      <c r="A25" s="14" t="s">
        <v>1155</v>
      </c>
      <c r="B25" s="14" t="s">
        <v>1156</v>
      </c>
      <c r="C25" s="15" t="s">
        <v>1161</v>
      </c>
      <c r="D25" s="16" t="s">
        <v>1162</v>
      </c>
      <c r="E25" s="23">
        <v>3</v>
      </c>
      <c r="F25" s="18" t="s">
        <v>46</v>
      </c>
      <c r="G25" s="16"/>
      <c r="H25" s="16"/>
    </row>
    <row r="26" spans="1:8" ht="60" customHeight="1" x14ac:dyDescent="0.25">
      <c r="A26" s="19" t="s">
        <v>1155</v>
      </c>
      <c r="B26" s="19" t="s">
        <v>1156</v>
      </c>
      <c r="C26" s="20" t="s">
        <v>1163</v>
      </c>
      <c r="D26" s="21" t="s">
        <v>1164</v>
      </c>
      <c r="E26" s="23">
        <v>3</v>
      </c>
      <c r="F26" s="18" t="s">
        <v>46</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zoomScale="75" zoomScaleNormal="75" workbookViewId="0">
      <pane ySplit="1" topLeftCell="A20" activePane="bottomLeft" state="frozen"/>
      <selection pane="bottomLeft" activeCell="F23" sqref="F23"/>
    </sheetView>
  </sheetViews>
  <sheetFormatPr defaultColWidth="8.5703125" defaultRowHeight="15" x14ac:dyDescent="0.25"/>
  <cols>
    <col min="1" max="1" width="15.42578125"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9" customHeight="1" x14ac:dyDescent="0.25">
      <c r="A1" s="12" t="s">
        <v>0</v>
      </c>
      <c r="B1" s="12" t="s">
        <v>1</v>
      </c>
      <c r="C1" s="12" t="s">
        <v>2</v>
      </c>
      <c r="D1" s="12" t="s">
        <v>3</v>
      </c>
      <c r="E1" s="12" t="s">
        <v>4</v>
      </c>
      <c r="F1" s="12" t="s">
        <v>5</v>
      </c>
      <c r="G1" s="12" t="s">
        <v>6</v>
      </c>
      <c r="H1" s="12" t="s">
        <v>7</v>
      </c>
    </row>
    <row r="2" spans="1:8" x14ac:dyDescent="0.25">
      <c r="A2" s="13" t="s">
        <v>1165</v>
      </c>
      <c r="B2" s="13" t="s">
        <v>1166</v>
      </c>
      <c r="C2" s="13"/>
      <c r="D2" s="13"/>
      <c r="E2" s="13"/>
      <c r="F2" s="13"/>
      <c r="G2" s="13"/>
      <c r="H2" s="13"/>
    </row>
    <row r="3" spans="1:8" ht="195" customHeight="1" x14ac:dyDescent="0.25">
      <c r="A3" s="14" t="s">
        <v>1165</v>
      </c>
      <c r="B3" s="14" t="s">
        <v>1166</v>
      </c>
      <c r="C3" s="15" t="s">
        <v>1167</v>
      </c>
      <c r="D3" s="16" t="s">
        <v>1168</v>
      </c>
      <c r="E3" s="17">
        <v>2</v>
      </c>
      <c r="F3" s="18" t="s">
        <v>12</v>
      </c>
      <c r="G3" s="16" t="s">
        <v>1169</v>
      </c>
      <c r="H3" s="16" t="s">
        <v>1170</v>
      </c>
    </row>
    <row r="4" spans="1:8" x14ac:dyDescent="0.25">
      <c r="A4" s="13" t="s">
        <v>1171</v>
      </c>
      <c r="B4" s="13" t="s">
        <v>1172</v>
      </c>
      <c r="C4" s="13"/>
      <c r="D4" s="13"/>
      <c r="E4" s="13"/>
      <c r="F4" s="13"/>
      <c r="G4" s="13"/>
      <c r="H4" s="13"/>
    </row>
    <row r="5" spans="1:8" ht="150" customHeight="1" x14ac:dyDescent="0.25">
      <c r="A5" s="14" t="s">
        <v>1171</v>
      </c>
      <c r="B5" s="14" t="s">
        <v>1172</v>
      </c>
      <c r="C5" s="15" t="s">
        <v>1173</v>
      </c>
      <c r="D5" s="16" t="s">
        <v>1174</v>
      </c>
      <c r="E5" s="17">
        <v>2</v>
      </c>
      <c r="F5" s="18" t="s">
        <v>12</v>
      </c>
      <c r="G5" s="16" t="s">
        <v>1175</v>
      </c>
      <c r="H5" s="16" t="s">
        <v>1176</v>
      </c>
    </row>
    <row r="6" spans="1:8" ht="180" customHeight="1" x14ac:dyDescent="0.25">
      <c r="A6" s="19" t="s">
        <v>1171</v>
      </c>
      <c r="B6" s="19" t="s">
        <v>1172</v>
      </c>
      <c r="C6" s="20" t="s">
        <v>1177</v>
      </c>
      <c r="D6" s="21" t="s">
        <v>1178</v>
      </c>
      <c r="E6" s="17">
        <v>2</v>
      </c>
      <c r="F6" s="18" t="s">
        <v>53</v>
      </c>
      <c r="G6" s="21" t="s">
        <v>1179</v>
      </c>
      <c r="H6" s="21" t="s">
        <v>1180</v>
      </c>
    </row>
    <row r="7" spans="1:8" ht="135" customHeight="1" x14ac:dyDescent="0.25">
      <c r="A7" s="14" t="s">
        <v>1171</v>
      </c>
      <c r="B7" s="14" t="s">
        <v>1172</v>
      </c>
      <c r="C7" s="15" t="s">
        <v>1181</v>
      </c>
      <c r="D7" s="16" t="s">
        <v>1182</v>
      </c>
      <c r="E7" s="17">
        <v>2</v>
      </c>
      <c r="F7" s="18" t="s">
        <v>53</v>
      </c>
      <c r="G7" s="16" t="s">
        <v>1183</v>
      </c>
      <c r="H7" s="16" t="s">
        <v>1184</v>
      </c>
    </row>
    <row r="8" spans="1:8" ht="165" customHeight="1" x14ac:dyDescent="0.25">
      <c r="A8" s="19" t="s">
        <v>1171</v>
      </c>
      <c r="B8" s="19" t="s">
        <v>1172</v>
      </c>
      <c r="C8" s="20" t="s">
        <v>1185</v>
      </c>
      <c r="D8" s="21" t="s">
        <v>1186</v>
      </c>
      <c r="E8" s="17">
        <v>2</v>
      </c>
      <c r="F8" s="18" t="s">
        <v>12</v>
      </c>
      <c r="G8" s="21" t="s">
        <v>1187</v>
      </c>
      <c r="H8" s="21" t="s">
        <v>1188</v>
      </c>
    </row>
    <row r="9" spans="1:8" ht="210" customHeight="1" x14ac:dyDescent="0.25">
      <c r="A9" s="14" t="s">
        <v>1171</v>
      </c>
      <c r="B9" s="14" t="s">
        <v>1172</v>
      </c>
      <c r="C9" s="15" t="s">
        <v>1189</v>
      </c>
      <c r="D9" s="16" t="s">
        <v>1190</v>
      </c>
      <c r="E9" s="17">
        <v>2</v>
      </c>
      <c r="F9" s="18" t="s">
        <v>12</v>
      </c>
      <c r="G9" s="16" t="s">
        <v>1191</v>
      </c>
      <c r="H9" s="16" t="s">
        <v>1192</v>
      </c>
    </row>
    <row r="10" spans="1:8" x14ac:dyDescent="0.25">
      <c r="A10" s="13" t="s">
        <v>1193</v>
      </c>
      <c r="B10" s="13" t="s">
        <v>1194</v>
      </c>
      <c r="C10" s="13"/>
      <c r="D10" s="13"/>
      <c r="E10" s="13"/>
      <c r="F10" s="13"/>
      <c r="G10" s="13"/>
      <c r="H10" s="13"/>
    </row>
    <row r="11" spans="1:8" ht="210" customHeight="1" x14ac:dyDescent="0.25">
      <c r="A11" s="14" t="s">
        <v>1193</v>
      </c>
      <c r="B11" s="14" t="s">
        <v>1194</v>
      </c>
      <c r="C11" s="15" t="s">
        <v>1195</v>
      </c>
      <c r="D11" s="16" t="s">
        <v>1196</v>
      </c>
      <c r="E11" s="17">
        <v>2</v>
      </c>
      <c r="F11" s="18" t="s">
        <v>12</v>
      </c>
      <c r="G11" s="16" t="s">
        <v>1197</v>
      </c>
      <c r="H11" s="16" t="s">
        <v>1198</v>
      </c>
    </row>
    <row r="12" spans="1:8" ht="180" customHeight="1" x14ac:dyDescent="0.25">
      <c r="A12" s="19" t="s">
        <v>1193</v>
      </c>
      <c r="B12" s="19" t="s">
        <v>1194</v>
      </c>
      <c r="C12" s="20" t="s">
        <v>1199</v>
      </c>
      <c r="D12" s="21" t="s">
        <v>1200</v>
      </c>
      <c r="E12" s="17">
        <v>2</v>
      </c>
      <c r="F12" s="18" t="s">
        <v>53</v>
      </c>
      <c r="G12" s="21" t="s">
        <v>1201</v>
      </c>
      <c r="H12" s="21" t="s">
        <v>1202</v>
      </c>
    </row>
    <row r="13" spans="1:8" ht="165" customHeight="1" x14ac:dyDescent="0.25">
      <c r="A13" s="14" t="s">
        <v>1193</v>
      </c>
      <c r="B13" s="14" t="s">
        <v>1194</v>
      </c>
      <c r="C13" s="15" t="s">
        <v>1203</v>
      </c>
      <c r="D13" s="16" t="s">
        <v>1204</v>
      </c>
      <c r="E13" s="17">
        <v>2</v>
      </c>
      <c r="F13" s="18" t="s">
        <v>12</v>
      </c>
      <c r="G13" s="16" t="s">
        <v>1205</v>
      </c>
      <c r="H13" s="16" t="s">
        <v>1206</v>
      </c>
    </row>
    <row r="14" spans="1:8" ht="180" customHeight="1" x14ac:dyDescent="0.25">
      <c r="A14" s="19" t="s">
        <v>1193</v>
      </c>
      <c r="B14" s="19" t="s">
        <v>1194</v>
      </c>
      <c r="C14" s="20" t="s">
        <v>1207</v>
      </c>
      <c r="D14" s="21" t="s">
        <v>1208</v>
      </c>
      <c r="E14" s="17">
        <v>2</v>
      </c>
      <c r="F14" s="18" t="s">
        <v>46</v>
      </c>
      <c r="G14" s="21" t="s">
        <v>1209</v>
      </c>
      <c r="H14" s="21"/>
    </row>
    <row r="15" spans="1:8" x14ac:dyDescent="0.25">
      <c r="A15" s="13" t="s">
        <v>1210</v>
      </c>
      <c r="B15" s="13" t="s">
        <v>1211</v>
      </c>
      <c r="C15" s="13"/>
      <c r="D15" s="13"/>
      <c r="E15" s="13"/>
      <c r="F15" s="13"/>
      <c r="G15" s="13"/>
      <c r="H15" s="13"/>
    </row>
    <row r="16" spans="1:8" ht="195" customHeight="1" x14ac:dyDescent="0.25">
      <c r="A16" s="14" t="s">
        <v>1210</v>
      </c>
      <c r="B16" s="14" t="s">
        <v>1211</v>
      </c>
      <c r="C16" s="15" t="s">
        <v>1212</v>
      </c>
      <c r="D16" s="16" t="s">
        <v>1213</v>
      </c>
      <c r="E16" s="17">
        <v>2</v>
      </c>
      <c r="F16" s="18" t="s">
        <v>12</v>
      </c>
      <c r="G16" s="16" t="s">
        <v>1214</v>
      </c>
      <c r="H16" s="16" t="s">
        <v>1215</v>
      </c>
    </row>
    <row r="17" spans="1:8" ht="165" customHeight="1" x14ac:dyDescent="0.25">
      <c r="A17" s="19" t="s">
        <v>1210</v>
      </c>
      <c r="B17" s="19" t="s">
        <v>1211</v>
      </c>
      <c r="C17" s="20" t="s">
        <v>1216</v>
      </c>
      <c r="D17" s="21" t="s">
        <v>1217</v>
      </c>
      <c r="E17" s="17">
        <v>2</v>
      </c>
      <c r="F17" s="18" t="s">
        <v>12</v>
      </c>
      <c r="G17" s="21" t="s">
        <v>1218</v>
      </c>
      <c r="H17" s="21" t="s">
        <v>1219</v>
      </c>
    </row>
    <row r="18" spans="1:8" ht="150" customHeight="1" x14ac:dyDescent="0.25">
      <c r="A18" s="14" t="s">
        <v>1210</v>
      </c>
      <c r="B18" s="14" t="s">
        <v>1211</v>
      </c>
      <c r="C18" s="15" t="s">
        <v>1220</v>
      </c>
      <c r="D18" s="16" t="s">
        <v>1221</v>
      </c>
      <c r="E18" s="17">
        <v>2</v>
      </c>
      <c r="F18" s="18" t="s">
        <v>46</v>
      </c>
      <c r="G18" s="16" t="s">
        <v>1222</v>
      </c>
      <c r="H18" s="16"/>
    </row>
    <row r="19" spans="1:8" x14ac:dyDescent="0.25">
      <c r="A19" s="13" t="s">
        <v>1223</v>
      </c>
      <c r="B19" s="13" t="s">
        <v>1224</v>
      </c>
      <c r="C19" s="13"/>
      <c r="D19" s="13"/>
      <c r="E19" s="13"/>
      <c r="F19" s="13"/>
      <c r="G19" s="13"/>
      <c r="H19" s="13"/>
    </row>
    <row r="20" spans="1:8" ht="180" customHeight="1" x14ac:dyDescent="0.25">
      <c r="A20" s="14" t="s">
        <v>1223</v>
      </c>
      <c r="B20" s="14" t="s">
        <v>1224</v>
      </c>
      <c r="C20" s="15" t="s">
        <v>1225</v>
      </c>
      <c r="D20" s="16" t="s">
        <v>1226</v>
      </c>
      <c r="E20" s="17">
        <v>2</v>
      </c>
      <c r="F20" s="18" t="s">
        <v>53</v>
      </c>
      <c r="G20" s="16" t="s">
        <v>1227</v>
      </c>
      <c r="H20" s="16" t="s">
        <v>1228</v>
      </c>
    </row>
    <row r="21" spans="1:8" ht="195" customHeight="1" x14ac:dyDescent="0.25">
      <c r="A21" s="19" t="s">
        <v>1223</v>
      </c>
      <c r="B21" s="19" t="s">
        <v>1224</v>
      </c>
      <c r="C21" s="20" t="s">
        <v>1229</v>
      </c>
      <c r="D21" s="21" t="s">
        <v>1230</v>
      </c>
      <c r="E21" s="17">
        <v>2</v>
      </c>
      <c r="F21" s="18" t="s">
        <v>12</v>
      </c>
      <c r="G21" s="21" t="s">
        <v>1231</v>
      </c>
      <c r="H21" s="21" t="s">
        <v>1232</v>
      </c>
    </row>
    <row r="22" spans="1:8" ht="195" customHeight="1" x14ac:dyDescent="0.25">
      <c r="A22" s="14" t="s">
        <v>1223</v>
      </c>
      <c r="B22" s="14" t="s">
        <v>1224</v>
      </c>
      <c r="C22" s="15" t="s">
        <v>1233</v>
      </c>
      <c r="D22" s="16" t="s">
        <v>1234</v>
      </c>
      <c r="E22" s="17">
        <v>2</v>
      </c>
      <c r="F22" s="18" t="s">
        <v>53</v>
      </c>
      <c r="G22" s="16" t="s">
        <v>1235</v>
      </c>
      <c r="H22" s="16" t="s">
        <v>1236</v>
      </c>
    </row>
    <row r="23" spans="1:8" ht="225" customHeight="1" x14ac:dyDescent="0.25">
      <c r="A23" s="19" t="s">
        <v>1223</v>
      </c>
      <c r="B23" s="19" t="s">
        <v>1224</v>
      </c>
      <c r="C23" s="20" t="s">
        <v>1237</v>
      </c>
      <c r="D23" s="21" t="s">
        <v>1238</v>
      </c>
      <c r="E23" s="23">
        <v>3</v>
      </c>
      <c r="F23" s="18" t="s">
        <v>53</v>
      </c>
      <c r="G23" s="21" t="s">
        <v>1239</v>
      </c>
      <c r="H23" s="21" t="s">
        <v>1240</v>
      </c>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75" zoomScaleNormal="75" workbookViewId="0">
      <pane ySplit="1" topLeftCell="A2" activePane="bottomLeft" state="frozen"/>
      <selection pane="bottomLeft" activeCell="G17" sqref="G17"/>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9.45" customHeight="1" x14ac:dyDescent="0.25">
      <c r="A1" s="12" t="s">
        <v>0</v>
      </c>
      <c r="B1" s="12" t="s">
        <v>1</v>
      </c>
      <c r="C1" s="12" t="s">
        <v>2</v>
      </c>
      <c r="D1" s="12" t="s">
        <v>3</v>
      </c>
      <c r="E1" s="12" t="s">
        <v>4</v>
      </c>
      <c r="F1" s="12" t="s">
        <v>5</v>
      </c>
      <c r="G1" s="12" t="s">
        <v>6</v>
      </c>
      <c r="H1" s="12" t="s">
        <v>7</v>
      </c>
    </row>
    <row r="2" spans="1:8" x14ac:dyDescent="0.25">
      <c r="A2" s="13" t="s">
        <v>1241</v>
      </c>
      <c r="B2" s="13" t="s">
        <v>1242</v>
      </c>
      <c r="C2" s="13"/>
      <c r="D2" s="13"/>
      <c r="E2" s="13"/>
      <c r="F2" s="13"/>
      <c r="G2" s="13"/>
      <c r="H2" s="13"/>
    </row>
    <row r="3" spans="1:8" ht="60" customHeight="1" x14ac:dyDescent="0.25">
      <c r="A3" s="14" t="s">
        <v>1241</v>
      </c>
      <c r="B3" s="14" t="s">
        <v>1242</v>
      </c>
      <c r="C3" s="15" t="s">
        <v>1243</v>
      </c>
      <c r="D3" s="16" t="s">
        <v>1244</v>
      </c>
      <c r="E3" s="17">
        <v>2</v>
      </c>
      <c r="F3" s="18" t="s">
        <v>46</v>
      </c>
      <c r="G3" s="16" t="s">
        <v>1245</v>
      </c>
      <c r="H3" s="16"/>
    </row>
    <row r="4" spans="1:8" ht="45" customHeight="1" x14ac:dyDescent="0.25">
      <c r="A4" s="19" t="s">
        <v>1241</v>
      </c>
      <c r="B4" s="19" t="s">
        <v>1242</v>
      </c>
      <c r="C4" s="20" t="s">
        <v>1246</v>
      </c>
      <c r="D4" s="21" t="s">
        <v>1247</v>
      </c>
      <c r="E4" s="23">
        <v>3</v>
      </c>
      <c r="F4" s="18" t="s">
        <v>46</v>
      </c>
      <c r="G4" s="21" t="s">
        <v>1248</v>
      </c>
      <c r="H4" s="21"/>
    </row>
    <row r="5" spans="1:8" x14ac:dyDescent="0.25">
      <c r="A5" s="13" t="s">
        <v>1249</v>
      </c>
      <c r="B5" s="13" t="s">
        <v>1250</v>
      </c>
      <c r="C5" s="13"/>
      <c r="D5" s="13"/>
      <c r="E5" s="13"/>
      <c r="F5" s="13"/>
      <c r="G5" s="13"/>
      <c r="H5" s="13"/>
    </row>
    <row r="6" spans="1:8" ht="60" customHeight="1" x14ac:dyDescent="0.25">
      <c r="A6" s="14" t="s">
        <v>1249</v>
      </c>
      <c r="B6" s="14" t="s">
        <v>1250</v>
      </c>
      <c r="C6" s="15" t="s">
        <v>1251</v>
      </c>
      <c r="D6" s="16" t="s">
        <v>1252</v>
      </c>
      <c r="E6" s="17">
        <v>2</v>
      </c>
      <c r="F6" s="18" t="s">
        <v>46</v>
      </c>
      <c r="G6" s="16" t="s">
        <v>1253</v>
      </c>
      <c r="H6" s="16"/>
    </row>
    <row r="7" spans="1:8" ht="75" customHeight="1" x14ac:dyDescent="0.25">
      <c r="A7" s="19" t="s">
        <v>1249</v>
      </c>
      <c r="B7" s="19" t="s">
        <v>1250</v>
      </c>
      <c r="C7" s="20" t="s">
        <v>1254</v>
      </c>
      <c r="D7" s="21" t="s">
        <v>1255</v>
      </c>
      <c r="E7" s="17">
        <v>2</v>
      </c>
      <c r="F7" s="18" t="s">
        <v>46</v>
      </c>
      <c r="G7" s="21" t="s">
        <v>1256</v>
      </c>
      <c r="H7" s="21"/>
    </row>
    <row r="8" spans="1:8" ht="75" customHeight="1" x14ac:dyDescent="0.25">
      <c r="A8" s="14" t="s">
        <v>1249</v>
      </c>
      <c r="B8" s="14" t="s">
        <v>1250</v>
      </c>
      <c r="C8" s="15" t="s">
        <v>1257</v>
      </c>
      <c r="D8" s="16" t="s">
        <v>1258</v>
      </c>
      <c r="E8" s="17">
        <v>2</v>
      </c>
      <c r="F8" s="18" t="s">
        <v>46</v>
      </c>
      <c r="G8" s="16" t="s">
        <v>1259</v>
      </c>
      <c r="H8" s="16"/>
    </row>
    <row r="9" spans="1:8" ht="45" customHeight="1" x14ac:dyDescent="0.25">
      <c r="A9" s="19" t="s">
        <v>1249</v>
      </c>
      <c r="B9" s="19" t="s">
        <v>1250</v>
      </c>
      <c r="C9" s="20" t="s">
        <v>1260</v>
      </c>
      <c r="D9" s="21" t="s">
        <v>1261</v>
      </c>
      <c r="E9" s="17">
        <v>2</v>
      </c>
      <c r="F9" s="18" t="s">
        <v>46</v>
      </c>
      <c r="G9" s="21" t="s">
        <v>1262</v>
      </c>
      <c r="H9" s="21"/>
    </row>
    <row r="10" spans="1:8" ht="45" customHeight="1" x14ac:dyDescent="0.25">
      <c r="A10" s="14" t="s">
        <v>1249</v>
      </c>
      <c r="B10" s="14" t="s">
        <v>1250</v>
      </c>
      <c r="C10" s="15" t="s">
        <v>1263</v>
      </c>
      <c r="D10" s="16" t="s">
        <v>1264</v>
      </c>
      <c r="E10" s="23">
        <v>3</v>
      </c>
      <c r="F10" s="18" t="s">
        <v>46</v>
      </c>
      <c r="G10" s="16" t="s">
        <v>1265</v>
      </c>
      <c r="H10" s="16"/>
    </row>
    <row r="11" spans="1:8" ht="60" customHeight="1" x14ac:dyDescent="0.25">
      <c r="A11" s="19" t="s">
        <v>1249</v>
      </c>
      <c r="B11" s="19" t="s">
        <v>1250</v>
      </c>
      <c r="C11" s="20" t="s">
        <v>1266</v>
      </c>
      <c r="D11" s="21" t="s">
        <v>1267</v>
      </c>
      <c r="E11" s="23">
        <v>3</v>
      </c>
      <c r="F11" s="18" t="s">
        <v>46</v>
      </c>
      <c r="G11" s="21" t="s">
        <v>1268</v>
      </c>
      <c r="H11" s="21"/>
    </row>
    <row r="12" spans="1:8" ht="60" customHeight="1" x14ac:dyDescent="0.25">
      <c r="A12" s="14" t="s">
        <v>1249</v>
      </c>
      <c r="B12" s="14" t="s">
        <v>1250</v>
      </c>
      <c r="C12" s="15" t="s">
        <v>1269</v>
      </c>
      <c r="D12" s="16" t="s">
        <v>1270</v>
      </c>
      <c r="E12" s="23">
        <v>3</v>
      </c>
      <c r="F12" s="18" t="s">
        <v>46</v>
      </c>
      <c r="G12" s="16" t="s">
        <v>1271</v>
      </c>
      <c r="H12" s="16"/>
    </row>
    <row r="13" spans="1:8" ht="60" customHeight="1" x14ac:dyDescent="0.25">
      <c r="A13" s="19" t="s">
        <v>1249</v>
      </c>
      <c r="B13" s="19" t="s">
        <v>1250</v>
      </c>
      <c r="C13" s="20" t="s">
        <v>1272</v>
      </c>
      <c r="D13" s="21" t="s">
        <v>1273</v>
      </c>
      <c r="E13" s="23">
        <v>3</v>
      </c>
      <c r="F13" s="18" t="s">
        <v>46</v>
      </c>
      <c r="G13" s="21" t="s">
        <v>1274</v>
      </c>
      <c r="H13" s="21"/>
    </row>
    <row r="14" spans="1:8" x14ac:dyDescent="0.25">
      <c r="A14" s="13" t="s">
        <v>1275</v>
      </c>
      <c r="B14" s="13" t="s">
        <v>1276</v>
      </c>
      <c r="C14" s="13"/>
      <c r="D14" s="13"/>
      <c r="E14" s="13"/>
      <c r="F14" s="13"/>
      <c r="G14" s="13"/>
      <c r="H14" s="13"/>
    </row>
    <row r="15" spans="1:8" ht="60" customHeight="1" x14ac:dyDescent="0.25">
      <c r="A15" s="14" t="s">
        <v>1275</v>
      </c>
      <c r="B15" s="14" t="s">
        <v>1276</v>
      </c>
      <c r="C15" s="15" t="s">
        <v>1277</v>
      </c>
      <c r="D15" s="16" t="s">
        <v>1278</v>
      </c>
      <c r="E15" s="17">
        <v>2</v>
      </c>
      <c r="F15" s="18" t="s">
        <v>46</v>
      </c>
      <c r="G15" s="16" t="s">
        <v>1279</v>
      </c>
      <c r="H15" s="16"/>
    </row>
    <row r="16" spans="1:8" ht="90" customHeight="1" x14ac:dyDescent="0.25">
      <c r="A16" s="19" t="s">
        <v>1275</v>
      </c>
      <c r="B16" s="19" t="s">
        <v>1276</v>
      </c>
      <c r="C16" s="20" t="s">
        <v>1280</v>
      </c>
      <c r="D16" s="21" t="s">
        <v>1281</v>
      </c>
      <c r="E16" s="17">
        <v>2</v>
      </c>
      <c r="F16" s="18" t="s">
        <v>46</v>
      </c>
      <c r="G16" s="21" t="s">
        <v>1282</v>
      </c>
      <c r="H16" s="21"/>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disablePrompts="1"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Folhas de Cálculo</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Diogo Manuel Oliveira Pereira</cp:lastModifiedBy>
  <cp:revision>3</cp:revision>
  <cp:lastPrinted>2026-04-15T19:56:57Z</cp:lastPrinted>
  <dcterms:created xsi:type="dcterms:W3CDTF">2026-03-04T10:14:28Z</dcterms:created>
  <dcterms:modified xsi:type="dcterms:W3CDTF">2026-05-17T22:46:06Z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