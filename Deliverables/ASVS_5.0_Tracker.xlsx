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tilizador\Desktop\DESOFS\desofs2026-wed_nap_2\Deliverables\"/>
    </mc:Choice>
  </mc:AlternateContent>
  <xr:revisionPtr revIDLastSave="0" documentId="13_ncr:1_{3B6C7F61-A417-4A44-8E21-29B72917EBF1}" xr6:coauthVersionLast="47" xr6:coauthVersionMax="47" xr10:uidLastSave="{00000000-0000-0000-0000-000000000000}"/>
  <bookViews>
    <workbookView xWindow="-120" yWindow="-120" windowWidth="29040" windowHeight="15720" tabRatio="500" firstSheet="2" activeTab="4"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81029" iterateDelta="1E-4"/>
</workbook>
</file>

<file path=xl/calcChain.xml><?xml version="1.0" encoding="utf-8"?>
<calcChain xmlns="http://schemas.openxmlformats.org/spreadsheetml/2006/main">
  <c r="I23" i="1" l="1"/>
  <c r="F23" i="1"/>
  <c r="C23" i="1"/>
  <c r="B23" i="1"/>
  <c r="L22" i="1"/>
  <c r="M22" i="1" s="1"/>
  <c r="J22" i="1"/>
  <c r="K22" i="1" s="1"/>
  <c r="H22" i="1"/>
  <c r="G22" i="1"/>
  <c r="L21" i="1"/>
  <c r="M21" i="1" s="1"/>
  <c r="J21" i="1"/>
  <c r="K21" i="1" s="1"/>
  <c r="G21" i="1"/>
  <c r="H21" i="1" s="1"/>
  <c r="L20" i="1"/>
  <c r="M20" i="1" s="1"/>
  <c r="J20" i="1"/>
  <c r="K20" i="1" s="1"/>
  <c r="H20" i="1"/>
  <c r="G20" i="1"/>
  <c r="E20" i="1"/>
  <c r="D20" i="1"/>
  <c r="L19" i="1"/>
  <c r="M19" i="1" s="1"/>
  <c r="J19" i="1"/>
  <c r="K19" i="1" s="1"/>
  <c r="H19" i="1"/>
  <c r="G19" i="1"/>
  <c r="D19" i="1"/>
  <c r="E19" i="1" s="1"/>
  <c r="L18" i="1"/>
  <c r="M18" i="1" s="1"/>
  <c r="J18" i="1"/>
  <c r="K18" i="1" s="1"/>
  <c r="G18" i="1"/>
  <c r="H18" i="1" s="1"/>
  <c r="D18" i="1"/>
  <c r="E18" i="1" s="1"/>
  <c r="M17" i="1"/>
  <c r="L17" i="1"/>
  <c r="K17" i="1"/>
  <c r="J17" i="1"/>
  <c r="G17" i="1"/>
  <c r="H17" i="1" s="1"/>
  <c r="D17" i="1"/>
  <c r="E17" i="1" s="1"/>
  <c r="L16" i="1"/>
  <c r="M16" i="1" s="1"/>
  <c r="J16" i="1"/>
  <c r="K16" i="1" s="1"/>
  <c r="G16" i="1"/>
  <c r="H16" i="1" s="1"/>
  <c r="D16" i="1"/>
  <c r="E16" i="1" s="1"/>
  <c r="L15" i="1"/>
  <c r="M15" i="1" s="1"/>
  <c r="J15" i="1"/>
  <c r="K15" i="1" s="1"/>
  <c r="H15" i="1"/>
  <c r="G15" i="1"/>
  <c r="E15" i="1"/>
  <c r="D15" i="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E10" i="1"/>
  <c r="D10" i="1"/>
  <c r="M9" i="1"/>
  <c r="L9" i="1"/>
  <c r="J9" i="1"/>
  <c r="K9" i="1" s="1"/>
  <c r="G9" i="1"/>
  <c r="H9" i="1" s="1"/>
  <c r="D9" i="1"/>
  <c r="E9" i="1" s="1"/>
  <c r="L8" i="1"/>
  <c r="M8" i="1" s="1"/>
  <c r="J8" i="1"/>
  <c r="K8" i="1" s="1"/>
  <c r="G8" i="1"/>
  <c r="H8" i="1" s="1"/>
  <c r="D8" i="1"/>
  <c r="E8" i="1" s="1"/>
  <c r="L7" i="1"/>
  <c r="M7" i="1" s="1"/>
  <c r="J7" i="1"/>
  <c r="K7" i="1" s="1"/>
  <c r="G7" i="1"/>
  <c r="H7" i="1" s="1"/>
  <c r="D7" i="1"/>
  <c r="E7" i="1" s="1"/>
  <c r="L6" i="1"/>
  <c r="J6" i="1"/>
  <c r="G6" i="1"/>
  <c r="H6" i="1" s="1"/>
  <c r="D6" i="1"/>
  <c r="E6" i="1" s="1"/>
  <c r="L23" i="1" l="1"/>
  <c r="H23" i="1"/>
  <c r="J23" i="1"/>
  <c r="E23" i="1"/>
  <c r="M6" i="1"/>
  <c r="M23" i="1" s="1"/>
  <c r="G23" i="1"/>
  <c r="K6" i="1"/>
  <c r="K23" i="1" s="1"/>
  <c r="D23" i="1"/>
</calcChain>
</file>

<file path=xl/sharedStrings.xml><?xml version="1.0" encoding="utf-8"?>
<sst xmlns="http://schemas.openxmlformats.org/spreadsheetml/2006/main" count="2512" uniqueCount="1340">
  <si>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</si>
  <si>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</si>
  <si>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</si>
  <si>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</si>
  <si>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</si>
  <si>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</si>
  <si>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</si>
  <si>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</si>
  <si>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</si>
  <si>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</si>
  <si>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</si>
  <si>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</si>
  <si>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</si>
  <si>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</si>
  <si>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</si>
  <si>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</si>
  <si>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</si>
  <si>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</si>
  <si>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</si>
  <si>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</si>
  <si>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</si>
  <si>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</si>
  <si>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</si>
  <si>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</si>
  <si>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</si>
  <si>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</si>
  <si>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</si>
  <si>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</si>
  <si>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</si>
  <si>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</si>
  <si>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</si>
  <si>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</si>
  <si>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</si>
  <si>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</si>
  <si>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</si>
  <si>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</si>
  <si>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</si>
  <si>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</si>
  <si>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</si>
  <si>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</si>
  <si>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</si>
  <si>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</si>
  <si>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</si>
  <si>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</si>
  <si>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</si>
  <si>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</si>
  <si>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ArcadeHeaven uses Spring Boot which automatically deserializes JSON inputs into Java objects ensuring a canonical form at entry. Validation will be enforced using Bean Validation</t>
  </si>
  <si>
    <t>Api/src/main/java/.../Dto/Request/RegisterRequest.java; Api/src/main/java/.../Validation/NoHtmlValidator.java</t>
  </si>
  <si>
    <t>V1.1.2</t>
  </si>
  <si>
    <t>Verify that the application performs output encoding and escaping either as a final step before being used by the interpreter for which it is intended or by the interpreter itself.</t>
  </si>
  <si>
    <t>In Progress</t>
  </si>
  <si>
    <t>Output is mainly JSON responses handled by the Jackson serializer used by SpringBoot. Server generated files (PDF invoices, activation keys) are properly escaped and sanitized before file creation.</t>
  </si>
  <si>
    <t>Api/src/main/java/.../Exception/GlobalExceptionHandler.java (JSON error responses, no raw stack traces); Security/SecurityEventHandler.java (writeJson via ObjectMapper); Api/src/main/java/…/Service/InvoiceService.java;</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</si>
  <si>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</si>
  <si>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</si>
  <si>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</si>
  <si>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</si>
  <si>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Not Applicable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</si>
  <si>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</si>
  <si>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</si>
  <si>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</si>
  <si>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ArcadeHaven validates external URLs configuration scheme and host. Additionally, URLs are constructed using UriComponentsBuilder, ensuring dynamic paths segments are properly encoded and preventing malformed URL and and malicious URL injections.</t>
  </si>
  <si>
    <t>Api/src/main/java/…/Service/AuthService.java; Api/src/main/java/…/Service/ProfileService.java; Api/src/main/java/…/Config/KeycloakAdminConfig.java;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</si>
  <si>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</si>
  <si>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</si>
  <si>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</si>
  <si>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</si>
  <si>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</si>
  <si>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</si>
  <si>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</si>
  <si>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</si>
  <si>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</si>
  <si>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</si>
  <si>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</si>
  <si>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</si>
  <si>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</si>
  <si>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</si>
  <si>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</si>
  <si>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</si>
  <si>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</si>
  <si>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</si>
  <si>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</si>
  <si>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ArcadeHaven escapes special characters in inputs through the NoHtml validator and FileValidator.</t>
  </si>
  <si>
    <t>Api/src/main/java/…/Validation/NoHtmlValidator.java; Api/src/main/java/…/Validation/FileeValidator.java</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</si>
  <si>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</si>
  <si>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</si>
  <si>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</si>
  <si>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</si>
  <si>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</si>
  <si>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</si>
  <si>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</si>
  <si>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</si>
  <si>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</si>
  <si>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</si>
  <si>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</si>
  <si>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</si>
  <si>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</si>
  <si>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ArcadeHaven enforces input size constraints and value bounds in Dto files and sanitizes potentially dangerous context when building invoices. Uploaded files are assigned sanitized filenames before being store in file storage</t>
  </si>
  <si>
    <t>Api/src/main/java/…/Dto/Request; Api/src/main/java/…/Service/InvoiceService.java; Api/src/main/java/…/Service/FileStorageService.java; Api/main/java/…/Service/SftpStorageService.java</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</si>
  <si>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</si>
  <si>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</si>
  <si>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</si>
  <si>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</si>
  <si>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</si>
  <si>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</si>
  <si>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</si>
  <si>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</si>
  <si>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Not Started</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</si>
  <si>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</si>
  <si>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</si>
  <si>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</si>
  <si>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</si>
  <si>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</si>
  <si>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</si>
  <si>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</si>
  <si>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</si>
  <si>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</si>
  <si>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</si>
  <si>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ArcadeHaven ensures that user-controlled input is never used as a format string in logging, templating, or string formatting operations. All formatting operations use fixed templates with parameterized values, preventing format-string injection risks.</t>
  </si>
  <si>
    <t>Api/src/main/java/…/Controller; Api/src/main/java/…/Dto</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</si>
  <si>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</si>
  <si>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</si>
  <si>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</si>
  <si>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</si>
  <si>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</si>
  <si>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</si>
  <si>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</si>
  <si>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</si>
  <si>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</si>
  <si>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</si>
  <si>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</si>
  <si>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</si>
  <si>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ArcadeHaven Dto classes enforce value bounds and domain classes apply range validation techniques to prevent overflow</t>
  </si>
  <si>
    <t>Api/src/main/java/…/Dto/Request; Api/src/main/java/.../Service/Domain/Game Api/src/main/java/.../Service/Domain/OrderItem</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</si>
  <si>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</si>
  <si>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</si>
  <si>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</si>
  <si>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</si>
  <si>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</si>
  <si>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</si>
  <si>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</si>
  <si>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</si>
  <si>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spring.jackson.deserialization.fail-on-unknown-properties=true added to application.properties. KeycloakAdminConfig and all @Configuration beans confirmed to have no enableDefaultTyping() call. No DTO uses @JsonTypeInfo with As.PROPERTY without an allowlist.</t>
  </si>
  <si>
    <t>Api/src/main/resources/application.properties; Api/src/main/java/isep/desosfs/arcadehaven/Config/KeycloakAdminConfig.java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</si>
  <si>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</si>
  <si>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</si>
  <si>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</si>
  <si>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</si>
  <si>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</si>
  <si>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</si>
  <si>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</si>
  <si>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</si>
  <si>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</si>
  <si>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</si>
  <si>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</si>
  <si>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</si>
  <si>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</si>
  <si>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</si>
  <si>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</si>
  <si>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</si>
  <si>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</si>
  <si>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</si>
  <si>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</si>
  <si>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</si>
  <si>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</si>
  <si>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</si>
  <si>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</si>
  <si>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</si>
  <si>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</si>
  <si>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</si>
  <si>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</si>
  <si>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</si>
  <si>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</si>
  <si>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</si>
  <si>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</si>
  <si>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</si>
  <si>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</si>
  <si>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</si>
  <si>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</si>
  <si>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</si>
  <si>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</si>
  <si>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</si>
  <si>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</si>
  <si>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</si>
  <si>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</si>
  <si>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</si>
  <si>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</si>
  <si>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</si>
  <si>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</si>
  <si>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</si>
  <si>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</si>
  <si>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</si>
  <si>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</si>
  <si>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</si>
  <si>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</si>
  <si>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</si>
  <si>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</si>
  <si>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</si>
  <si>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</si>
  <si>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</si>
  <si>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</si>
  <si>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</si>
  <si>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</si>
  <si>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</si>
  <si>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</si>
  <si>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</si>
  <si>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</si>
  <si>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</si>
  <si>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</si>
  <si>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</si>
  <si>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</si>
  <si>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</si>
  <si>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</si>
  <si>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</si>
  <si>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</si>
  <si>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</si>
  <si>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</si>
  <si>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</si>
  <si>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 (`Strict-Transport-Security: max-age=31536000; includeSubDomains`) will be enforced on all API responses via Spring Security</t>
  </si>
  <si>
    <t>Api/src/main/.../Security/SecurityConfig.java (hsts maxAge=31536000, includeSubDomains=true)</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</si>
  <si>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</si>
  <si>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</si>
  <si>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will be configured with a strict allowlist of trusted origins. `Access-Control-Allow-Origin: *` will not be used on authenticated endpoints.</t>
  </si>
  <si>
    <t>Api/src/main/.../Security/SecurityConfig.java (corsConfigurationSource, explicit allowlist); application.properties (security.cors.allowed-origins)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</si>
  <si>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</si>
  <si>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</si>
  <si>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</si>
  <si>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</si>
  <si>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</si>
  <si>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will be included on all API responses via Spring Security headers configuration.</t>
  </si>
  <si>
    <t>Api/src/main/.../Security/SecurityConfig.java (contentTypeOptions nosniff)</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</si>
  <si>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</si>
  <si>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</si>
  <si>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</si>
  <si>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</si>
  <si>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</si>
  <si>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</si>
  <si>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</si>
  <si>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</si>
  <si>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</si>
  <si>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</si>
  <si>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</si>
  <si>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</si>
  <si>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</si>
  <si>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</si>
  <si>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</si>
  <si>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</si>
  <si>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</si>
  <si>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</si>
  <si>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</si>
  <si>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</si>
  <si>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</si>
  <si>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</si>
  <si>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</si>
  <si>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</si>
  <si>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</si>
  <si>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</si>
  <si>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</si>
  <si>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</si>
  <si>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</si>
  <si>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</si>
  <si>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</si>
  <si>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</si>
  <si>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</si>
  <si>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</si>
  <si>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</si>
  <si>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</si>
  <si>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</si>
  <si>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</si>
  <si>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</si>
  <si>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</si>
  <si>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</si>
  <si>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</si>
  <si>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</si>
  <si>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</si>
  <si>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</si>
  <si>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</si>
  <si>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</si>
  <si>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</si>
  <si>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</si>
  <si>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</si>
  <si>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</si>
  <si>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</si>
  <si>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</si>
  <si>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</si>
  <si>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</si>
  <si>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</si>
  <si>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</si>
  <si>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</si>
  <si>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</si>
  <si>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</si>
  <si>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</si>
  <si>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</si>
  <si>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</si>
  <si>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</si>
  <si>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</si>
  <si>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</si>
  <si>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</si>
  <si>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</si>
  <si>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</si>
  <si>
    <t>Api/src/main/resource/application.properties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</si>
  <si>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</si>
  <si>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</si>
  <si>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</si>
  <si>
    <t>Api/src/main/resources/application.properties; Api/src/main/.../Security/SecurityAuditService.java;  Api/src/main/…/Exception/GlobalExceptionHandler.java; Api/src/main/…/Security/SecurityAuditService.java</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</si>
  <si>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</si>
  <si>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</si>
  <si>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</si>
  <si>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</si>
  <si>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</si>
  <si>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</si>
  <si>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</si>
  <si>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</si>
  <si>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</si>
  <si>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</si>
  <si>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</si>
  <si>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</si>
  <si>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</si>
  <si>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</si>
  <si>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</si>
  <si>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</si>
  <si>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</si>
  <si>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</si>
  <si>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</si>
  <si>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</si>
  <si>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</si>
  <si>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</si>
  <si>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</si>
  <si>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</si>
  <si>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</si>
  <si>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</si>
  <si>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</si>
  <si>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</si>
  <si>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</si>
  <si>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</si>
  <si>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</si>
  <si>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</si>
  <si>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</si>
  <si>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</si>
  <si>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</si>
  <si>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</si>
  <si>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</si>
  <si>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</si>
  <si>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</si>
  <si>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</si>
  <si>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</si>
  <si>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</si>
  <si>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</si>
  <si>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</si>
  <si>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</si>
  <si>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Documentation/Requirements/requirements.md; Documentation/SecurityTesting/securityTesting.md</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</si>
  <si>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</si>
  <si>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</si>
  <si>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</si>
  <si>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</si>
  <si>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</si>
  <si>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Api/src/main/java/…/Services/GameService.java; Api/src/main/java/…/Validation/FileValidator.java</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</si>
  <si>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</si>
  <si>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</si>
  <si>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</si>
  <si>
    <t>Api/src/main/java/.../Validation/FileValidator.java (Tika MIME detection from file bytes); Api/src/main/java/…/Service/FileStorageService.java</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</si>
  <si>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</si>
  <si>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</si>
  <si>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</si>
  <si>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</si>
  <si>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</si>
  <si>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</si>
  <si>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</si>
  <si>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</si>
  <si>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</si>
  <si>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</si>
  <si>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</si>
  <si>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</si>
  <si>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</si>
  <si>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</si>
  <si>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Uploaded files are storage in a File Storage outside web-accessible directories. File access is performed through authenticated API endpoints and returned as a stream of binaries.</t>
  </si>
  <si>
    <t>Api/src/main/java/…/controller/PublisherController.java; Api/src/main/java/…/service/FileStorageService.java</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</si>
  <si>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</si>
  <si>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</si>
  <si>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Uploaded files paths are validated against traversal attempts, absolute paths abuse and allowed top level root.</t>
  </si>
  <si>
    <t>Api/src/main/java/…/Service/FileStorageService.java</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</si>
  <si>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</si>
  <si>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</si>
  <si>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</si>
  <si>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</si>
  <si>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</si>
  <si>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</si>
  <si>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</si>
  <si>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ArcadeHaven does not trust user-submitted filenames. Uploaded files are stored with a safe filename generated with UUID.</t>
  </si>
  <si>
    <t>Api/src/main/java/.../Service/GameService.java; Api/src/main/java/…/Controller/PublisherController.java;</t>
  </si>
  <si>
    <t>V5.4.2</t>
  </si>
  <si>
    <t>Verify that file names served (e.g., in HTTP response header fields or email attachments) are encoded or sanitized (e.g., following RFC 6266) to preserve document structure and prevent injection attacks.</t>
  </si>
  <si>
    <t>ArcadeHaven fetches files by their UUID and returns sanitized filename saved at time of creation.</t>
  </si>
  <si>
    <t>Api/src/main/java/…/Service/GameService.java;</t>
  </si>
  <si>
    <t>V5.4.3</t>
  </si>
  <si>
    <t>Verify that files obtained from untrusted sources are scanned by antivirus scanners to prevent serving of known malicious content.</t>
  </si>
  <si>
    <t>ArcadeHaven scans for known malware using ClamAV antivirus before processing a file.</t>
  </si>
  <si>
    <t>Api/src/main/java/…/Service/ClamAVService.java; Api/src/main/java/…/GameService.java</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</si>
  <si>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</si>
  <si>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</si>
  <si>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</si>
  <si>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</si>
  <si>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</si>
  <si>
    <t>Api/src/main/java/isep/desosfs/arcadehaven/Security/RateLimitFilter.java (Bucket4j 20 req/min); Security/SecurityAuditService.java (checkAndAlert); Service/PasswordPolicyService.java</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</si>
  <si>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</si>
  <si>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</si>
  <si>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</si>
  <si>
    <t>Api/src/main/java/isep/desosfs/arcadehaven/Service/PasswordPolicyService.java:CONTEXT_BLOCKLIST, checkContextTerms()</t>
  </si>
  <si>
    <t>V6.1.3</t>
  </si>
  <si>
    <t>Verify that, if the application includes multiple authentication pathways, these are all documented together with the security controls and authentication strength which must be consistently enforced across them.</t>
  </si>
  <si>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</si>
  <si>
    <t>Api/src/main/java/isep/desosfs/arcadehaven/Service/AuthService.java (login, register, logout); Security/SecurityConfig.java (JWT validation, deny-all default)</t>
  </si>
  <si>
    <t>V6.2</t>
  </si>
  <si>
    <t>Password Security</t>
  </si>
  <si>
    <t>V6.2.1</t>
  </si>
  <si>
    <t>Verify that user set passwords are at least 8 characters in length although a minimum of 15 characters is strongly recommended.</t>
  </si>
  <si>
    <t>RegisterRequest enforces @Size(min=12, max=128) on password, exceeding the ASVS minimum of 8 characters. Validated server-side by Bean Validation. Same constraint enforced at Keycloak realm level.</t>
  </si>
  <si>
    <t>Api/src/main/java/isep/desosfs/arcadehaven/Dto/Request/RegisterRequest.java (@Size(min=12, max=128))</t>
  </si>
  <si>
    <t>V6.2.2</t>
  </si>
  <si>
    <t>Verify that users can change their password.</t>
  </si>
  <si>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</si>
  <si>
    <t>Api/src/main/java/isep/desosfs/arcadehaven/Controller/ProfileController.java:changePassword(); Service/ProfileService.java:changePassword(); Dto/Request/ChangePasswordRequest.java</t>
  </si>
  <si>
    <t>V6.2.3</t>
  </si>
  <si>
    <t>Verify that password change functionality requires the user's current and new password.</t>
  </si>
  <si>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</si>
  <si>
    <t>Api/src/main/java/isep/desosfs/arcadehaven/Service/ProfileService.java:verifyCurrentPassword(), changePassword()</t>
  </si>
  <si>
    <t>V6.2.4</t>
  </si>
  <si>
    <t>Verify that passwords submitted during account registration or password change are checked against an available set of, at least, the top 3000 passwords which match the application's password policy, e.g. minimum length.</t>
  </si>
  <si>
    <t>PasswordPolicyService.checkCommonPasswords() checks submitted passwords against top-3000+ common passwords loaded from /security/common-passwords.txt (case-insensitive). Called at registration and password change.</t>
  </si>
  <si>
    <t>Api/src/main/java/isep/desosfs/arcadehaven/Service/PasswordPolicyService.java:checkCommonPasswords(); src/main/resources/security/common-passwords.txt</t>
  </si>
  <si>
    <t>V6.2.5</t>
  </si>
  <si>
    <t>Verify that passwords of any composition can be used, without rules limiting the type of characters permitted. There must be no requirement for a minimum number of upper or lower case characters, numbers, or special characters.</t>
  </si>
  <si>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</si>
  <si>
    <t>Api/src/main/java/isep/desosfs/arcadehaven/Service/PasswordPolicyService.java (no composition checks); Dto/Request/RegisterRequest.java (@Size only)</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</si>
  <si>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</si>
  <si>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</si>
  <si>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</si>
  <si>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</si>
  <si>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</si>
  <si>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</si>
  <si>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</si>
  <si>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</si>
  <si>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</si>
  <si>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</si>
  <si>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</si>
  <si>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</si>
  <si>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RegisterRequest and ChangePasswordRequest both enforce @Size(min=12, max=128). The 128-character maximum exceeds the 64-character minimum. Keycloak realm policy configured consistently.</t>
  </si>
  <si>
    <t>Api/src/main/java/isep/desosfs/arcadehaven/Dto/Request/RegisterRequest.java (@Size(max=128)); Dto/Request/ChangePasswordRequest.java (@Size(max=128))</t>
  </si>
  <si>
    <t>V6.2.10</t>
  </si>
  <si>
    <t>Verify that a user's password stays valid until it is discovered to be compromised or the user rotates it. The application must not require periodic credential rotation.</t>
  </si>
  <si>
    <t>No periodic password expiration enforced. Keycloak realm has no force-expired-password-change policy. Passwords remain valid until voluntarily changed by the user or a breach is detected (HIBP).</t>
  </si>
  <si>
    <t>Keycloak realm: no password expiry policy; Api/src/main/java/isep/desosfs/arcadehaven/Service/AuthService.java (no expiry enforcement)</t>
  </si>
  <si>
    <t>V6.2.11</t>
  </si>
  <si>
    <t>Verify that the documented list of context specific words is used to prevent easy to guess passwords being created.</t>
  </si>
  <si>
    <t>PasswordPolicyService.checkContextTerms() performs case-insensitive substring search against CONTEXT_BLOCKLIST at registration (AuthService.register()) and password change (ProfileService.changePassword()). Rejection message is generic and does not disclose the matched term.</t>
  </si>
  <si>
    <t>Api/src/main/java/isep/desosfs/arcadehaven/Service/PasswordPolicyService.java:checkContextTerms()</t>
  </si>
  <si>
    <t>V6.2.12</t>
  </si>
  <si>
    <t>Verify that passwords submitted during account registration or password changes are checked against a set of breached passwords.</t>
  </si>
  <si>
    <t>PasswordPolicyService.checkHibp() computes SHA-1, sends 5-char prefix to HaveIBeenPwned k-anonymity API, checks if suffix appears in response. Full hash never transmitted. Applied at registration and password change. Configurable via security.hibp.enabled=false for offline environments.</t>
  </si>
  <si>
    <t>Api/src/main/java/isep/desosfs/arcadehaven/Service/PasswordPolicyService.java:checkHibp()</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</si>
  <si>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</si>
  <si>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</si>
  <si>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</si>
  <si>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</si>
  <si>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</si>
  <si>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</si>
  <si>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</si>
  <si>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</si>
  <si>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</si>
  <si>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</si>
  <si>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</si>
  <si>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</si>
  <si>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</si>
  <si>
    <t>Keycloak realm: MFA / TOTP required action for ADMIN; Api/src/main/java/isep/desosfs/arcadehaven/Config/KeycloakAdminConfig.java</t>
  </si>
  <si>
    <t>V6.3.4</t>
  </si>
  <si>
    <t>Verify that, if the application includes multiple authentication pathways, there are no undocumented pathways and that security controls and authentication strength are enforced consistently.</t>
  </si>
  <si>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</si>
  <si>
    <t>Api/src/main/java/isep/desosfs/arcadehaven/Security/SecurityConfig.java (uniform JWT, deny-all default)</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</si>
  <si>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</si>
  <si>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</si>
  <si>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</si>
  <si>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</si>
  <si>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</si>
  <si>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</si>
  <si>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</si>
  <si>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</si>
  <si>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</si>
  <si>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</si>
  <si>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</si>
  <si>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</si>
  <si>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</si>
  <si>
    <t>Api/src/main/java/isep/desosfs/arcadehaven/Domain/OrderItem.java:generateActivationKey() (SecureRandom 128-bit); Config/AdminInitializer.java (ADMIN_PASSWORD env var)</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</si>
  <si>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</si>
  <si>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</si>
  <si>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</si>
  <si>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</si>
  <si>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</si>
  <si>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</si>
  <si>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Password reset handled entirely by Keycloak: sends time-limited (5 min), single-use secure email link. Reset link invalidated immediately after use. Does not bypass MFA. No custom reset flow in Spring Boot.</t>
  </si>
  <si>
    <t>Keycloak realm: forgot-password flow (5-min single-use token via secure email)</t>
  </si>
  <si>
    <t>V6.4.4</t>
  </si>
  <si>
    <t>Verify that if a multi-factor authentication factor is lost, evidence of identity proofing is performed at the same level as during enrollment.</t>
  </si>
  <si>
    <t>MFA factor recovery handled by Keycloak Admin Console: admin removes TOTP credential and sets CONFIGURE_TOTP as required action, forcing re-enrolment at same assurance level as original enrolment. No self-service MFA recovery bypass in the application.</t>
  </si>
  <si>
    <t>Keycloak Admin Console: Users -&gt; Credentials -&gt; remove OTP -&gt; required action CONFIGURE_TOTP</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</si>
  <si>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</si>
  <si>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</si>
  <si>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</si>
  <si>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</si>
  <si>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</si>
  <si>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</si>
  <si>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</si>
  <si>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</si>
  <si>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TOTP codes single-use by design: Keycloak maintains used-code cache preventing replay within same time window. Password reset tokens single-use: invalidated after first use. Activation keys single-use: consumed on redemption via OrderItem.redeem().</t>
  </si>
  <si>
    <t>Keycloak TOTP: used-code cache (anti-replay); Api/src/main/java/isep/desosfs/arcadehaven/Domain/OrderItem.java:redeem()</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</si>
  <si>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</si>
  <si>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</si>
  <si>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TOTP seeds stored by Keycloak in AES-encrypted credential store (not accessible to Spring Boot). Activation keys have 128-bit entropy (&gt;= 112 bits), so a standard hash is permitted by ASVS; they are stored as display-once values access-controlled at DB level.</t>
  </si>
  <si>
    <t>Keycloak credential store (AES-encrypted TOTP seeds); Api/src/main/java/isep/desosfs/arcadehaven/Domain/OrderItem.java (128-bit activation key, display-once)</t>
  </si>
  <si>
    <t>V6.5.3</t>
  </si>
  <si>
    <t>Verify that lookup secrets, out-of-band authentication code, and time-based one-time password seeds, are generated using a Cryptographically Secure Pseudorandom Number Generator (CSPRNG) to avoid predictable values.</t>
  </si>
  <si>
    <t>TOTP seeds and password reset tokens generated by Keycloak using SecureRandom. Activation keys generated via java.security.SecureRandom.nextBytes(16) in OrderItem.generateActivationKey(). No Math.random() or non-cryptographic generator used in any secret-generation path.</t>
  </si>
  <si>
    <t>Keycloak (SecureRandom for TOTP seeds and reset tokens); Api/src/main/java/isep/desosfs/arcadehaven/Domain/OrderItem.java:generateActivationKey() (SecureRandom)</t>
  </si>
  <si>
    <t>V6.5.4</t>
  </si>
  <si>
    <t>Verify that lookup secrets and out-of-band authentication codes have a minimum of 20 bits of entropy (typically 4 random alphanumeric characters or 6 random digits is sufficient).</t>
  </si>
  <si>
    <t>Keycloak TOTP generates 6-digit codes (log2(10^6) ~20 bits of entropy, meets 20-bit minimum). Password reset tokens &gt;= 128 bits. Activation keys 128 bits. No code falls below 20-bit threshold.</t>
  </si>
  <si>
    <t>Keycloak TOTP: 6-digit codes (~20 bits); Activation keys: 128 bits</t>
  </si>
  <si>
    <t>V6.5.5</t>
  </si>
  <si>
    <t>Verify that out-of-band authentication requests, codes, or tokens, as well as time-based one-time passwords (TOTPs) have a defined lifetime. Out of band requests must have a maximum lifetime of 10 minutes and for TOTP a maximum lifetime of 30 seconds.</t>
  </si>
  <si>
    <t>Keycloak TOTP: 30-second time step with +/-1 step tolerance (90 sec max window, within 30s requirement). Password reset links expire after 5 minutes (within 10-minute max for out-of-band requests). Email verification codes expire after 5 minutes.</t>
  </si>
  <si>
    <t>Keycloak realm: OTP Policy (30s step, +/-1 tolerance); action-token-generated-by-admin-lifespan=5m</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</si>
  <si>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</si>
  <si>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</si>
  <si>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</si>
  <si>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</si>
  <si>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</si>
  <si>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</si>
  <si>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</si>
  <si>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</si>
  <si>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</si>
  <si>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</si>
  <si>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</si>
  <si>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</si>
  <si>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</si>
  <si>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Keycloak TOTP codes time-bound (30s) and session-scoped. Used-code tracking prevents replay in different sessions. Password reset tokens cryptographically bound to specific user and action; cannot be used for different user or action.</t>
  </si>
  <si>
    <t>Keycloak TOTP: session-scoped, used-code tracking; Keycloak reset tokens: user-ID-bound, single-use</t>
  </si>
  <si>
    <t>V6.6.3</t>
  </si>
  <si>
    <t>Verify that a code based out-of-band authentication mechanism is protected against brute force attacks by using rate limiting. Consider also using a code with at least 64 bits of entropy.</t>
  </si>
  <si>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</si>
  <si>
    <t>Keycloak realm: brute-force protection; Api/src/main/java/isep/desosfs/arcadehaven/Security/RateLimitFilter.java (20 req/min, secondary layer)</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</si>
  <si>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</si>
  <si>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</si>
  <si>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</si>
  <si>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</si>
  <si>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</si>
  <si>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</si>
  <si>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</si>
  <si>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</si>
  <si>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</si>
  <si>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</si>
  <si>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</si>
  <si>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</si>
  <si>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</si>
  <si>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</si>
  <si>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</si>
  <si>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</si>
  <si>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</si>
  <si>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</si>
  <si>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</si>
  <si>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</si>
  <si>
    <t>Api/src/main/java/isep/desosfs/arcadehaven/Service/AuthService.java:logout() (Keycloak session revocation); Keycloak realm: access-token-lifespan=900s (15 min)</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</si>
  <si>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</si>
  <si>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</si>
  <si>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</si>
  <si>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</si>
  <si>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</si>
  <si>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</si>
  <si>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</si>
  <si>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</si>
  <si>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</si>
  <si>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</si>
  <si>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</si>
  <si>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</si>
  <si>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</si>
  <si>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</si>
  <si>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</si>
  <si>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</si>
  <si>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</si>
  <si>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</si>
  <si>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</si>
  <si>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</si>
  <si>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</si>
  <si>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</si>
  <si>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</si>
  <si>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</si>
  <si>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</si>
  <si>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</si>
  <si>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</si>
  <si>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</si>
  <si>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</si>
  <si>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</si>
  <si>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</si>
  <si>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</si>
  <si>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</si>
  <si>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</si>
  <si>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</si>
  <si>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</si>
  <si>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</si>
  <si>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</si>
  <si>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</si>
  <si>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</si>
  <si>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</si>
  <si>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</si>
  <si>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</si>
  <si>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</si>
  <si>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</si>
  <si>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</si>
  <si>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</si>
  <si>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</si>
  <si>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</si>
  <si>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</si>
  <si>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</si>
  <si>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</si>
  <si>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</si>
  <si>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</si>
  <si>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</si>
  <si>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</si>
  <si>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</si>
  <si>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</si>
  <si>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</si>
  <si>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Api/src/main/.../Security/SecurityConfig.java (role-based URL rules: ADMIN, PUBLISHER, BUYER; deny-all default)</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</si>
  <si>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</si>
  <si>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</si>
  <si>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</si>
  <si>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Api/src/main/.../Security/SecurityConfig.java; Service/GameService.java (findByIdAndPublisher); Service/FileStorageService.java (path traversal prevention)</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</si>
  <si>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</si>
  <si>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</si>
  <si>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</si>
  <si>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</si>
  <si>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</si>
  <si>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</si>
  <si>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</si>
  <si>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</si>
  <si>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</si>
  <si>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</si>
  <si>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</si>
  <si>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</si>
  <si>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</si>
  <si>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</si>
  <si>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</si>
  <si>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</si>
  <si>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</si>
  <si>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</si>
  <si>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</si>
  <si>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</si>
  <si>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</si>
  <si>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</si>
  <si>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</si>
  <si>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</si>
  <si>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</si>
  <si>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</si>
  <si>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</si>
  <si>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</si>
  <si>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</si>
  <si>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</si>
  <si>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</si>
  <si>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</si>
  <si>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</si>
  <si>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</si>
  <si>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</si>
  <si>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</si>
  <si>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</si>
  <si>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</si>
  <si>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</si>
  <si>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</si>
  <si>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</si>
  <si>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</si>
  <si>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</si>
  <si>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</si>
  <si>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</si>
  <si>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</si>
  <si>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</si>
  <si>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</si>
  <si>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</si>
  <si>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</si>
  <si>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</si>
  <si>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</si>
  <si>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</si>
  <si>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</si>
  <si>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</si>
  <si>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</si>
  <si>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</si>
  <si>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</si>
  <si>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</si>
  <si>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</si>
  <si>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</si>
  <si>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</si>
  <si>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</si>
  <si>
    <t>Api/src/main/java/.../Security/JwtBearerTypValidator.java; Api/src/main/java/.../Security/SecurityConfig.java (jwtDecoder bean); Api/src/test/java/.../Security/JwtBearerTypValidatorTest.java (6 tests)</t>
  </si>
  <si>
    <t>V9.2.3</t>
  </si>
  <si>
    <t>Verify that the service only accepts tokens which are intended for use with that service (audience). For JWTs, this can be achieved by validating the 'aud' claim against an allowlist defined in the service.</t>
  </si>
  <si>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</si>
  <si>
    <t>Api/src/main/resources/application.properties (audiences=arcadehaven-api); Api/src/main/java/.../Security/SecurityConfig.java (JwtClaimValidator aud); Api/src/test/java/.../Config/JwtAudienceConfigTest.java (4 tests)</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</si>
  <si>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</si>
  <si>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</si>
  <si>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</si>
  <si>
    <t>Api/src/main/resources/application.properties (audiences=arcadehaven-api); Api/src/main/java/.../Security/SecurityConfig.java (jwtDecoder bean); keycloak/realm-export.json (oidc-audience-mapper)</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</si>
  <si>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</si>
  <si>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</si>
  <si>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</si>
  <si>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</si>
  <si>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</si>
  <si>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</si>
  <si>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</si>
  <si>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</si>
  <si>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</si>
  <si>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</si>
  <si>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</si>
  <si>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</si>
  <si>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</si>
  <si>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</si>
  <si>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</si>
  <si>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</si>
  <si>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</si>
  <si>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</si>
  <si>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</si>
  <si>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</si>
  <si>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</si>
  <si>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</si>
  <si>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</si>
  <si>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</si>
  <si>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Configured via spring.security.oauth2.resourceserver.jwt.audiences=arcadehaven-api. Tokens with a different audience are rejected with 401.</t>
  </si>
  <si>
    <t>Api/src/main/resources/application.properties (spring.security.oauth2.resourceserver.jwt.audiences=arcadehaven-api); Security/SecurityConfig.java</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</si>
  <si>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</si>
  <si>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</si>
  <si>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</si>
  <si>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</si>
  <si>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</si>
  <si>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</si>
  <si>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</si>
  <si>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</si>
  <si>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</si>
  <si>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</si>
  <si>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</si>
  <si>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</si>
  <si>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</si>
  <si>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</si>
  <si>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</si>
  <si>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</si>
  <si>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</si>
  <si>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</si>
  <si>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arcadehaven-public client is configured with an explicit allowlist of redirect URIs using exact string matching: http://localhost:3000/* and http://localhost:5173/*. No wildcards that would allow arbitrary redirects are permitted.</t>
  </si>
  <si>
    <t>keycloak/realm-export.json (arcadehaven-public client.redirectUris: ["http://localhost:3000/*", "http://localhost:5173/*"])</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</si>
  <si>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</si>
  <si>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</si>
  <si>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second request and revokes any tokens previously issued from that code. This is built-in behavior of the Keycloak authorization server.</t>
  </si>
  <si>
    <t>keycloak/realm-export.json (Keycloak 26.2 native: single-use auth codes enforced by authorization server)</t>
  </si>
  <si>
    <t>V10.4.3</t>
  </si>
  <si>
    <t>Verify that the authorization code is short-lived. The maximum lifetime can be up to 10 minutes for L1 and L2 applications and up to 1 minute for L3 applications.</t>
  </si>
  <si>
    <t>Authorization codes are configured with a 60-second lifetime (accessCodeLifespan=60) in the Keycloak realm. This is well within the L1/L2 maximum of 10 minutes and provides strong protection against code interception.</t>
  </si>
  <si>
    <t>keycloak/realm-export.json (accessCodeLifespan=60 seconds)</t>
  </si>
  <si>
    <t>V10.4.4</t>
  </si>
  <si>
    <t>Verify that for a given client, the authorization server only allows the usage of grants that this client needs to use. Note that the grants 'token' (Implicit flow) and 'password' (Resource Owner Password Credentials flow) must no longer be used.</t>
  </si>
  <si>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</si>
  <si>
    <t>Documentation/SecurityDeviations.md (DEV-01); keycloak/realm-export.json; Api/src/main/java/.../Service/AuthService.java; Api/src/test/.../Config/OAuthGrantConfigTest.java</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</si>
  <si>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</si>
  <si>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</si>
  <si>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 rotation is enforced at realm level: revokeRefreshToken=true and refreshTokenMaxReuse=0. Each refresh token use issues a new token and immediately invalidates the previous one. If a revoked refresh token is presented, all tokens for that session are revoked.</t>
  </si>
  <si>
    <t>keycloak/realm-export.json (revokeRefreshToken=true, refreshTokenMaxReuse=0)</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</si>
  <si>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</si>
  <si>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</si>
  <si>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with S256 is enforced for the arcadehaven-public client via the Keycloak client attribute pkce.code.challenge.method=S256. The plain method is rejected. Keycloak validates the code_verifier on every token request against the stored code_challenge.</t>
  </si>
  <si>
    <t>keycloak/realm-export.json (arcadehaven-public attributes: pkce.code.challenge.method=S256)</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</si>
  <si>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</si>
  <si>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</si>
  <si>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</si>
  <si>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</si>
  <si>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</si>
  <si>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have an absolute expiration of 7 days (ssoSessionMaxLifespan=604800 seconds) configured at realm level. offlineSessionMaxLifespanEnabled=false prevents indefinite offline session extension. Sliding expiration is bounded by the absolute maximum.</t>
  </si>
  <si>
    <t>keycloak/realm-export.json (ssoSessionMaxLifespan=604800, offlineSessionMaxLifespanEnabled=false)</t>
  </si>
  <si>
    <t>V10.4.9</t>
  </si>
  <si>
    <t>Verify that refresh tokens and reference access tokens can be revoked by an authorized user using the authorization server user interface, to mitigate the risk of malicious clients or stolen tokens.</t>
  </si>
  <si>
    <t>Token and refresh token revocation is available via: (1) POST /api/auth/logout which calls Keycloak session revocation API, (2) Keycloak account management console at /realms/arcadehaven/account where users can view and revoke active sessions.</t>
  </si>
  <si>
    <t>keycloak/realm-export.json; Api/src/main/.../Service/AuthService.java (logout() -&gt; keycloak.realm().users().get(id).logout()); Controller/AuthController.java</t>
  </si>
  <si>
    <t>V10.4.10</t>
  </si>
  <si>
    <t>Verify that confidential client is authenticated for client-to-authorized server backchannel requests such as token requests, pushed authorization requests (PAR), and token revocation requests.</t>
  </si>
  <si>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</si>
  <si>
    <t>keycloak/realm-export.json (arcadehaven-backend: serviceAccountsEnabled=true, clientRoles: realm-management/realm-admin); Config/KeycloakAdminConfig.java (OAuth2Constants.CLIENT_CREDENTIALS)</t>
  </si>
  <si>
    <t>V10.4.11</t>
  </si>
  <si>
    <t>Verify that the authorization server configuration only assigns the required scopes to the OAuth client.</t>
  </si>
  <si>
    <t>arcadehaven-public client is configured with only required scopes in defaultClientScopes: [openid, web-origins, acr, profile, roles, email, basic]. optionalClientScopes is empty, preventing clients from requesting additional scopes beyond what is needed.</t>
  </si>
  <si>
    <t>keycloak/realm-export.json (arcadehaven-public: defaultClientScopes=[openid,web-origins,acr,profile,roles,email,basic], optionalClientScopes=[])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</si>
  <si>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</si>
  <si>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</si>
  <si>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</si>
  <si>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</si>
  <si>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</si>
  <si>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</si>
  <si>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</si>
  <si>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</si>
  <si>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</si>
  <si>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</si>
  <si>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</si>
  <si>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</si>
  <si>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</si>
  <si>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</si>
  <si>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</si>
  <si>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</si>
  <si>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</si>
  <si>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</si>
  <si>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</si>
  <si>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</si>
  <si>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</si>
  <si>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</si>
  <si>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</si>
  <si>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</si>
  <si>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</si>
  <si>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</si>
  <si>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</si>
  <si>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</si>
  <si>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</si>
  <si>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</si>
  <si>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ID Tokens is validated by the Spring Security JWT decoder configured with arcadehaven-api audience. The realm export configures the audience mapper so the arcadehaven-public client receives tokens with the correct audience claim.</t>
  </si>
  <si>
    <t>Api/src/main/resources/application.properties (spring.security.oauth2.resourceserver.jwt.audiences=arcadehaven-api); keycloak/realm-export.json</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</si>
  <si>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</si>
  <si>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</si>
  <si>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</si>
  <si>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</si>
  <si>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</si>
  <si>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</si>
  <si>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</si>
  <si>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arcadehaven-public client is configured with implicitFlowEnabled=false and standardFlowEnabled=true (Authorization Code flow only). The OpenID Provider (Keycloak) only issues code response types for ArcadeHaven clients. id_token and token response types are not permitted.</t>
  </si>
  <si>
    <t>keycloak/realm-export.json (arcadehaven-public: implicitFlowEnabled=false, standardFlowEnabled=true)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</si>
  <si>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</si>
  <si>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</si>
  <si>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logout requests and supports id_token_hint to confirm session identity before terminating. The ArcadeHaven POST /api/auth/logout endpoint forwards session revocation to Keycloak, which handles forced-logout DoS through its built-in flow validation.</t>
  </si>
  <si>
    <t>keycloak/realm-export.json (Keycloak manages logout flow validation); Api/src/main/.../Service/AuthService.java (logout() -&gt; Keycloak revocation); Security/RateLimitFilter.java</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</si>
  <si>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</si>
  <si>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</si>
  <si>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</si>
  <si>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</si>
  <si>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For first-party pre-registered clients consentRequired=false. Keycloak prompts explicit consent for any external client whose identity cannot be assured. Dynamic client registration is not supported, so all clients are trusted first-party applications.</t>
  </si>
  <si>
    <t>keycloak/realm-export.json (arcadehaven-public: consentRequired=false; dynamic client registration disabled)</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</si>
  <si>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</si>
  <si>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</si>
  <si>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built-in consent screen presents the authorizing application name, the requested scopes (openid, profile, email, roles), and session lifetime to the user before approval. This satisfies the requirement for clear and sufficient information about what is being authorized.</t>
  </si>
  <si>
    <t>keycloak/realm-export.json (Keycloak consent UI renders scope, client identity, and session lifetime)</t>
  </si>
  <si>
    <t>V10.7.3</t>
  </si>
  <si>
    <t>Verify that the user can review, modify, and revoke consents which the user has granted through the authorization server.</t>
  </si>
  <si>
    <t>Users can review, modify, and revoke granted consents and active sessions via the Keycloak account management console (/realms/arcadehaven/account). Additionally, POST /api/auth/logout triggers full session revocation via the Keycloak Admin API.</t>
  </si>
  <si>
    <t>keycloak/realm-export.json; Api/src/main/.../Service/AuthService.java (logout() revokes all sessions); Controller/AuthController.java; Keycloak /realms/arcadehaven/account</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</si>
  <si>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</si>
  <si>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</si>
  <si>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</si>
  <si>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</si>
  <si>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</si>
  <si>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</si>
  <si>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</si>
  <si>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</si>
  <si>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</si>
  <si>
    <t>Documentation/CryptographicInventory.md (sections 1-2, 4-5)</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</si>
  <si>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</si>
  <si>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</si>
  <si>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</si>
  <si>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</si>
  <si>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</si>
  <si>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</si>
  <si>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</si>
  <si>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</si>
  <si>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</si>
  <si>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</si>
  <si>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</si>
  <si>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</si>
  <si>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</si>
  <si>
    <t>Documentation/CryptographicInventory.md §3 (Migration Procedures 3.1-3.5)</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</si>
  <si>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</si>
  <si>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</si>
  <si>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</si>
  <si>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</si>
  <si>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</si>
  <si>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</si>
  <si>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</si>
  <si>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</si>
  <si>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</si>
  <si>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</si>
  <si>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</si>
  <si>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</si>
  <si>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</si>
  <si>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</si>
  <si>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</si>
  <si>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</si>
  <si>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</si>
  <si>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</si>
  <si>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</si>
  <si>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</si>
  <si>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</si>
  <si>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</si>
  <si>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</si>
  <si>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</si>
  <si>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</si>
  <si>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</si>
  <si>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</si>
  <si>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</si>
  <si>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</si>
  <si>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</si>
  <si>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</si>
  <si>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</si>
  <si>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</si>
  <si>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</si>
  <si>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</si>
  <si>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</si>
  <si>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</si>
  <si>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</si>
  <si>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</si>
  <si>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</si>
  <si>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</si>
  <si>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</si>
  <si>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</si>
  <si>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</si>
  <si>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</si>
  <si>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</si>
  <si>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</si>
  <si>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</si>
  <si>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</si>
  <si>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</si>
  <si>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</si>
  <si>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</si>
  <si>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</si>
  <si>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</si>
  <si>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</si>
  <si>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</si>
  <si>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</si>
  <si>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</si>
  <si>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</si>
  <si>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</si>
  <si>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</si>
  <si>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</si>
  <si>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</si>
  <si>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</si>
  <si>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</si>
  <si>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</si>
  <si>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</si>
  <si>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</si>
  <si>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</si>
  <si>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</si>
  <si>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</si>
  <si>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</si>
  <si>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</si>
  <si>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</si>
  <si>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</si>
  <si>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</si>
  <si>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</si>
  <si>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</si>
  <si>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nginx/nginx.conf enforces ssl_protocols TLSv1.2 TLSv1.3 only. NginxTlsConfig.java validates allowed protocols and NginxTlsConfigTest.java tests this alongside the existing WebServerTlsConfig.</t>
  </si>
  <si>
    <t>nginx/nginx.conf (ssl_protocols TLSv1.2 TLSv1.3); Api/src/main/.../Security/NginxTlsConfig.java; Api/src/test/.../Security/NginxTlsConfigTest.java; Api/src/main/.../Security/WebServerTlsConfig.java</t>
  </si>
  <si>
    <t>V12.1.2</t>
  </si>
  <si>
    <t>Verify that only recommended cipher suites are enabled, with the strongest cipher suites set as preferred. L3 applications must only support cipher suites which provide forward secrecy.</t>
  </si>
  <si>
    <t>nginx/nginx.conf enforces ECDHE+GCM cipher suites (forward secrecy). NginxTlsConfig.java enumerates approved/forbidden ciphers and NginxTlsConfigTest.java verifies them.</t>
  </si>
  <si>
    <t>nginx/nginx.conf (ssl_ciphers ECDHE-*-GCM); Api/src/main/.../Security/NginxTlsConfig.java; Api/src/test/.../Security/NginxTlsConfigTest.java; Api/src/main/.../Security/WebServerTlsConfig.java (APPROVED/FORBIDDEN cipher lists)</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</si>
  <si>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</si>
  <si>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</si>
  <si>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</si>
  <si>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</si>
  <si>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</si>
  <si>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</si>
  <si>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</si>
  <si>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</si>
  <si>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</si>
  <si>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</si>
  <si>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</si>
  <si>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nginx listens on port 443 with TLS; port 80 redirects to 443 via return 301. Application port 8080 is not published externally (only reachable within the Docker bridge network), preventing any plaintext external exposure.</t>
  </si>
  <si>
    <t>nginx/nginx.conf (listen 443 ssl; listen 80 -&gt; return 301 https); Api/docker-compose.yml (ports: 443:443 only; 8080 not published)</t>
  </si>
  <si>
    <t>V12.2.2</t>
  </si>
  <si>
    <t>Verify that external facing services use publicly trusted TLS certificates.</t>
  </si>
  <si>
    <t>Partial</t>
  </si>
  <si>
    <t>A self-signed certificate is generated for dev/CI via generate-self-signed-cert.sh. Production deployment requires swapping this for a CA-signed (e.g. Let's Encrypt) certificate; the certificate mount point is prepared in docker-compose.</t>
  </si>
  <si>
    <t>nginx/generate-self-signed-cert.sh; nginx/nginx.conf (ssl_certificate/ssl_certificate_key); Api/docker-compose.yml (volume mount for cert)</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</si>
  <si>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</si>
  <si>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</si>
  <si>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</si>
  <si>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</si>
  <si>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</si>
  <si>
    <t>Api/src/main/.../Service/SftpStorageService.java (SSHJ SSH/SFTP); Api/src/main/resources/application.properties (spring.datasource.url?sslmode=require); Api/docker-compose.yml (Keycloak internal HTTP)</t>
  </si>
  <si>
    <t>V12.3.2</t>
  </si>
  <si>
    <t>Verify that TLS clients validate certificates received before communicating with a TLS server.</t>
  </si>
  <si>
    <t>KeycloakBuilder and RestTemplate rely on the JVM default SSLContext which validates certificates against the system trust store. No trustAllCerts / HostnameVerifier bypass pattern is present in the codebase.</t>
  </si>
  <si>
    <t>Api/src/main/.../Config/KeycloakConfig.java (KeycloakBuilder); Api/src/main/.../Service/AuthService.java (RestTemplate); no InsecureTrustManagerFactory or PromiscuousHostnameVerifier usage</t>
  </si>
  <si>
    <t>V12.3.3</t>
  </si>
  <si>
    <t>Verify that TLS or another appropriate transport encryption mechanism used for all connectivity between internal, HTTP-based services within the application, and does not fall back to insecure or unencrypted communications.</t>
  </si>
  <si>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</si>
  <si>
    <t>Api/docker-compose.yml (bridge network); Api/src/main/.../Service/SftpStorageService.java (SFTP encrypted); no mTLS between API and Keycloak</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</si>
  <si>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</si>
  <si>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</si>
  <si>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SftpStorageService uses OpenSSHKnownHosts to verify the SFTP server host key when sftp.known-hosts-path is configured. A WARN log is emitted when PromiscuousVerifier is active (dev/CI only). No blanket trust-all pattern is used in production paths.</t>
  </si>
  <si>
    <t>Api/src/main/.../Service/SftpStorageService.java (OpenSSHKnownHosts when sftp.known-hosts-path set; WARN log for PromiscuousVerifier in dev); Api/src/main/resources/application.properties (sftp.known-hosts-path)</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</si>
  <si>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</si>
  <si>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</si>
  <si>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</si>
  <si>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</si>
  <si>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</si>
  <si>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</si>
  <si>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</si>
  <si>
    <t>Documentation/CommunicationMatrix.md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</si>
  <si>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</si>
  <si>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</si>
  <si>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</si>
  <si>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</si>
  <si>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</si>
  <si>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</si>
  <si>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</si>
  <si>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</si>
  <si>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</si>
  <si>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</si>
  <si>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</si>
  <si>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</si>
  <si>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</si>
  <si>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</si>
  <si>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</si>
  <si>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</si>
  <si>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</si>
  <si>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</si>
  <si>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</si>
  <si>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</si>
  <si>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</si>
  <si>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</si>
  <si>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</si>
  <si>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</si>
  <si>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</si>
  <si>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</si>
  <si>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</si>
  <si>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</si>
  <si>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</si>
  <si>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</si>
  <si>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</si>
  <si>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</si>
  <si>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</si>
  <si>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</si>
  <si>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</si>
  <si>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</si>
  <si>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Created Api/.dockerignore excluding .git, .env, .env.*, target/, logs/, .github/, Documentation/, Deliverables/, .idea/ and other non-runtime artefacts. Prevents source-control metadata and secrets from being baked into the Docker image (ASVS V13.4.1).</t>
  </si>
  <si>
    <t>Api/.dockerignore</t>
  </si>
  <si>
    <t>V13.4.2</t>
  </si>
  <si>
    <t>Verify that debug modes are disabled for all components in production environments to prevent exposure of debugging features and information leakage.</t>
  </si>
  <si>
    <t>spring.jpa.show-sql=false (already set). No Spring Boot DevTools in pom.xml. Actuator limited to /actuator/health only via management.endpoints.web.exposure.include=health and management.endpoint.health.show-details=never. No H2 console configured.</t>
  </si>
  <si>
    <t>Api/src/main/resources/application.properties (management.* properties); Api/src/main/java/isep/desosfs/arcadehaven/Security/SecurityConfig.java</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</si>
  <si>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</si>
  <si>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</si>
  <si>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</si>
  <si>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</si>
  <si>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</si>
  <si>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HTTP TRACE denied globally via .requestMatchers(HttpMethod.TRACE, "/**").denyAll() in SecurityConfig.filterChain(). Prevents Cross-Site Tracing (XST) attacks on all paths.</t>
  </si>
  <si>
    <t>Api/src/main/java/isep/desosfs/arcadehaven/Security/SecurityConfig.java:54</t>
  </si>
  <si>
    <t>V13.4.5</t>
  </si>
  <si>
    <t>Verify that documentation (such as for internal APIs) and monitoring endpoints are not exposed unless explicitly intended.</t>
  </si>
  <si>
    <t>Swagger UI (/swagger-ui/**) and API docs (/v3/api-docs/**) now require authentication (changed from permitAll() to authenticated()). Actuator exposes only /actuator/health with show-details=never. No unauthenticated access to monitoring or documentation endpoints.</t>
  </si>
  <si>
    <t>Api/src/main/java/isep/desosfs/arcadehaven/Security/SecurityConfig.java:60-65; Api/src/main/resources/application.properties (management.endpoints.*)</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</si>
  <si>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</si>
  <si>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</si>
  <si>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</si>
  <si>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</si>
  <si>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</si>
  <si>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</si>
  <si>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</si>
  <si>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</si>
  <si>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</si>
  <si>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</si>
  <si>
    <t>Documentation/DataClassificationPolicy.md</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</si>
  <si>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</si>
  <si>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</si>
  <si>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</si>
  <si>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</si>
  <si>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</si>
  <si>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</si>
  <si>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</si>
  <si>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</si>
  <si>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</si>
  <si>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</si>
  <si>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</si>
  <si>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SecurityConfig.java sets Cache-Control: no-cache, no-store, max-age=0, must-revalidate and Pragma: no-cache on all API responses via .cacheControl(Customizer.withDefaults()), preventing intermediary caching of sensitive data. Verified by SecurityHeadersTest.</t>
  </si>
  <si>
    <t>Api/src/main/java/.../Security/SecurityConfig.java; Api/src/test/.../Security/SecurityHeadersTest.java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</si>
  <si>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</si>
  <si>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</si>
  <si>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</si>
  <si>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</si>
  <si>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</si>
  <si>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</si>
  <si>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</si>
  <si>
    <t>Api/src/main/java/.../Security/SecurityAuditService.java (SENSITIVE_KEY_PATTERN); Documentation/DataClassificationPolicy.md; Api/src/test/.../Security/SecurityAuditServiceTest.java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</si>
  <si>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</si>
  <si>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</si>
  <si>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</si>
  <si>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</si>
  <si>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</si>
  <si>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</si>
  <si>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</si>
  <si>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</si>
  <si>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</si>
  <si>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</si>
  <si>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</si>
  <si>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</si>
  <si>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</si>
  <si>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</si>
  <si>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</si>
  <si>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Same Cache-Control implementation as V14.2.2: SecurityConfig.java applies no-store, no-cache headers globally via cacheControl(Customizer.withDefaults()), preventing browser caching of tokens, user data, and activation keys. Verified by SecurityHeadersTest.</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</si>
  <si>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</si>
  <si>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</si>
  <si>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</si>
  <si>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</si>
  <si>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</si>
  <si>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</si>
  <si>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</si>
  <si>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Formal SLA documented: Critical CVEs &lt;=7 days, High &lt;=30 days, Medium &lt;=90 days, Low next release. OWASP Dependency Check runs on every CI execution (sca-dependency-check.yml). False-positive suppression procedure defined.</t>
  </si>
  <si>
    <t>Documentation/VulnerabilityRemediationPolicy.md §1;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</si>
  <si>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</si>
  <si>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</si>
  <si>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CycloneDX SBOM generated on every build (cyclonedx:makeAggregateBom, build.yml). bom.xml and bom.json uploaded as report-build-test artifact. All dependencies from Maven Central (trusted repository).</t>
  </si>
  <si>
    <t>Api/pom.xml (cyclonedx-maven-plugin 2.9.0); .github/workflows/build.yml</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</si>
  <si>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</si>
  <si>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</si>
  <si>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functionality formally documented: file uploads (25 MB cap, Tika MIME check), SFTP operations (SSH host-key verification), HIBP check (fail-open), invoice/key-card generation, Keycloak Admin API calls, DB game-listing (composite indexes). Each entry lists risk and mitigations.</t>
  </si>
  <si>
    <t>Documentation/VulnerabilityRemediationPolicy.md §2</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</si>
  <si>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</si>
  <si>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</si>
  <si>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</si>
  <si>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</si>
  <si>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8 dangerous features formally labelled with risk category and mitigations: file upload (path traversal, MIME spoofing), RAWG SSRF adjacency, Keycloak Admin API, ROPC grant, admin initialisation, JWT signing keys, SFTP host-key, activation keys.</t>
  </si>
  <si>
    <t>Documentation/VulnerabilityRemediationPolicy.md §3</t>
  </si>
  <si>
    <t>V15.2</t>
  </si>
  <si>
    <t>Security Architecture and Dependencies</t>
  </si>
  <si>
    <t>V15.2.1</t>
  </si>
  <si>
    <t>Verify that the application only contains components which have not breached the documented update and remediation time frames.</t>
  </si>
  <si>
    <t>OWASP Dependency Check (dependency-check-maven 12.1.3) runs on every CI execution against NVD database with NVD_API_KEY secret. Build fails on CVE threshold breach. Report uploaded as report-sca artifact. Remediation SLA enforces no components past timeframe in production.</t>
  </si>
  <si>
    <t>.github/workflows/sca-dependency-check.yml; Api/pom.xml; Documentation/VulnerabilityRemediationPolicy.md §1</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</si>
  <si>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</si>
  <si>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</si>
  <si>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</si>
  <si>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</si>
  <si>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</si>
  <si>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</si>
  <si>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</si>
  <si>
    <t>Api/src/main/resources/application.properties; Api/src/main/java/isep/desosfs/arcadehaven/Security/SecurityConfig.java</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</si>
  <si>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</si>
  <si>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</si>
  <si>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</si>
  <si>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</si>
  <si>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</si>
  <si>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</si>
  <si>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</si>
  <si>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</si>
  <si>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</si>
  <si>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</si>
  <si>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</si>
  <si>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</si>
  <si>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</si>
  <si>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</si>
  <si>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</si>
  <si>
    <t>Api/src/main/java/isep/desosfs/arcadehaven/Config/KeycloakAdminConfig.java</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</si>
  <si>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</si>
  <si>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</si>
  <si>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</si>
  <si>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</si>
  <si>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</si>
  <si>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</si>
  <si>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</si>
  <si>
    <t>Api/src/main/resources/application.properties; Api/src/main/java/isep/desosfs/arcadehaven/Security/RateLimitFilter.java; SecurityEventHandler.java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</si>
  <si>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</si>
  <si>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</si>
  <si>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</si>
  <si>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</si>
  <si>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</si>
  <si>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</si>
  <si>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</si>
  <si>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</si>
  <si>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</si>
  <si>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</si>
  <si>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</si>
  <si>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</si>
  <si>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</si>
  <si>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</si>
  <si>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</si>
  <si>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</si>
  <si>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</si>
  <si>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</si>
  <si>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</si>
  <si>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</si>
  <si>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</si>
  <si>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</si>
  <si>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</si>
  <si>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</si>
  <si>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</si>
  <si>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</si>
  <si>
    <t>Documentation/LoggingInventory.md; Api/src/main/java/isep/desosfs/arcadehaven/Security/SecurityAuditService.java; Api/src/main/resources/logback-spring.xml</t>
  </si>
  <si>
    <t>V16.2</t>
  </si>
  <si>
    <t>General Logging</t>
  </si>
  <si>
    <t>V16.2.1</t>
  </si>
  <si>
    <t>Verify that each log entry includes necessary metadata (such as when, where, who, what) that would allow for a detailed investigation of the timeline when an event happens.</t>
  </si>
  <si>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</si>
  <si>
    <t>Api/src/main/java/isep/desosfs/arcadehaven/Security/SecurityAuditService.java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</si>
  <si>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</si>
  <si>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</si>
  <si>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</si>
  <si>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</si>
  <si>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</si>
  <si>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</si>
  <si>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</si>
  <si>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</si>
  <si>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</si>
  <si>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</si>
  <si>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SecurityAuditService.json() helper emits all events as structured JSON: {"event":"SECURITY_EVENT","ts":"&lt;iso&gt;","type":"...","ip":"...","user":"..."}. Parseable by ELK, Splunk, Datadog, and any standard log processor without custom parsing.</t>
  </si>
  <si>
    <t>Api/src/main/java/isep/desosfs/arcadehaven/Security/SecurityAuditService.java:json()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</si>
  <si>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</si>
  <si>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</si>
  <si>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</si>
  <si>
    <t>Api/src/main/java/isep/desosfs/arcadehaven/Security/SecurityAuditService.java:sanitize() (JWT_PATTERN, ACTIVATION_KEY_PATTERN)</t>
  </si>
  <si>
    <t>V16.3</t>
  </si>
  <si>
    <t>Security Events</t>
  </si>
  <si>
    <t>V16.3.1</t>
  </si>
  <si>
    <t>Verify that all authentication operations are logged, including successful and unsuccessful attempts. Additional metadata, such as the type of authentication or factors used, should also be collected.</t>
  </si>
  <si>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</si>
  <si>
    <t>Api/src/main/java/isep/desosfs/arcadehaven/Service/AuthService.java:80,104; Api/src/main/java/isep/desosfs/arcadehaven/Security/SecurityAuditService.java:recordLoginSuccess()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</si>
  <si>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</si>
  <si>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</si>
  <si>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</si>
  <si>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</si>
  <si>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</si>
  <si>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</si>
  <si>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</si>
  <si>
    <t>Api/src/main/java/isep/desosfs/arcadehaven/Security/RateLimitFilter.java:53; Api/src/main/java/isep/desosfs/arcadehaven/Exception/GlobalExceptionHandler.java:70-78; Api/src/main/java/isep/desosfs/arcadehaven/Service/AdminService.java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</si>
  <si>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</si>
  <si>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</si>
  <si>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</si>
  <si>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</si>
  <si>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</si>
  <si>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</si>
  <si>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</si>
  <si>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</si>
  <si>
    <t>Api/src/main/java/isep/desosfs/arcadehaven/Security/SecurityAuditService.java:sanitize()</t>
  </si>
  <si>
    <t>V16.4.2</t>
  </si>
  <si>
    <t>Verify that logs are protected from unauthorized access and cannot be modified.</t>
  </si>
  <si>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</si>
  <si>
    <t>Api/Dockerfile (mkdir /app/logs, chmod 750); Api/src/main/resources/logback-spring.xml (RollingFileAppender)</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</si>
  <si>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</si>
  <si>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</si>
  <si>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</si>
  <si>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</si>
  <si>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</si>
  <si>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</si>
  <si>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</si>
  <si>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</si>
  <si>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</si>
  <si>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</si>
  <si>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</si>
  <si>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</si>
  <si>
    <t>Api/src/main/resources/logback-spring.xml (&lt;prudent&gt;true&lt;/prudent&gt; on RollingFileAppender, dual CONSOLE+FILE destinations)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</si>
  <si>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</si>
  <si>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</si>
  <si>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</si>
  <si>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</si>
  <si>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</si>
  <si>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</si>
  <si>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</si>
  <si>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</si>
  <si>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</si>
  <si>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</si>
  <si>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</si>
  <si>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</si>
  <si>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</si>
  <si>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</si>
  <si>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</si>
  <si>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</si>
  <si>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</si>
  <si>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</si>
  <si>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</si>
  <si>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</si>
  <si>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</si>
  <si>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</si>
  <si>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</si>
  <si>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</si>
  <si>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</si>
  <si>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</si>
  <si>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</si>
  <si>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</si>
  <si>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</si>
  <si>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</si>
  <si>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</si>
  <si>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</si>
  <si>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</si>
  <si>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</si>
  <si>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</si>
  <si>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</si>
  <si>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</si>
  <si>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</si>
  <si>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</si>
  <si>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</si>
  <si>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</si>
  <si>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</si>
  <si>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</si>
  <si>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</si>
  <si>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</si>
  <si>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</si>
  <si>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</si>
  <si>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</si>
  <si>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</si>
  <si>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</si>
  <si>
    <t>Input validation rules is formally documented for in requirements folder.</t>
  </si>
  <si>
    <t>Documentation/Requirements/bussinessLogicValidations.md</t>
  </si>
  <si>
    <t>Logical and consistency of combined data items are formally documented in requirements folder.</t>
  </si>
  <si>
    <t>Business logic limits and validations are formally documented in requirements folder.</t>
  </si>
  <si>
    <t>Business rules are enforced at Domain and Dto layers.</t>
  </si>
  <si>
    <t>Api/src/main/java/…/Dto/Request; Api/src/main/java/…/Domain;</t>
  </si>
  <si>
    <t>Input validation is performed at the application boundary using controller-level DTOs with Bean Validation constraints. Additionally, business rules are enforced in the service and domain layers.</t>
  </si>
  <si>
    <t>Api/src/main/java/…/Controller; Api/src/main/java/Dto/Request; Api/src/main/java/…/Domain</t>
  </si>
  <si>
    <t>Logical and consistency of combined data items are enforced at Domain layer.</t>
  </si>
  <si>
    <t>Api/src/main/java/…/Domain;</t>
  </si>
  <si>
    <t>Api/src/main/java/…/Domain/Order.java</t>
  </si>
  <si>
    <t>Business logic limits and validations are enforced at Domain layer.</t>
  </si>
  <si>
    <t>Api/src/main/java/…/Domain/Library.java; Api/src/main/java/…/Domain/Order.java</t>
  </si>
  <si>
    <t>Business logic operations are implemented at Service layer with SpringBoot @Transactional metods to ensure atomicity of operations. Each operation either completes fully or is rolled back to previous state.</t>
  </si>
  <si>
    <t>Api/src/main/java/…/Service;</t>
  </si>
  <si>
    <t>Anti-automation controls are enforced via a Bucket4j-based IP rate limiter applied to endpoints, preventing excessive automated requests, brute-force attacks, data scraping, and resource exhaustion</t>
  </si>
  <si>
    <t>Api/src/main/java/…/Security/RateLimitFilter.java</t>
  </si>
  <si>
    <t>Token lifetime is currently defined in RNF-03 in Requirements documentation.</t>
  </si>
  <si>
    <t>Documentation/Requirements.md</t>
  </si>
  <si>
    <t>Token issue limitation for same user is currently defined in RNF-04 in Requirements documentation.</t>
  </si>
  <si>
    <t>Keycloak configuration , along with controls to coordinate session lifetimes, termination and any other conditions that require re-authentication, is documented in KeycloackConfiguration.</t>
  </si>
  <si>
    <t>Documentation/KeycloakConfiguration.md</t>
  </si>
  <si>
    <t>Session token verification is performed by Spring Security OAuth2 Resource Server integrated with Keycloak. All JWT access tokens are validated on the backend, including signature, issuer, expiration, and claim verification, before authentication and authorization are granted.</t>
  </si>
  <si>
    <t>Api/src/main/java/…/Security/SecurityConfig.java</t>
  </si>
  <si>
    <t>User sessions are managed through dynamically generated Keycloak-issued JWT access tokens and refresh tokens. The application does not use static API keys, hardcoded tokens, or long-lived shared secrets for session management. Each authenticated session receives unique tokens that are validated by the backend before access is granted.</t>
  </si>
  <si>
    <t>Api/src/main/java/…/Servic/AuthService.java; keycloak/realm-export.json</t>
  </si>
  <si>
    <t>keycloak/realm-export.json</t>
  </si>
  <si>
    <t>Keycloak configuration enforces a maximum inactivity timeout of 1800 seconds (30 minutes).</t>
  </si>
  <si>
    <t>Keycloak configuration enforces a session maximum lifetime of 604800 seconds (7 days).</t>
  </si>
  <si>
    <t>POST /api/auth/logout revokes all of the user's active sessions in Keycloak via UserResource.logout() (Keycloak Admin Client). Tokens naturally expire based on the exp claim.</t>
  </si>
  <si>
    <t>Api/src/main/java/…/Controller/AuthController.java; Api/src/main/java/…/Service/AuthService.java</t>
  </si>
  <si>
    <t>MFA is exclusively enforced upon system admins and cannot be revoked. Remaining users authenticate via username and password, without any additional authentication factors.</t>
  </si>
  <si>
    <t>All ArcadeHaven API endpoints require authentication except for the login and registration endpoints. Access to sensitive operations and account-related data is protected by authentication and role-based authorization, ensuring that only authenticated users with appropriate permissions can perform privileged actions.</t>
  </si>
  <si>
    <t>Keycloak is configured to prevent multiple concurrent sessions per user by limiting active sessions and revoking tokens when a logout is performed.</t>
  </si>
  <si>
    <t>Api/src/main/java/…/Controller/AuthController.java; keycloak/realm-export.json</t>
  </si>
  <si>
    <t>Session lifetime and re-authentication behavior are enforced through Keycloak Identity Provider (IdP) session policies and the relying party’s stateless JWT validation. The IdP defines both idle and absolute session timeouts (ssoSessionIdleTimeout, ssoSessionMaxLifespan) while the application enforces short-lived access tokens (accessTokenLifespan).</t>
  </si>
  <si>
    <t>Authentication is handled through Keycloak, requiring explicit user credential submission to login endpoint. The Spring Boot application acts as a stateless OAuth2 Resource Server and does not maintain server-side sessions or create application-level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</si>
</sst>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1</c:v>
                </c:pt>
                <c:pt idx="2">
                  <c:v>0.375</c:v>
                </c:pt>
                <c:pt idx="3">
                  <c:v>0.5</c:v>
                </c:pt>
                <c:pt idx="4">
                  <c:v>1</c:v>
                </c:pt>
                <c:pt idx="5">
                  <c:v>0.84615384615384615</c:v>
                </c:pt>
                <c:pt idx="6">
                  <c:v>0.66666666666666663</c:v>
                </c:pt>
                <c:pt idx="7">
                  <c:v>0.75</c:v>
                </c:pt>
                <c:pt idx="8">
                  <c:v>1</c:v>
                </c:pt>
                <c:pt idx="9">
                  <c:v>0.8</c:v>
                </c:pt>
                <c:pt idx="10">
                  <c:v>1</c:v>
                </c:pt>
                <c:pt idx="11">
                  <c:v>0.66666666666666663</c:v>
                </c:pt>
                <c:pt idx="12">
                  <c:v>1</c:v>
                </c:pt>
                <c:pt idx="13">
                  <c:v>0.5</c:v>
                </c:pt>
                <c:pt idx="14">
                  <c:v>1</c:v>
                </c:pt>
                <c:pt idx="15" formatCode="General">
                  <c:v>0</c:v>
                </c:pt>
                <c:pt idx="16" formatCode="General">
                  <c:v>0</c:v>
                </c:pt>
              </c:numCache>
            </c:numRef>
          </c:val>
          <c:extLst>
            <c:ext xmlns:c16="http://schemas.microsoft.com/office/drawing/2014/chart" uri="{C3380CC4-5D6E-409C-BE32-E72D297353CC}">
              <c16:uniqueId val="{00000000-1B94-46AB-AB2F-D4C4BCFE04A7}"/>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0.26315789473684209</c:v>
                </c:pt>
                <c:pt idx="1">
                  <c:v>0.8571428571428571</c:v>
                </c:pt>
                <c:pt idx="2">
                  <c:v>0</c:v>
                </c:pt>
                <c:pt idx="3">
                  <c:v>0.375</c:v>
                </c:pt>
                <c:pt idx="4">
                  <c:v>0.8</c:v>
                </c:pt>
                <c:pt idx="5">
                  <c:v>0.86363636363636365</c:v>
                </c:pt>
                <c:pt idx="6">
                  <c:v>0.75</c:v>
                </c:pt>
                <c:pt idx="7">
                  <c:v>0.33333333333333331</c:v>
                </c:pt>
                <c:pt idx="8">
                  <c:v>1</c:v>
                </c:pt>
                <c:pt idx="9">
                  <c:v>0.75</c:v>
                </c:pt>
                <c:pt idx="10">
                  <c:v>0.81818181818181823</c:v>
                </c:pt>
                <c:pt idx="11">
                  <c:v>0.5</c:v>
                </c:pt>
                <c:pt idx="12">
                  <c:v>0.33333333333333331</c:v>
                </c:pt>
                <c:pt idx="13">
                  <c:v>0.5714285714285714</c:v>
                </c:pt>
                <c:pt idx="14">
                  <c:v>0.9</c:v>
                </c:pt>
                <c:pt idx="15">
                  <c:v>0.875</c:v>
                </c:pt>
                <c:pt idx="16">
                  <c:v>0</c:v>
                </c:pt>
              </c:numCache>
            </c:numRef>
          </c:val>
          <c:extLst>
            <c:ext xmlns:c16="http://schemas.microsoft.com/office/drawing/2014/chart" uri="{C3380CC4-5D6E-409C-BE32-E72D297353CC}">
              <c16:uniqueId val="{00000001-1B94-46AB-AB2F-D4C4BCFE04A7}"/>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0.25</c:v>
                </c:pt>
                <c:pt idx="15">
                  <c:v>1</c:v>
                </c:pt>
              </c:numCache>
            </c:numRef>
          </c:val>
          <c:extLst>
            <c:ext xmlns:c16="http://schemas.microsoft.com/office/drawing/2014/chart" uri="{C3380CC4-5D6E-409C-BE32-E72D297353CC}">
              <c16:uniqueId val="{00000002-1B94-46AB-AB2F-D4C4BCFE04A7}"/>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0.26666666666666666</c:v>
                </c:pt>
                <c:pt idx="1">
                  <c:v>0.76923076923076927</c:v>
                </c:pt>
                <c:pt idx="2">
                  <c:v>9.6774193548387094E-2</c:v>
                </c:pt>
                <c:pt idx="3">
                  <c:v>0.25</c:v>
                </c:pt>
                <c:pt idx="4">
                  <c:v>0.61538461538461542</c:v>
                </c:pt>
                <c:pt idx="5">
                  <c:v>0.63829787234042556</c:v>
                </c:pt>
                <c:pt idx="6">
                  <c:v>0.68421052631578949</c:v>
                </c:pt>
                <c:pt idx="7">
                  <c:v>0.30769230769230771</c:v>
                </c:pt>
                <c:pt idx="8">
                  <c:v>1</c:v>
                </c:pt>
                <c:pt idx="9">
                  <c:v>0.61111111111111116</c:v>
                </c:pt>
                <c:pt idx="10">
                  <c:v>0.58333333333333337</c:v>
                </c:pt>
                <c:pt idx="11">
                  <c:v>0.41666666666666669</c:v>
                </c:pt>
                <c:pt idx="12">
                  <c:v>0.23809523809523808</c:v>
                </c:pt>
                <c:pt idx="13">
                  <c:v>0.38461538461538464</c:v>
                </c:pt>
                <c:pt idx="14">
                  <c:v>0.66666666666666663</c:v>
                </c:pt>
                <c:pt idx="15">
                  <c:v>0.88235294117647056</c:v>
                </c:pt>
                <c:pt idx="16">
                  <c:v>0</c:v>
                </c:pt>
              </c:numCache>
            </c:numRef>
          </c:val>
          <c:extLst>
            <c:ext xmlns:c16="http://schemas.microsoft.com/office/drawing/2014/chart" uri="{C3380CC4-5D6E-409C-BE32-E72D297353CC}">
              <c16:uniqueId val="{00000003-1B94-46AB-AB2F-D4C4BCFE04A7}"/>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5</v>
      </c>
      <c r="H6" s="5">
        <f t="shared" ref="H6:H22" si="1">IF(F6=0,"",G6/F6)</f>
        <v>0.26315789473684209</v>
      </c>
      <c r="I6" s="4">
        <v>3</v>
      </c>
      <c r="J6" s="4">
        <f>COUNTIFS('V1 - Encoding and Sanitization'!$F$2:$F$36,"Compliant",'V1 - Encoding and Sanitization'!$E$2:$E$36,3)</f>
        <v>0</v>
      </c>
      <c r="K6" s="5">
        <f t="shared" ref="K6:K13" si="2">IF(I6=0,"",J6/I6)</f>
        <v>0</v>
      </c>
      <c r="L6" s="4">
        <f>COUNTIF('V1 - Encoding and Sanitization'!$F$2:$F$36,"Compliant")</f>
        <v>8</v>
      </c>
      <c r="M6" s="5">
        <f t="shared" ref="M6:M22" si="3">IF(B6=0,"",L6/B6)</f>
        <v>0.26666666666666666</v>
      </c>
    </row>
    <row r="7" spans="1:16" ht="18" customHeight="1" x14ac:dyDescent="0.25">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6</v>
      </c>
      <c r="H7" s="8">
        <f t="shared" si="1"/>
        <v>0.8571428571428571</v>
      </c>
      <c r="I7" s="7">
        <v>2</v>
      </c>
      <c r="J7" s="7">
        <f>COUNTIFS('V2 - Validation and Business Lo'!$F$2:$F$18,"Compliant",'V2 - Validation and Business Lo'!$E$2:$E$18,3)</f>
        <v>0</v>
      </c>
      <c r="K7" s="8">
        <f t="shared" si="2"/>
        <v>0</v>
      </c>
      <c r="L7" s="7">
        <f>COUNTIF('V2 - Validation and Business Lo'!$F$2:$F$18,"Compliant")</f>
        <v>10</v>
      </c>
      <c r="M7" s="8">
        <f t="shared" si="3"/>
        <v>0.76923076923076927</v>
      </c>
    </row>
    <row r="8" spans="1:16" ht="18" customHeight="1" x14ac:dyDescent="0.25">
      <c r="A8" s="3" t="s">
        <v>16</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3</v>
      </c>
      <c r="H9" s="8">
        <f t="shared" si="1"/>
        <v>0.375</v>
      </c>
      <c r="I9" s="7">
        <v>6</v>
      </c>
      <c r="J9" s="7">
        <f>COUNTIFS('V4 - API and Web Service'!$F$2:$F$21,"Compliant",'V4 - API and Web Service'!$E$2:$E$21,3)</f>
        <v>0</v>
      </c>
      <c r="K9" s="8">
        <f t="shared" si="2"/>
        <v>0</v>
      </c>
      <c r="L9" s="7">
        <f>COUNTIF('V4 - API and Web Service'!$F$2:$F$21,"Compliant")</f>
        <v>4</v>
      </c>
      <c r="M9" s="8">
        <f t="shared" si="3"/>
        <v>0.25</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4</v>
      </c>
      <c r="H10" s="5">
        <f t="shared" si="1"/>
        <v>0.8</v>
      </c>
      <c r="I10" s="4">
        <v>4</v>
      </c>
      <c r="J10" s="4">
        <f>COUNTIFS('V5 - File Handling'!$F$2:$F$18,"Compliant",'V5 - File Handling'!$E$2:$E$18,3)</f>
        <v>0</v>
      </c>
      <c r="K10" s="5">
        <f t="shared" si="2"/>
        <v>0</v>
      </c>
      <c r="L10" s="4">
        <f>COUNTIF('V5 - File Handling'!$F$2:$F$18,"Compliant")</f>
        <v>8</v>
      </c>
      <c r="M10" s="5">
        <f t="shared" si="3"/>
        <v>0.61538461538461542</v>
      </c>
    </row>
    <row r="11" spans="1:16" ht="18" customHeight="1" x14ac:dyDescent="0.25">
      <c r="A11" s="6" t="s">
        <v>19</v>
      </c>
      <c r="B11" s="7">
        <v>47</v>
      </c>
      <c r="C11" s="7">
        <v>13</v>
      </c>
      <c r="D11" s="7">
        <f>COUNTIFS('V6 - Authentication'!$F$2:$F$56,"Compliant",'V6 - Authentication'!$E$2:$E$56,1)</f>
        <v>11</v>
      </c>
      <c r="E11" s="8">
        <f t="shared" si="0"/>
        <v>0.84615384615384615</v>
      </c>
      <c r="F11" s="7">
        <v>22</v>
      </c>
      <c r="G11" s="7">
        <f>COUNTIFS('V6 - Authentication'!$F$2:$F$56,"Compliant",'V6 - Authentication'!$E$2:$E$56,2)</f>
        <v>19</v>
      </c>
      <c r="H11" s="8">
        <f t="shared" si="1"/>
        <v>0.86363636363636365</v>
      </c>
      <c r="I11" s="7">
        <v>12</v>
      </c>
      <c r="J11" s="7">
        <f>COUNTIFS('V6 - Authentication'!$F$2:$F$56,"Compliant",'V6 - Authentication'!$E$2:$E$56,3)</f>
        <v>0</v>
      </c>
      <c r="K11" s="8">
        <f t="shared" si="2"/>
        <v>0</v>
      </c>
      <c r="L11" s="7">
        <f>COUNTIF('V6 - Authentication'!$F$2:$F$56,"Compliant")</f>
        <v>30</v>
      </c>
      <c r="M11" s="8">
        <f t="shared" si="3"/>
        <v>0.63829787234042556</v>
      </c>
    </row>
    <row r="12" spans="1:16" ht="18" customHeight="1" x14ac:dyDescent="0.25">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9</v>
      </c>
      <c r="H12" s="5">
        <f t="shared" si="1"/>
        <v>0.75</v>
      </c>
      <c r="I12" s="4">
        <v>1</v>
      </c>
      <c r="J12" s="4">
        <f>COUNTIFS('V7 - Session Management'!$F$2:$F$26,"Compliant",'V7 - Session Management'!$E$2:$E$26,3)</f>
        <v>0</v>
      </c>
      <c r="K12" s="5">
        <f t="shared" si="2"/>
        <v>0</v>
      </c>
      <c r="L12" s="4">
        <f>COUNTIF('V7 - Session Management'!$F$2:$F$26,"Compliant")</f>
        <v>13</v>
      </c>
      <c r="M12" s="5">
        <f t="shared" si="3"/>
        <v>0.68421052631578949</v>
      </c>
    </row>
    <row r="13" spans="1:16" ht="18" customHeight="1" x14ac:dyDescent="0.25">
      <c r="A13" s="6" t="s">
        <v>21</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3</v>
      </c>
      <c r="H14" s="5">
        <f t="shared" si="1"/>
        <v>1</v>
      </c>
      <c r="I14" s="4">
        <v>0</v>
      </c>
      <c r="J14" s="4" t="s">
        <v>23</v>
      </c>
      <c r="K14" s="4" t="s">
        <v>23</v>
      </c>
      <c r="L14" s="4">
        <f>COUNTIF('V9 - Self-contained Tokens'!$F$2:$F$10,"Compliant")</f>
        <v>7</v>
      </c>
      <c r="M14" s="5">
        <f t="shared" si="3"/>
        <v>1</v>
      </c>
    </row>
    <row r="15" spans="1:16" ht="18" customHeight="1" x14ac:dyDescent="0.25">
      <c r="A15" s="6" t="s">
        <v>24</v>
      </c>
      <c r="B15" s="7">
        <v>36</v>
      </c>
      <c r="C15" s="7">
        <v>5</v>
      </c>
      <c r="D15" s="7">
        <f>COUNTIFS('V10 - OAuth and OIDC'!$F$2:$F$44,"Compliant",'V10 - OAuth and OIDC'!$E$2:$E$44,1)</f>
        <v>4</v>
      </c>
      <c r="E15" s="8">
        <f t="shared" si="0"/>
        <v>0.8</v>
      </c>
      <c r="F15" s="7">
        <v>24</v>
      </c>
      <c r="G15" s="7">
        <f>COUNTIFS('V10 - OAuth and OIDC'!$F$2:$F$44,"Compliant",'V10 - OAuth and OIDC'!$E$2:$E$44,2)</f>
        <v>18</v>
      </c>
      <c r="H15" s="8">
        <f t="shared" si="1"/>
        <v>0.75</v>
      </c>
      <c r="I15" s="7">
        <v>7</v>
      </c>
      <c r="J15" s="7">
        <f>COUNTIFS('V10 - OAuth and OIDC'!$F$2:$F$44,"Compliant",'V10 - OAuth and OIDC'!$E$2:$E$44,3)</f>
        <v>0</v>
      </c>
      <c r="K15" s="8">
        <f t="shared" ref="K15:K22" si="4">IF(I15=0,"",J15/I15)</f>
        <v>0</v>
      </c>
      <c r="L15" s="7">
        <f>COUNTIF('V10 - OAuth and OIDC'!$F$2:$F$44,"Compliant")</f>
        <v>22</v>
      </c>
      <c r="M15" s="8">
        <f t="shared" si="3"/>
        <v>0.61111111111111116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9</v>
      </c>
      <c r="H16" s="5">
        <f t="shared" si="1"/>
        <v>0.81818181818181823</v>
      </c>
      <c r="I16" s="4">
        <v>10</v>
      </c>
      <c r="J16" s="4">
        <f>COUNTIFS('V11 - Cryptography'!$F$2:$F$32,"Compliant",'V11 - Cryptography'!$E$2:$E$32,3)</f>
        <v>2</v>
      </c>
      <c r="K16" s="5">
        <f t="shared" si="4"/>
        <v>0.2</v>
      </c>
      <c r="L16" s="4">
        <f>COUNTIF('V11 - Cryptography'!$F$2:$F$32,"Compliant")</f>
        <v>14</v>
      </c>
      <c r="M16" s="5">
        <f t="shared" si="3"/>
        <v>0.58333333333333337</v>
      </c>
    </row>
    <row r="17" spans="1:13" ht="18" customHeight="1" x14ac:dyDescent="0.25">
      <c r="A17" s="6" t="s">
        <v>26</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3</v>
      </c>
      <c r="H17" s="8">
        <f t="shared" si="1"/>
        <v>0.5</v>
      </c>
      <c r="I17" s="7">
        <v>3</v>
      </c>
      <c r="J17" s="7">
        <f>COUNTIFS('V12 - Secure Communication'!$F$2:$F$16,"Compliant",'V12 - Secure Communication'!$E$2:$E$16,3)</f>
        <v>0</v>
      </c>
      <c r="K17" s="8">
        <f t="shared" si="4"/>
        <v>0</v>
      </c>
      <c r="L17" s="7">
        <f>COUNTIF('V12 - Secure Communication'!$F$2:$F$16,"Compliant")</f>
        <v>5</v>
      </c>
      <c r="M17" s="8">
        <f t="shared" si="3"/>
        <v>0.41666666666666669</v>
      </c>
    </row>
    <row r="18" spans="1:13" ht="18" customHeight="1" x14ac:dyDescent="0.25">
      <c r="A18" s="3" t="s">
        <v>27</v>
      </c>
      <c r="B18" s="4">
        <v>21</v>
      </c>
      <c r="C18" s="4">
        <v>1</v>
      </c>
      <c r="D18" s="4">
        <f>COUNTIFS('V13 - Configuration'!$F$2:$F$26,"Compliant",'V13 - Configuration'!$E$2:$E$26,1)</f>
        <v>1</v>
      </c>
      <c r="E18" s="5">
        <f t="shared" si="0"/>
        <v>1</v>
      </c>
      <c r="F18" s="4">
        <v>12</v>
      </c>
      <c r="G18" s="4">
        <f>COUNTIFS('V13 - Configuration'!$F$2:$F$26,"Compliant",'V13 - Configuration'!$E$2:$E$26,2)</f>
        <v>4</v>
      </c>
      <c r="H18" s="5">
        <f t="shared" si="1"/>
        <v>0.33333333333333331</v>
      </c>
      <c r="I18" s="4">
        <v>8</v>
      </c>
      <c r="J18" s="4">
        <f>COUNTIFS('V13 - Configuration'!$F$2:$F$26,"Compliant",'V13 - Configuration'!$E$2:$E$26,3)</f>
        <v>0</v>
      </c>
      <c r="K18" s="5">
        <f t="shared" si="4"/>
        <v>0</v>
      </c>
      <c r="L18" s="4">
        <f>COUNTIF('V13 - Configuration'!$F$2:$F$26,"Compliant")</f>
        <v>5</v>
      </c>
      <c r="M18" s="5">
        <f t="shared" si="3"/>
        <v>0.23809523809523808</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4</v>
      </c>
      <c r="H19" s="8">
        <f t="shared" si="1"/>
        <v>0.5714285714285714</v>
      </c>
      <c r="I19" s="7">
        <v>4</v>
      </c>
      <c r="J19" s="7">
        <f>COUNTIFS('V14 - Data Protection'!$F$2:$F$17,"Compliant",'V14 - Data Protection'!$E$2:$E$17,3)</f>
        <v>0</v>
      </c>
      <c r="K19" s="8">
        <f t="shared" si="4"/>
        <v>0</v>
      </c>
      <c r="L19" s="7">
        <f>COUNTIF('V14 - Data Protection'!$F$2:$F$17,"Compliant")</f>
        <v>5</v>
      </c>
      <c r="M19" s="8">
        <f t="shared" si="3"/>
        <v>0.38461538461538464</v>
      </c>
    </row>
    <row r="20" spans="1:13" ht="18" customHeight="1" x14ac:dyDescent="0.25">
      <c r="A20" s="3" t="s">
        <v>29</v>
      </c>
      <c r="B20" s="4">
        <v>21</v>
      </c>
      <c r="C20" s="4">
        <v>3</v>
      </c>
      <c r="D20" s="4">
        <f>COUNTIFS('V15 - Secure Coding and Archite'!$F$2:$F$26,"Compliant",'V15 - Secure Coding and Archite'!$E$2:$E$26,1)</f>
        <v>3</v>
      </c>
      <c r="E20" s="5">
        <f t="shared" si="0"/>
        <v>1</v>
      </c>
      <c r="F20" s="4">
        <v>10</v>
      </c>
      <c r="G20" s="4">
        <f>COUNTIFS('V15 - Secure Coding and Archite'!$F$2:$F$26,"Compliant",'V15 - Secure Coding and Archite'!$E$2:$E$26,2)</f>
        <v>9</v>
      </c>
      <c r="H20" s="5">
        <f t="shared" si="1"/>
        <v>0.9</v>
      </c>
      <c r="I20" s="4">
        <v>8</v>
      </c>
      <c r="J20" s="4">
        <f>COUNTIFS('V15 - Secure Coding and Archite'!$F$2:$F$26,"Compliant",'V15 - Secure Coding and Archite'!$E$2:$E$26,3)</f>
        <v>2</v>
      </c>
      <c r="K20" s="5">
        <f t="shared" si="4"/>
        <v>0.25</v>
      </c>
      <c r="L20" s="4">
        <f>COUNTIF('V15 - Secure Coding and Archite'!$F$2:$F$26,"Compliant")</f>
        <v>14</v>
      </c>
      <c r="M20" s="5">
        <f t="shared" si="3"/>
        <v>0.66666666666666663</v>
      </c>
    </row>
    <row r="21" spans="1:13" ht="18" customHeight="1" x14ac:dyDescent="0.25">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51</v>
      </c>
      <c r="E23" s="11">
        <f>IFERROR(AVERAGE(E6:E22),"")</f>
        <v>0.76529914529914522</v>
      </c>
      <c r="F23" s="10">
        <f>SUM(F6:F22)</f>
        <v>183</v>
      </c>
      <c r="G23" s="10">
        <f>SUM(G6:G22)</f>
        <v>111</v>
      </c>
      <c r="H23" s="11">
        <f>IFERROR(AVERAGE(H6:H22),"")</f>
        <v>0.58765965716430113</v>
      </c>
      <c r="I23" s="10">
        <f>SUM(I6:I22)</f>
        <v>92</v>
      </c>
      <c r="J23" s="10">
        <f>SUM(J6:J22)</f>
        <v>5</v>
      </c>
      <c r="K23" s="11">
        <f>IFERROR(AVERAGE(K6:K22),"")</f>
        <v>9.0624999999999997E-2</v>
      </c>
      <c r="L23" s="10">
        <f>SUM(L6:L22)</f>
        <v>167</v>
      </c>
      <c r="M23" s="11">
        <f>IFERROR(AVERAGE(M6:M22),"")</f>
        <v>0.49477048781434313</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0" activePane="bottomLeft" state="frozen"/>
      <selection pane="bottomLeft" activeCell="G38" sqref="G3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customHeight="1" x14ac:dyDescent="0.25">
      <c r="A3" s="14" t="s">
        <v>41</v>
      </c>
      <c r="B3" s="14" t="s">
        <v>42</v>
      </c>
      <c r="C3" s="15" t="s">
        <v>43</v>
      </c>
      <c r="D3" s="16" t="s">
        <v>44</v>
      </c>
      <c r="E3" s="17">
        <v>2</v>
      </c>
      <c r="F3" s="28" t="s">
        <v>45</v>
      </c>
      <c r="G3" s="29" t="s">
        <v>46</v>
      </c>
      <c r="H3" s="16" t="s">
        <v>47</v>
      </c>
    </row>
    <row r="4" spans="1:8" ht="30" customHeight="1" x14ac:dyDescent="0.25">
      <c r="A4" s="19" t="s">
        <v>41</v>
      </c>
      <c r="B4" s="19" t="s">
        <v>42</v>
      </c>
      <c r="C4" s="20" t="s">
        <v>48</v>
      </c>
      <c r="D4" s="21" t="s">
        <v>49</v>
      </c>
      <c r="E4" s="17">
        <v>2</v>
      </c>
      <c r="F4" s="28" t="s">
        <v>50</v>
      </c>
      <c r="G4" s="30" t="s">
        <v>51</v>
      </c>
      <c r="H4" s="21" t="s">
        <v>52</v>
      </c>
    </row>
    <row r="5" spans="1:8" ht="18" customHeight="1" x14ac:dyDescent="0.25">
      <c r="A5" s="13" t="s">
        <v>53</v>
      </c>
      <c r="B5" s="13" t="s">
        <v>54</v>
      </c>
      <c r="C5" s="13"/>
      <c r="D5" s="13"/>
      <c r="E5" s="13"/>
      <c r="F5" s="31"/>
      <c r="G5" s="31"/>
      <c r="H5" s="13"/>
    </row>
    <row r="6" spans="1:8" ht="30" customHeight="1" x14ac:dyDescent="0.25">
      <c r="A6" s="14" t="s">
        <v>53</v>
      </c>
      <c r="B6" s="14" t="s">
        <v>54</v>
      </c>
      <c r="C6" s="15" t="s">
        <v>55</v>
      </c>
      <c r="D6" s="16" t="s">
        <v>56</v>
      </c>
      <c r="E6" s="22">
        <v>1</v>
      </c>
      <c r="F6" s="28" t="s">
        <v>57</v>
      </c>
      <c r="G6" s="29" t="s">
        <v>58</v>
      </c>
      <c r="H6" s="16"/>
    </row>
    <row r="7" spans="1:8" ht="30" customHeight="1" x14ac:dyDescent="0.25">
      <c r="A7" s="19" t="s">
        <v>53</v>
      </c>
      <c r="B7" s="19" t="s">
        <v>54</v>
      </c>
      <c r="C7" s="20" t="s">
        <v>59</v>
      </c>
      <c r="D7" s="21" t="s">
        <v>60</v>
      </c>
      <c r="E7" s="22">
        <v>1</v>
      </c>
      <c r="F7" s="28" t="s">
        <v>45</v>
      </c>
      <c r="G7" s="30" t="s">
        <v>61</v>
      </c>
      <c r="H7" s="21" t="s">
        <v>62</v>
      </c>
    </row>
    <row r="8" spans="1:8" ht="30" customHeight="1" x14ac:dyDescent="0.25">
      <c r="A8" s="14" t="s">
        <v>53</v>
      </c>
      <c r="B8" s="14" t="s">
        <v>54</v>
      </c>
      <c r="C8" s="15" t="s">
        <v>63</v>
      </c>
      <c r="D8" s="16" t="s">
        <v>64</v>
      </c>
      <c r="E8" s="22">
        <v>1</v>
      </c>
      <c r="F8" s="28" t="s">
        <v>57</v>
      </c>
      <c r="G8" s="29"/>
      <c r="H8" s="16"/>
    </row>
    <row r="9" spans="1:8" ht="30" customHeight="1" x14ac:dyDescent="0.25">
      <c r="A9" s="19" t="s">
        <v>53</v>
      </c>
      <c r="B9" s="19" t="s">
        <v>54</v>
      </c>
      <c r="C9" s="20" t="s">
        <v>65</v>
      </c>
      <c r="D9" s="21" t="s">
        <v>66</v>
      </c>
      <c r="E9" s="22">
        <v>1</v>
      </c>
      <c r="F9" s="28" t="s">
        <v>45</v>
      </c>
      <c r="G9" s="30" t="s">
        <v>67</v>
      </c>
      <c r="H9" s="21"/>
    </row>
    <row r="10" spans="1:8" ht="30" customHeight="1" x14ac:dyDescent="0.25">
      <c r="A10" s="14" t="s">
        <v>53</v>
      </c>
      <c r="B10" s="14" t="s">
        <v>54</v>
      </c>
      <c r="C10" s="15" t="s">
        <v>68</v>
      </c>
      <c r="D10" s="16" t="s">
        <v>69</v>
      </c>
      <c r="E10" s="22">
        <v>1</v>
      </c>
      <c r="F10" s="28" t="s">
        <v>57</v>
      </c>
      <c r="G10" s="29" t="s">
        <v>70</v>
      </c>
      <c r="H10" s="16"/>
    </row>
    <row r="11" spans="1:8" ht="30" customHeight="1" x14ac:dyDescent="0.25">
      <c r="A11" s="19" t="s">
        <v>53</v>
      </c>
      <c r="B11" s="19" t="s">
        <v>54</v>
      </c>
      <c r="C11" s="20" t="s">
        <v>71</v>
      </c>
      <c r="D11" s="21" t="s">
        <v>72</v>
      </c>
      <c r="E11" s="17">
        <v>2</v>
      </c>
      <c r="F11" s="28" t="s">
        <v>57</v>
      </c>
      <c r="G11" s="30" t="s">
        <v>73</v>
      </c>
      <c r="H11" s="21"/>
    </row>
    <row r="12" spans="1:8" ht="30" customHeight="1" x14ac:dyDescent="0.25">
      <c r="A12" s="14" t="s">
        <v>53</v>
      </c>
      <c r="B12" s="14" t="s">
        <v>54</v>
      </c>
      <c r="C12" s="15" t="s">
        <v>74</v>
      </c>
      <c r="D12" s="16" t="s">
        <v>75</v>
      </c>
      <c r="E12" s="17">
        <v>2</v>
      </c>
      <c r="F12" s="28" t="s">
        <v>57</v>
      </c>
      <c r="G12" s="29" t="s">
        <v>76</v>
      </c>
      <c r="H12" s="16"/>
    </row>
    <row r="13" spans="1:8" ht="30" customHeight="1" x14ac:dyDescent="0.25">
      <c r="A13" s="19" t="s">
        <v>53</v>
      </c>
      <c r="B13" s="19" t="s">
        <v>54</v>
      </c>
      <c r="C13" s="20" t="s">
        <v>77</v>
      </c>
      <c r="D13" s="21" t="s">
        <v>78</v>
      </c>
      <c r="E13" s="17">
        <v>2</v>
      </c>
      <c r="F13" s="28" t="s">
        <v>57</v>
      </c>
      <c r="G13" s="30" t="s">
        <v>79</v>
      </c>
      <c r="H13" s="21"/>
    </row>
    <row r="14" spans="1:8" ht="30" customHeight="1" x14ac:dyDescent="0.25">
      <c r="A14" s="14" t="s">
        <v>53</v>
      </c>
      <c r="B14" s="14" t="s">
        <v>54</v>
      </c>
      <c r="C14" s="15" t="s">
        <v>80</v>
      </c>
      <c r="D14" s="16" t="s">
        <v>81</v>
      </c>
      <c r="E14" s="17">
        <v>2</v>
      </c>
      <c r="F14" s="28" t="s">
        <v>45</v>
      </c>
      <c r="G14" s="29" t="s">
        <v>82</v>
      </c>
      <c r="H14" s="16" t="s">
        <v>83</v>
      </c>
    </row>
    <row r="15" spans="1:8" ht="30" customHeight="1" x14ac:dyDescent="0.25">
      <c r="A15" s="19" t="s">
        <v>53</v>
      </c>
      <c r="B15" s="19" t="s">
        <v>54</v>
      </c>
      <c r="C15" s="20" t="s">
        <v>84</v>
      </c>
      <c r="D15" s="21" t="s">
        <v>85</v>
      </c>
      <c r="E15" s="23">
        <v>3</v>
      </c>
      <c r="F15" s="28" t="s">
        <v>57</v>
      </c>
      <c r="G15" s="30" t="s">
        <v>86</v>
      </c>
      <c r="H15" s="21"/>
    </row>
    <row r="16" spans="1:8" ht="18" customHeight="1" x14ac:dyDescent="0.25">
      <c r="A16" s="13" t="s">
        <v>87</v>
      </c>
      <c r="B16" s="13" t="s">
        <v>88</v>
      </c>
      <c r="C16" s="13"/>
      <c r="D16" s="13"/>
      <c r="E16" s="13"/>
      <c r="F16" s="31"/>
      <c r="G16" s="31"/>
      <c r="H16" s="13"/>
    </row>
    <row r="17" spans="1:8" ht="30" customHeight="1" x14ac:dyDescent="0.25">
      <c r="A17" s="14" t="s">
        <v>87</v>
      </c>
      <c r="B17" s="14" t="s">
        <v>88</v>
      </c>
      <c r="C17" s="15" t="s">
        <v>89</v>
      </c>
      <c r="D17" s="16" t="s">
        <v>90</v>
      </c>
      <c r="E17" s="22">
        <v>1</v>
      </c>
      <c r="F17" s="28" t="s">
        <v>57</v>
      </c>
      <c r="G17" s="29" t="s">
        <v>91</v>
      </c>
      <c r="H17" s="16"/>
    </row>
    <row r="18" spans="1:8" ht="30" customHeight="1" x14ac:dyDescent="0.25">
      <c r="A18" s="19" t="s">
        <v>87</v>
      </c>
      <c r="B18" s="19" t="s">
        <v>88</v>
      </c>
      <c r="C18" s="20" t="s">
        <v>92</v>
      </c>
      <c r="D18" s="21" t="s">
        <v>93</v>
      </c>
      <c r="E18" s="22">
        <v>1</v>
      </c>
      <c r="F18" s="28" t="s">
        <v>45</v>
      </c>
      <c r="G18" s="30" t="s">
        <v>94</v>
      </c>
      <c r="H18" s="21"/>
    </row>
    <row r="19" spans="1:8" ht="30" customHeight="1" x14ac:dyDescent="0.25">
      <c r="A19" s="14" t="s">
        <v>87</v>
      </c>
      <c r="B19" s="14" t="s">
        <v>88</v>
      </c>
      <c r="C19" s="15" t="s">
        <v>95</v>
      </c>
      <c r="D19" s="16" t="s">
        <v>96</v>
      </c>
      <c r="E19" s="17">
        <v>2</v>
      </c>
      <c r="F19" s="28" t="s">
        <v>50</v>
      </c>
      <c r="G19" s="29" t="s">
        <v>97</v>
      </c>
      <c r="H19" s="16" t="s">
        <v>98</v>
      </c>
    </row>
    <row r="20" spans="1:8" ht="30" customHeight="1" x14ac:dyDescent="0.25">
      <c r="A20" s="19" t="s">
        <v>87</v>
      </c>
      <c r="B20" s="19" t="s">
        <v>88</v>
      </c>
      <c r="C20" s="20" t="s">
        <v>99</v>
      </c>
      <c r="D20" s="21" t="s">
        <v>100</v>
      </c>
      <c r="E20" s="17">
        <v>2</v>
      </c>
      <c r="F20" s="28" t="s">
        <v>57</v>
      </c>
      <c r="G20" s="30" t="s">
        <v>101</v>
      </c>
      <c r="H20" s="21"/>
    </row>
    <row r="21" spans="1:8" ht="30" customHeight="1" x14ac:dyDescent="0.25">
      <c r="A21" s="14" t="s">
        <v>87</v>
      </c>
      <c r="B21" s="14" t="s">
        <v>88</v>
      </c>
      <c r="C21" s="15" t="s">
        <v>102</v>
      </c>
      <c r="D21" s="16" t="s">
        <v>103</v>
      </c>
      <c r="E21" s="17">
        <v>2</v>
      </c>
      <c r="F21" s="28" t="s">
        <v>57</v>
      </c>
      <c r="G21" s="29" t="s">
        <v>104</v>
      </c>
      <c r="H21" s="16"/>
    </row>
    <row r="22" spans="1:8" ht="30" customHeight="1" x14ac:dyDescent="0.25">
      <c r="A22" s="19" t="s">
        <v>87</v>
      </c>
      <c r="B22" s="19" t="s">
        <v>88</v>
      </c>
      <c r="C22" s="20" t="s">
        <v>105</v>
      </c>
      <c r="D22" s="21" t="s">
        <v>106</v>
      </c>
      <c r="E22" s="17">
        <v>2</v>
      </c>
      <c r="F22" s="28" t="s">
        <v>107</v>
      </c>
      <c r="G22" s="30"/>
      <c r="H22" s="21"/>
    </row>
    <row r="23" spans="1:8" ht="30" customHeight="1" x14ac:dyDescent="0.25">
      <c r="A23" s="14" t="s">
        <v>87</v>
      </c>
      <c r="B23" s="14" t="s">
        <v>88</v>
      </c>
      <c r="C23" s="15" t="s">
        <v>108</v>
      </c>
      <c r="D23" s="16" t="s">
        <v>109</v>
      </c>
      <c r="E23" s="17">
        <v>2</v>
      </c>
      <c r="F23" s="28" t="s">
        <v>57</v>
      </c>
      <c r="G23" s="29"/>
      <c r="H23" s="16"/>
    </row>
    <row r="24" spans="1:8" ht="30" customHeight="1" x14ac:dyDescent="0.25">
      <c r="A24" s="19" t="s">
        <v>87</v>
      </c>
      <c r="B24" s="19" t="s">
        <v>88</v>
      </c>
      <c r="C24" s="20" t="s">
        <v>110</v>
      </c>
      <c r="D24" s="21" t="s">
        <v>111</v>
      </c>
      <c r="E24" s="17">
        <v>2</v>
      </c>
      <c r="F24" s="28" t="s">
        <v>57</v>
      </c>
      <c r="G24" s="30" t="s">
        <v>112</v>
      </c>
      <c r="H24" s="21"/>
    </row>
    <row r="25" spans="1:8" ht="30" customHeight="1" x14ac:dyDescent="0.25">
      <c r="A25" s="14" t="s">
        <v>87</v>
      </c>
      <c r="B25" s="14" t="s">
        <v>88</v>
      </c>
      <c r="C25" s="15" t="s">
        <v>113</v>
      </c>
      <c r="D25" s="16" t="s">
        <v>114</v>
      </c>
      <c r="E25" s="17">
        <v>2</v>
      </c>
      <c r="F25" s="28" t="s">
        <v>57</v>
      </c>
      <c r="G25" s="29" t="s">
        <v>115</v>
      </c>
      <c r="H25" s="16"/>
    </row>
    <row r="26" spans="1:8" ht="30" customHeight="1" x14ac:dyDescent="0.25">
      <c r="A26" s="19" t="s">
        <v>87</v>
      </c>
      <c r="B26" s="19" t="s">
        <v>88</v>
      </c>
      <c r="C26" s="20" t="s">
        <v>116</v>
      </c>
      <c r="D26" s="21" t="s">
        <v>117</v>
      </c>
      <c r="E26" s="17">
        <v>2</v>
      </c>
      <c r="F26" s="28" t="s">
        <v>45</v>
      </c>
      <c r="G26" s="30" t="s">
        <v>118</v>
      </c>
      <c r="H26" s="21" t="s">
        <v>119</v>
      </c>
    </row>
    <row r="27" spans="1:8" ht="30" customHeight="1" x14ac:dyDescent="0.25">
      <c r="A27" s="14" t="s">
        <v>87</v>
      </c>
      <c r="B27" s="14" t="s">
        <v>88</v>
      </c>
      <c r="C27" s="15" t="s">
        <v>120</v>
      </c>
      <c r="D27" s="16" t="s">
        <v>121</v>
      </c>
      <c r="E27" s="17">
        <v>2</v>
      </c>
      <c r="F27" s="28" t="s">
        <v>57</v>
      </c>
      <c r="G27" s="29" t="s">
        <v>122</v>
      </c>
      <c r="H27" s="16"/>
    </row>
    <row r="28" spans="1:8" ht="30" customHeight="1" x14ac:dyDescent="0.25">
      <c r="A28" s="19" t="s">
        <v>87</v>
      </c>
      <c r="B28" s="19" t="s">
        <v>88</v>
      </c>
      <c r="C28" s="20" t="s">
        <v>123</v>
      </c>
      <c r="D28" s="21" t="s">
        <v>124</v>
      </c>
      <c r="E28" s="23">
        <v>3</v>
      </c>
      <c r="F28" s="28" t="s">
        <v>57</v>
      </c>
      <c r="G28" s="30"/>
      <c r="H28" s="21"/>
    </row>
    <row r="29" spans="1:8" ht="18" customHeight="1" x14ac:dyDescent="0.25">
      <c r="A29" s="13" t="s">
        <v>125</v>
      </c>
      <c r="B29" s="13" t="s">
        <v>126</v>
      </c>
      <c r="C29" s="13"/>
      <c r="D29" s="13"/>
      <c r="E29" s="13"/>
      <c r="F29" s="31"/>
      <c r="G29" s="31"/>
      <c r="H29" s="13"/>
    </row>
    <row r="30" spans="1:8" ht="30" customHeight="1" x14ac:dyDescent="0.25">
      <c r="A30" s="14" t="s">
        <v>125</v>
      </c>
      <c r="B30" s="14" t="s">
        <v>126</v>
      </c>
      <c r="C30" s="15" t="s">
        <v>127</v>
      </c>
      <c r="D30" s="16" t="s">
        <v>128</v>
      </c>
      <c r="E30" s="17">
        <v>2</v>
      </c>
      <c r="F30" s="28" t="s">
        <v>57</v>
      </c>
      <c r="G30" s="29" t="s">
        <v>129</v>
      </c>
      <c r="H30" s="16"/>
    </row>
    <row r="31" spans="1:8" ht="30" customHeight="1" x14ac:dyDescent="0.25">
      <c r="A31" s="19" t="s">
        <v>125</v>
      </c>
      <c r="B31" s="19" t="s">
        <v>126</v>
      </c>
      <c r="C31" s="20" t="s">
        <v>130</v>
      </c>
      <c r="D31" s="21" t="s">
        <v>131</v>
      </c>
      <c r="E31" s="17">
        <v>2</v>
      </c>
      <c r="F31" s="28" t="s">
        <v>45</v>
      </c>
      <c r="G31" s="30" t="s">
        <v>132</v>
      </c>
      <c r="H31" s="21" t="s">
        <v>133</v>
      </c>
    </row>
    <row r="32" spans="1:8" ht="30" customHeight="1" x14ac:dyDescent="0.25">
      <c r="A32" s="14" t="s">
        <v>125</v>
      </c>
      <c r="B32" s="14" t="s">
        <v>126</v>
      </c>
      <c r="C32" s="15" t="s">
        <v>134</v>
      </c>
      <c r="D32" s="16" t="s">
        <v>135</v>
      </c>
      <c r="E32" s="17">
        <v>2</v>
      </c>
      <c r="F32" s="28" t="s">
        <v>57</v>
      </c>
      <c r="G32" s="29"/>
      <c r="H32" s="16"/>
    </row>
    <row r="33" spans="1:8" ht="18" customHeight="1" x14ac:dyDescent="0.25">
      <c r="A33" s="13" t="s">
        <v>136</v>
      </c>
      <c r="B33" s="13" t="s">
        <v>137</v>
      </c>
      <c r="C33" s="13"/>
      <c r="D33" s="13"/>
      <c r="E33" s="13"/>
      <c r="F33" s="31"/>
      <c r="G33" s="31"/>
      <c r="H33" s="13"/>
    </row>
    <row r="34" spans="1:8" ht="30" customHeight="1" x14ac:dyDescent="0.25">
      <c r="A34" s="14" t="s">
        <v>136</v>
      </c>
      <c r="B34" s="14" t="s">
        <v>137</v>
      </c>
      <c r="C34" s="15" t="s">
        <v>138</v>
      </c>
      <c r="D34" s="16" t="s">
        <v>139</v>
      </c>
      <c r="E34" s="22">
        <v>1</v>
      </c>
      <c r="F34" s="28" t="s">
        <v>57</v>
      </c>
      <c r="G34" s="29"/>
      <c r="H34" s="16"/>
    </row>
    <row r="35" spans="1:8" ht="30" customHeight="1" x14ac:dyDescent="0.25">
      <c r="A35" s="19" t="s">
        <v>136</v>
      </c>
      <c r="B35" s="19" t="s">
        <v>137</v>
      </c>
      <c r="C35" s="20" t="s">
        <v>140</v>
      </c>
      <c r="D35" s="21" t="s">
        <v>141</v>
      </c>
      <c r="E35" s="17">
        <v>2</v>
      </c>
      <c r="F35" s="28" t="s">
        <v>45</v>
      </c>
      <c r="G35" s="30" t="s">
        <v>142</v>
      </c>
      <c r="H35" s="21" t="s">
        <v>143</v>
      </c>
    </row>
    <row r="36" spans="1:8" ht="30" customHeight="1" x14ac:dyDescent="0.25">
      <c r="A36" s="14" t="s">
        <v>136</v>
      </c>
      <c r="B36" s="14" t="s">
        <v>137</v>
      </c>
      <c r="C36" s="15" t="s">
        <v>144</v>
      </c>
      <c r="D36" s="16" t="s">
        <v>145</v>
      </c>
      <c r="E36" s="23">
        <v>3</v>
      </c>
      <c r="F36" s="28" t="s">
        <v>57</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H17" sqref="H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75" customHeight="1" x14ac:dyDescent="0.25">
      <c r="A3" s="14" t="s">
        <v>146</v>
      </c>
      <c r="B3" s="14" t="s">
        <v>147</v>
      </c>
      <c r="C3" s="15" t="s">
        <v>148</v>
      </c>
      <c r="D3" s="16" t="s">
        <v>149</v>
      </c>
      <c r="E3" s="22">
        <v>1</v>
      </c>
      <c r="F3" s="28" t="s">
        <v>45</v>
      </c>
      <c r="G3" s="29" t="s">
        <v>1303</v>
      </c>
      <c r="H3" s="16" t="s">
        <v>1304</v>
      </c>
    </row>
    <row r="4" spans="1:8" ht="45" customHeight="1" x14ac:dyDescent="0.25">
      <c r="A4" s="19" t="s">
        <v>146</v>
      </c>
      <c r="B4" s="19" t="s">
        <v>147</v>
      </c>
      <c r="C4" s="20" t="s">
        <v>150</v>
      </c>
      <c r="D4" s="21" t="s">
        <v>151</v>
      </c>
      <c r="E4" s="17">
        <v>2</v>
      </c>
      <c r="F4" s="28" t="s">
        <v>45</v>
      </c>
      <c r="G4" s="30" t="s">
        <v>1305</v>
      </c>
      <c r="H4" s="21" t="s">
        <v>1304</v>
      </c>
    </row>
    <row r="5" spans="1:8" ht="45" customHeight="1" x14ac:dyDescent="0.25">
      <c r="A5" s="14" t="s">
        <v>146</v>
      </c>
      <c r="B5" s="14" t="s">
        <v>147</v>
      </c>
      <c r="C5" s="15" t="s">
        <v>152</v>
      </c>
      <c r="D5" s="16" t="s">
        <v>153</v>
      </c>
      <c r="E5" s="17">
        <v>2</v>
      </c>
      <c r="F5" s="28" t="s">
        <v>45</v>
      </c>
      <c r="G5" s="29" t="s">
        <v>1306</v>
      </c>
      <c r="H5" s="16" t="s">
        <v>1304</v>
      </c>
    </row>
    <row r="6" spans="1:8" ht="18" customHeight="1" x14ac:dyDescent="0.25">
      <c r="A6" s="13" t="s">
        <v>154</v>
      </c>
      <c r="B6" s="13" t="s">
        <v>155</v>
      </c>
      <c r="C6" s="13"/>
      <c r="D6" s="13"/>
      <c r="E6" s="13"/>
      <c r="F6" s="31"/>
      <c r="G6" s="31"/>
      <c r="H6" s="13"/>
    </row>
    <row r="7" spans="1:8" ht="30" customHeight="1" x14ac:dyDescent="0.25">
      <c r="A7" s="14" t="s">
        <v>154</v>
      </c>
      <c r="B7" s="14" t="s">
        <v>155</v>
      </c>
      <c r="C7" s="15" t="s">
        <v>156</v>
      </c>
      <c r="D7" s="16" t="s">
        <v>157</v>
      </c>
      <c r="E7" s="22">
        <v>1</v>
      </c>
      <c r="F7" s="28" t="s">
        <v>45</v>
      </c>
      <c r="G7" s="29" t="s">
        <v>1307</v>
      </c>
      <c r="H7" s="16" t="s">
        <v>1308</v>
      </c>
    </row>
    <row r="8" spans="1:8" ht="60" customHeight="1" x14ac:dyDescent="0.25">
      <c r="A8" s="19" t="s">
        <v>154</v>
      </c>
      <c r="B8" s="19" t="s">
        <v>155</v>
      </c>
      <c r="C8" s="20" t="s">
        <v>158</v>
      </c>
      <c r="D8" s="21" t="s">
        <v>159</v>
      </c>
      <c r="E8" s="22">
        <v>1</v>
      </c>
      <c r="F8" s="28" t="s">
        <v>45</v>
      </c>
      <c r="G8" s="30" t="s">
        <v>1309</v>
      </c>
      <c r="H8" s="21" t="s">
        <v>1310</v>
      </c>
    </row>
    <row r="9" spans="1:8" ht="30" customHeight="1" x14ac:dyDescent="0.25">
      <c r="A9" s="14" t="s">
        <v>154</v>
      </c>
      <c r="B9" s="14" t="s">
        <v>155</v>
      </c>
      <c r="C9" s="15" t="s">
        <v>160</v>
      </c>
      <c r="D9" s="16" t="s">
        <v>161</v>
      </c>
      <c r="E9" s="17">
        <v>2</v>
      </c>
      <c r="F9" s="28" t="s">
        <v>45</v>
      </c>
      <c r="G9" s="29" t="s">
        <v>1311</v>
      </c>
      <c r="H9" s="16" t="s">
        <v>1312</v>
      </c>
    </row>
    <row r="10" spans="1:8" ht="18" customHeight="1" x14ac:dyDescent="0.25">
      <c r="A10" s="13" t="s">
        <v>162</v>
      </c>
      <c r="B10" s="13" t="s">
        <v>163</v>
      </c>
      <c r="C10" s="13"/>
      <c r="D10" s="13"/>
      <c r="E10" s="13"/>
      <c r="F10" s="31"/>
      <c r="G10" s="31"/>
      <c r="H10" s="13"/>
    </row>
    <row r="11" spans="1:8" ht="75" customHeight="1" x14ac:dyDescent="0.25">
      <c r="A11" s="14" t="s">
        <v>162</v>
      </c>
      <c r="B11" s="14" t="s">
        <v>163</v>
      </c>
      <c r="C11" s="15" t="s">
        <v>164</v>
      </c>
      <c r="D11" s="16" t="s">
        <v>165</v>
      </c>
      <c r="E11" s="22">
        <v>1</v>
      </c>
      <c r="F11" s="28" t="s">
        <v>45</v>
      </c>
      <c r="G11" s="29" t="s">
        <v>166</v>
      </c>
      <c r="H11" s="16" t="s">
        <v>1313</v>
      </c>
    </row>
    <row r="12" spans="1:8" ht="30" customHeight="1" x14ac:dyDescent="0.25">
      <c r="A12" s="19" t="s">
        <v>162</v>
      </c>
      <c r="B12" s="19" t="s">
        <v>163</v>
      </c>
      <c r="C12" s="20" t="s">
        <v>167</v>
      </c>
      <c r="D12" s="21" t="s">
        <v>168</v>
      </c>
      <c r="E12" s="17">
        <v>2</v>
      </c>
      <c r="F12" s="28" t="s">
        <v>45</v>
      </c>
      <c r="G12" s="30" t="s">
        <v>1314</v>
      </c>
      <c r="H12" s="21" t="s">
        <v>1315</v>
      </c>
    </row>
    <row r="13" spans="1:8" ht="30" customHeight="1" x14ac:dyDescent="0.25">
      <c r="A13" s="14" t="s">
        <v>162</v>
      </c>
      <c r="B13" s="14" t="s">
        <v>163</v>
      </c>
      <c r="C13" s="15" t="s">
        <v>169</v>
      </c>
      <c r="D13" s="16" t="s">
        <v>170</v>
      </c>
      <c r="E13" s="17">
        <v>2</v>
      </c>
      <c r="F13" s="28" t="s">
        <v>45</v>
      </c>
      <c r="G13" s="29" t="s">
        <v>1316</v>
      </c>
      <c r="H13" s="16" t="s">
        <v>1317</v>
      </c>
    </row>
    <row r="14" spans="1:8" ht="30" customHeight="1" x14ac:dyDescent="0.25">
      <c r="A14" s="19" t="s">
        <v>162</v>
      </c>
      <c r="B14" s="19" t="s">
        <v>163</v>
      </c>
      <c r="C14" s="20" t="s">
        <v>171</v>
      </c>
      <c r="D14" s="21" t="s">
        <v>172</v>
      </c>
      <c r="E14" s="17">
        <v>2</v>
      </c>
      <c r="F14" s="28" t="s">
        <v>107</v>
      </c>
      <c r="G14" s="30"/>
      <c r="H14" s="21"/>
    </row>
    <row r="15" spans="1:8" ht="75" customHeight="1" x14ac:dyDescent="0.25">
      <c r="A15" s="14" t="s">
        <v>162</v>
      </c>
      <c r="B15" s="14" t="s">
        <v>163</v>
      </c>
      <c r="C15" s="15" t="s">
        <v>173</v>
      </c>
      <c r="D15" s="16" t="s">
        <v>174</v>
      </c>
      <c r="E15" s="23">
        <v>3</v>
      </c>
      <c r="F15" s="28" t="s">
        <v>57</v>
      </c>
      <c r="G15" s="29" t="s">
        <v>175</v>
      </c>
      <c r="H15" s="16"/>
    </row>
    <row r="16" spans="1:8" ht="18" customHeight="1" x14ac:dyDescent="0.25">
      <c r="A16" s="13" t="s">
        <v>176</v>
      </c>
      <c r="B16" s="13" t="s">
        <v>177</v>
      </c>
      <c r="C16" s="13"/>
      <c r="D16" s="13"/>
      <c r="E16" s="13"/>
      <c r="F16" s="31"/>
      <c r="G16" s="31"/>
      <c r="H16" s="13"/>
    </row>
    <row r="17" spans="1:8" ht="30" customHeight="1" x14ac:dyDescent="0.25">
      <c r="A17" s="14" t="s">
        <v>176</v>
      </c>
      <c r="B17" s="14" t="s">
        <v>177</v>
      </c>
      <c r="C17" s="15" t="s">
        <v>178</v>
      </c>
      <c r="D17" s="16" t="s">
        <v>179</v>
      </c>
      <c r="E17" s="17">
        <v>2</v>
      </c>
      <c r="F17" s="28" t="s">
        <v>45</v>
      </c>
      <c r="G17" s="29" t="s">
        <v>1318</v>
      </c>
      <c r="H17" s="16" t="s">
        <v>1319</v>
      </c>
    </row>
    <row r="18" spans="1:8" ht="30" customHeight="1" x14ac:dyDescent="0.25">
      <c r="A18" s="19" t="s">
        <v>176</v>
      </c>
      <c r="B18" s="19" t="s">
        <v>177</v>
      </c>
      <c r="C18" s="20" t="s">
        <v>180</v>
      </c>
      <c r="D18" s="21" t="s">
        <v>181</v>
      </c>
      <c r="E18" s="23">
        <v>3</v>
      </c>
      <c r="F18" s="28" t="s">
        <v>57</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11" activePane="bottomLeft" state="frozen"/>
      <selection pane="bottomLeft" activeCell="G15" sqref="G15"/>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182</v>
      </c>
      <c r="B1" s="12" t="s">
        <v>34</v>
      </c>
      <c r="C1" s="12" t="s">
        <v>35</v>
      </c>
      <c r="D1" s="12" t="s">
        <v>36</v>
      </c>
      <c r="E1" s="12" t="s">
        <v>37</v>
      </c>
      <c r="F1" s="12" t="s">
        <v>38</v>
      </c>
      <c r="G1" s="12" t="s">
        <v>39</v>
      </c>
      <c r="H1" s="12" t="s">
        <v>40</v>
      </c>
    </row>
    <row r="2" spans="1:8" x14ac:dyDescent="0.25">
      <c r="A2" s="13" t="s">
        <v>183</v>
      </c>
      <c r="B2" s="13" t="s">
        <v>184</v>
      </c>
      <c r="C2" s="13"/>
      <c r="D2" s="13"/>
      <c r="E2" s="13"/>
      <c r="F2" s="13"/>
      <c r="G2" s="13"/>
      <c r="H2" s="13"/>
    </row>
    <row r="3" spans="1:8" ht="85.15" customHeight="1" x14ac:dyDescent="0.25">
      <c r="A3" s="14" t="s">
        <v>183</v>
      </c>
      <c r="B3" s="14" t="s">
        <v>184</v>
      </c>
      <c r="C3" s="15" t="s">
        <v>185</v>
      </c>
      <c r="D3" s="16" t="s">
        <v>186</v>
      </c>
      <c r="E3" s="23">
        <v>3</v>
      </c>
      <c r="F3" s="18" t="s">
        <v>57</v>
      </c>
      <c r="G3" s="24" t="s">
        <v>187</v>
      </c>
      <c r="H3" s="16"/>
    </row>
    <row r="4" spans="1:8" x14ac:dyDescent="0.25">
      <c r="A4" s="13" t="s">
        <v>188</v>
      </c>
      <c r="B4" s="13" t="s">
        <v>189</v>
      </c>
      <c r="C4" s="13"/>
      <c r="D4" s="13"/>
      <c r="E4" s="13"/>
      <c r="F4" s="13"/>
      <c r="G4" s="13"/>
      <c r="H4" s="13"/>
    </row>
    <row r="5" spans="1:8" ht="127.9" customHeight="1" x14ac:dyDescent="0.25">
      <c r="A5" s="14" t="s">
        <v>188</v>
      </c>
      <c r="B5" s="14" t="s">
        <v>189</v>
      </c>
      <c r="C5" s="15" t="s">
        <v>190</v>
      </c>
      <c r="D5" s="16" t="s">
        <v>191</v>
      </c>
      <c r="E5" s="22">
        <v>1</v>
      </c>
      <c r="F5" s="18" t="s">
        <v>57</v>
      </c>
      <c r="G5" s="25"/>
      <c r="H5" s="16"/>
    </row>
    <row r="6" spans="1:8" ht="85.15" customHeight="1" x14ac:dyDescent="0.25">
      <c r="A6" s="19" t="s">
        <v>188</v>
      </c>
      <c r="B6" s="19" t="s">
        <v>189</v>
      </c>
      <c r="C6" s="20" t="s">
        <v>192</v>
      </c>
      <c r="D6" s="21" t="s">
        <v>193</v>
      </c>
      <c r="E6" s="22">
        <v>1</v>
      </c>
      <c r="F6" s="18" t="s">
        <v>57</v>
      </c>
      <c r="G6" t="s">
        <v>194</v>
      </c>
      <c r="H6" s="21"/>
    </row>
    <row r="7" spans="1:8" ht="85.15" customHeight="1" x14ac:dyDescent="0.25">
      <c r="A7" s="14" t="s">
        <v>188</v>
      </c>
      <c r="B7" s="14" t="s">
        <v>189</v>
      </c>
      <c r="C7" s="15" t="s">
        <v>195</v>
      </c>
      <c r="D7" s="16" t="s">
        <v>196</v>
      </c>
      <c r="E7" s="23">
        <v>3</v>
      </c>
      <c r="F7" s="18" t="s">
        <v>57</v>
      </c>
      <c r="G7" t="s">
        <v>197</v>
      </c>
      <c r="H7" s="16"/>
    </row>
    <row r="8" spans="1:8" x14ac:dyDescent="0.25">
      <c r="A8" s="13" t="s">
        <v>198</v>
      </c>
      <c r="B8" s="13" t="s">
        <v>199</v>
      </c>
      <c r="C8" s="13"/>
      <c r="D8" s="13"/>
      <c r="E8" s="13"/>
      <c r="F8" s="13"/>
      <c r="G8" s="13"/>
      <c r="H8" s="13"/>
    </row>
    <row r="9" spans="1:8" ht="72" customHeight="1" x14ac:dyDescent="0.25">
      <c r="A9" s="14" t="s">
        <v>198</v>
      </c>
      <c r="B9" s="14" t="s">
        <v>199</v>
      </c>
      <c r="C9" s="15" t="s">
        <v>200</v>
      </c>
      <c r="D9" s="16" t="s">
        <v>201</v>
      </c>
      <c r="E9" s="22">
        <v>1</v>
      </c>
      <c r="F9" s="18" t="s">
        <v>57</v>
      </c>
      <c r="G9" s="25" t="s">
        <v>202</v>
      </c>
      <c r="H9" s="16"/>
    </row>
    <row r="10" spans="1:8" ht="72" customHeight="1" x14ac:dyDescent="0.25">
      <c r="A10" s="19" t="s">
        <v>198</v>
      </c>
      <c r="B10" s="19" t="s">
        <v>199</v>
      </c>
      <c r="C10" s="20" t="s">
        <v>203</v>
      </c>
      <c r="D10" s="21" t="s">
        <v>204</v>
      </c>
      <c r="E10" s="17">
        <v>2</v>
      </c>
      <c r="F10" s="18" t="s">
        <v>57</v>
      </c>
      <c r="G10" t="s">
        <v>205</v>
      </c>
      <c r="H10" s="21"/>
    </row>
    <row r="11" spans="1:8" ht="72" customHeight="1" x14ac:dyDescent="0.25">
      <c r="A11" s="14" t="s">
        <v>198</v>
      </c>
      <c r="B11" s="14" t="s">
        <v>199</v>
      </c>
      <c r="C11" s="15" t="s">
        <v>206</v>
      </c>
      <c r="D11" s="16" t="s">
        <v>207</v>
      </c>
      <c r="E11" s="17">
        <v>2</v>
      </c>
      <c r="F11" s="18" t="s">
        <v>57</v>
      </c>
      <c r="G11" t="s">
        <v>205</v>
      </c>
      <c r="H11" s="16"/>
    </row>
    <row r="12" spans="1:8" ht="72" customHeight="1" x14ac:dyDescent="0.25">
      <c r="A12" s="19" t="s">
        <v>198</v>
      </c>
      <c r="B12" s="19" t="s">
        <v>199</v>
      </c>
      <c r="C12" s="20" t="s">
        <v>208</v>
      </c>
      <c r="D12" s="21" t="s">
        <v>209</v>
      </c>
      <c r="E12" s="17">
        <v>2</v>
      </c>
      <c r="F12" s="18" t="s">
        <v>57</v>
      </c>
      <c r="G12" s="26" t="s">
        <v>210</v>
      </c>
      <c r="H12" s="21"/>
    </row>
    <row r="13" spans="1:8" ht="72" customHeight="1" x14ac:dyDescent="0.25">
      <c r="A13" s="14" t="s">
        <v>198</v>
      </c>
      <c r="B13" s="14" t="s">
        <v>199</v>
      </c>
      <c r="C13" s="15" t="s">
        <v>211</v>
      </c>
      <c r="D13" s="16" t="s">
        <v>212</v>
      </c>
      <c r="E13" s="23">
        <v>3</v>
      </c>
      <c r="F13" s="18" t="s">
        <v>57</v>
      </c>
      <c r="G13" t="s">
        <v>213</v>
      </c>
      <c r="H13" s="16"/>
    </row>
    <row r="14" spans="1:8" x14ac:dyDescent="0.25">
      <c r="A14" s="13" t="s">
        <v>214</v>
      </c>
      <c r="B14" s="13" t="s">
        <v>215</v>
      </c>
      <c r="C14" s="13"/>
      <c r="D14" s="13"/>
      <c r="E14" s="13"/>
      <c r="F14" s="13"/>
      <c r="G14" s="13"/>
      <c r="H14" s="13"/>
    </row>
    <row r="15" spans="1:8" ht="72" customHeight="1" x14ac:dyDescent="0.25">
      <c r="A15" s="14" t="s">
        <v>214</v>
      </c>
      <c r="B15" s="14" t="s">
        <v>215</v>
      </c>
      <c r="C15" s="15" t="s">
        <v>216</v>
      </c>
      <c r="D15" s="16" t="s">
        <v>217</v>
      </c>
      <c r="E15" s="22">
        <v>1</v>
      </c>
      <c r="F15" s="18" t="s">
        <v>50</v>
      </c>
      <c r="G15" s="25" t="s">
        <v>218</v>
      </c>
      <c r="H15" s="16" t="s">
        <v>219</v>
      </c>
    </row>
    <row r="16" spans="1:8" ht="104.25" customHeight="1" x14ac:dyDescent="0.25">
      <c r="A16" s="19" t="s">
        <v>214</v>
      </c>
      <c r="B16" s="19" t="s">
        <v>215</v>
      </c>
      <c r="C16" s="20" t="s">
        <v>220</v>
      </c>
      <c r="D16" s="21" t="s">
        <v>221</v>
      </c>
      <c r="E16" s="22">
        <v>1</v>
      </c>
      <c r="F16" s="18" t="s">
        <v>50</v>
      </c>
      <c r="G16" s="26" t="s">
        <v>222</v>
      </c>
      <c r="H16" s="21" t="s">
        <v>223</v>
      </c>
    </row>
    <row r="17" spans="1:8" ht="138" customHeight="1" x14ac:dyDescent="0.25">
      <c r="A17" s="14" t="s">
        <v>214</v>
      </c>
      <c r="B17" s="14" t="s">
        <v>215</v>
      </c>
      <c r="C17" s="15" t="s">
        <v>224</v>
      </c>
      <c r="D17" s="16" t="s">
        <v>225</v>
      </c>
      <c r="E17" s="17">
        <v>2</v>
      </c>
      <c r="F17" s="18" t="s">
        <v>57</v>
      </c>
      <c r="G17" s="25" t="s">
        <v>226</v>
      </c>
      <c r="H17" s="16"/>
    </row>
    <row r="18" spans="1:8" ht="78" customHeight="1" x14ac:dyDescent="0.25">
      <c r="A18" s="19" t="s">
        <v>214</v>
      </c>
      <c r="B18" s="19" t="s">
        <v>215</v>
      </c>
      <c r="C18" s="20" t="s">
        <v>227</v>
      </c>
      <c r="D18" s="21" t="s">
        <v>228</v>
      </c>
      <c r="E18" s="17">
        <v>2</v>
      </c>
      <c r="F18" s="18" t="s">
        <v>50</v>
      </c>
      <c r="G18" s="26" t="s">
        <v>229</v>
      </c>
      <c r="H18" s="21" t="s">
        <v>230</v>
      </c>
    </row>
    <row r="19" spans="1:8" ht="105" customHeight="1" x14ac:dyDescent="0.25">
      <c r="A19" s="14" t="s">
        <v>214</v>
      </c>
      <c r="B19" s="14" t="s">
        <v>215</v>
      </c>
      <c r="C19" s="15" t="s">
        <v>231</v>
      </c>
      <c r="D19" s="16" t="s">
        <v>232</v>
      </c>
      <c r="E19" s="17">
        <v>2</v>
      </c>
      <c r="F19" s="18" t="s">
        <v>57</v>
      </c>
      <c r="G19" s="25" t="s">
        <v>233</v>
      </c>
      <c r="H19" s="16"/>
    </row>
    <row r="20" spans="1:8" ht="90" customHeight="1" x14ac:dyDescent="0.25">
      <c r="A20" s="19" t="s">
        <v>214</v>
      </c>
      <c r="B20" s="19" t="s">
        <v>215</v>
      </c>
      <c r="C20" s="20" t="s">
        <v>234</v>
      </c>
      <c r="D20" s="21" t="s">
        <v>235</v>
      </c>
      <c r="E20" s="17">
        <v>2</v>
      </c>
      <c r="F20" s="18" t="s">
        <v>57</v>
      </c>
      <c r="G20" s="26" t="s">
        <v>236</v>
      </c>
      <c r="H20" s="21"/>
    </row>
    <row r="21" spans="1:8" ht="72" customHeight="1" x14ac:dyDescent="0.25">
      <c r="A21" s="14" t="s">
        <v>214</v>
      </c>
      <c r="B21" s="14" t="s">
        <v>215</v>
      </c>
      <c r="C21" s="15" t="s">
        <v>237</v>
      </c>
      <c r="D21" s="16" t="s">
        <v>238</v>
      </c>
      <c r="E21" s="23">
        <v>3</v>
      </c>
      <c r="F21" s="18" t="s">
        <v>57</v>
      </c>
      <c r="G21" s="25" t="s">
        <v>239</v>
      </c>
      <c r="H21" s="16"/>
    </row>
    <row r="22" spans="1:8" ht="90" customHeight="1" x14ac:dyDescent="0.25">
      <c r="A22" s="19" t="s">
        <v>214</v>
      </c>
      <c r="B22" s="19" t="s">
        <v>215</v>
      </c>
      <c r="C22" s="20" t="s">
        <v>240</v>
      </c>
      <c r="D22" s="21" t="s">
        <v>241</v>
      </c>
      <c r="E22" s="23">
        <v>3</v>
      </c>
      <c r="F22" s="18" t="s">
        <v>57</v>
      </c>
      <c r="G22" s="26" t="s">
        <v>242</v>
      </c>
      <c r="H22" s="21"/>
    </row>
    <row r="23" spans="1:8" x14ac:dyDescent="0.25">
      <c r="A23" s="13" t="s">
        <v>243</v>
      </c>
      <c r="B23" s="13" t="s">
        <v>244</v>
      </c>
      <c r="C23" s="13"/>
      <c r="D23" s="13"/>
      <c r="E23" s="13"/>
      <c r="F23" s="13"/>
      <c r="G23" s="13"/>
      <c r="H23" s="13"/>
    </row>
    <row r="24" spans="1:8" ht="120" customHeight="1" x14ac:dyDescent="0.25">
      <c r="A24" s="14" t="s">
        <v>243</v>
      </c>
      <c r="B24" s="14" t="s">
        <v>244</v>
      </c>
      <c r="C24" s="15" t="s">
        <v>245</v>
      </c>
      <c r="D24" s="16" t="s">
        <v>246</v>
      </c>
      <c r="E24" s="22">
        <v>1</v>
      </c>
      <c r="F24" s="18" t="s">
        <v>45</v>
      </c>
      <c r="G24" s="25" t="s">
        <v>247</v>
      </c>
      <c r="H24" s="16" t="s">
        <v>248</v>
      </c>
    </row>
    <row r="25" spans="1:8" ht="105" customHeight="1" x14ac:dyDescent="0.25">
      <c r="A25" s="19" t="s">
        <v>243</v>
      </c>
      <c r="B25" s="19" t="s">
        <v>244</v>
      </c>
      <c r="C25" s="20" t="s">
        <v>249</v>
      </c>
      <c r="D25" s="21" t="s">
        <v>250</v>
      </c>
      <c r="E25" s="22">
        <v>1</v>
      </c>
      <c r="F25" s="18" t="s">
        <v>45</v>
      </c>
      <c r="G25" s="26" t="s">
        <v>251</v>
      </c>
      <c r="H25" s="21" t="s">
        <v>252</v>
      </c>
    </row>
    <row r="26" spans="1:8" ht="120" customHeight="1" x14ac:dyDescent="0.25">
      <c r="A26" s="14" t="s">
        <v>243</v>
      </c>
      <c r="B26" s="14" t="s">
        <v>244</v>
      </c>
      <c r="C26" s="15" t="s">
        <v>253</v>
      </c>
      <c r="D26" s="16" t="s">
        <v>254</v>
      </c>
      <c r="E26" s="22">
        <v>1</v>
      </c>
      <c r="F26" s="18" t="s">
        <v>45</v>
      </c>
      <c r="G26" s="25" t="s">
        <v>255</v>
      </c>
      <c r="H26" s="16" t="s">
        <v>256</v>
      </c>
    </row>
    <row r="27" spans="1:8" ht="75" customHeight="1" x14ac:dyDescent="0.25">
      <c r="A27" s="19" t="s">
        <v>243</v>
      </c>
      <c r="B27" s="19" t="s">
        <v>244</v>
      </c>
      <c r="C27" s="20" t="s">
        <v>257</v>
      </c>
      <c r="D27" s="21" t="s">
        <v>258</v>
      </c>
      <c r="E27" s="17">
        <v>2</v>
      </c>
      <c r="F27" s="18" t="s">
        <v>57</v>
      </c>
      <c r="G27" s="26" t="s">
        <v>259</v>
      </c>
      <c r="H27" s="21"/>
    </row>
    <row r="28" spans="1:8" ht="72" customHeight="1" x14ac:dyDescent="0.25">
      <c r="A28" s="14" t="s">
        <v>243</v>
      </c>
      <c r="B28" s="14" t="s">
        <v>244</v>
      </c>
      <c r="C28" s="15" t="s">
        <v>260</v>
      </c>
      <c r="D28" s="16" t="s">
        <v>261</v>
      </c>
      <c r="E28" s="17">
        <v>2</v>
      </c>
      <c r="F28" s="18" t="s">
        <v>57</v>
      </c>
      <c r="G28" s="25" t="s">
        <v>262</v>
      </c>
      <c r="H28" s="16"/>
    </row>
    <row r="29" spans="1:8" ht="72" customHeight="1" x14ac:dyDescent="0.25">
      <c r="A29" s="19" t="s">
        <v>243</v>
      </c>
      <c r="B29" s="19" t="s">
        <v>244</v>
      </c>
      <c r="C29" s="20" t="s">
        <v>263</v>
      </c>
      <c r="D29" s="21" t="s">
        <v>264</v>
      </c>
      <c r="E29" s="23">
        <v>3</v>
      </c>
      <c r="F29" s="18" t="s">
        <v>57</v>
      </c>
      <c r="G29" s="26" t="s">
        <v>265</v>
      </c>
      <c r="H29" s="21"/>
    </row>
    <row r="30" spans="1:8" ht="72" customHeight="1" x14ac:dyDescent="0.25">
      <c r="A30" s="14" t="s">
        <v>243</v>
      </c>
      <c r="B30" s="14" t="s">
        <v>244</v>
      </c>
      <c r="C30" s="15" t="s">
        <v>266</v>
      </c>
      <c r="D30" s="16" t="s">
        <v>267</v>
      </c>
      <c r="E30" s="23">
        <v>3</v>
      </c>
      <c r="F30" s="18" t="s">
        <v>57</v>
      </c>
      <c r="G30" s="25" t="s">
        <v>268</v>
      </c>
      <c r="H30" s="16"/>
    </row>
    <row r="31" spans="1:8" ht="120.4" customHeight="1" x14ac:dyDescent="0.25">
      <c r="A31" s="19" t="s">
        <v>243</v>
      </c>
      <c r="B31" s="19" t="s">
        <v>244</v>
      </c>
      <c r="C31" s="20" t="s">
        <v>269</v>
      </c>
      <c r="D31" s="21" t="s">
        <v>270</v>
      </c>
      <c r="E31" s="23">
        <v>3</v>
      </c>
      <c r="F31" s="18" t="s">
        <v>57</v>
      </c>
      <c r="G31" s="26"/>
      <c r="H31" s="21"/>
    </row>
    <row r="32" spans="1:8" x14ac:dyDescent="0.25">
      <c r="A32" s="13" t="s">
        <v>271</v>
      </c>
      <c r="B32" s="13" t="s">
        <v>272</v>
      </c>
      <c r="C32" s="13"/>
      <c r="D32" s="13"/>
      <c r="E32" s="13"/>
      <c r="F32" s="13"/>
      <c r="G32" s="13"/>
      <c r="H32" s="13"/>
    </row>
    <row r="33" spans="1:8" ht="106.5" customHeight="1" x14ac:dyDescent="0.25">
      <c r="A33" s="14" t="s">
        <v>271</v>
      </c>
      <c r="B33" s="14" t="s">
        <v>272</v>
      </c>
      <c r="C33" s="15" t="s">
        <v>273</v>
      </c>
      <c r="D33" s="16" t="s">
        <v>274</v>
      </c>
      <c r="E33" s="23">
        <v>3</v>
      </c>
      <c r="F33" s="18" t="s">
        <v>57</v>
      </c>
      <c r="G33" t="s">
        <v>275</v>
      </c>
      <c r="H33" s="16"/>
    </row>
    <row r="34" spans="1:8" x14ac:dyDescent="0.25">
      <c r="A34" s="13" t="s">
        <v>276</v>
      </c>
      <c r="B34" s="13" t="s">
        <v>277</v>
      </c>
      <c r="C34" s="13"/>
      <c r="D34" s="13"/>
      <c r="E34" s="13"/>
      <c r="F34" s="13"/>
      <c r="G34" s="13"/>
      <c r="H34" s="13"/>
    </row>
    <row r="35" spans="1:8" ht="72" customHeight="1" x14ac:dyDescent="0.25">
      <c r="A35" s="14" t="s">
        <v>276</v>
      </c>
      <c r="B35" s="14" t="s">
        <v>277</v>
      </c>
      <c r="C35" s="15" t="s">
        <v>278</v>
      </c>
      <c r="D35" s="16" t="s">
        <v>279</v>
      </c>
      <c r="E35" s="17">
        <v>2</v>
      </c>
      <c r="F35" s="18" t="s">
        <v>57</v>
      </c>
      <c r="G35" t="s">
        <v>280</v>
      </c>
      <c r="H35" s="16"/>
    </row>
    <row r="36" spans="1:8" ht="72" customHeight="1" x14ac:dyDescent="0.25">
      <c r="A36" s="19" t="s">
        <v>276</v>
      </c>
      <c r="B36" s="19" t="s">
        <v>277</v>
      </c>
      <c r="C36" s="20" t="s">
        <v>281</v>
      </c>
      <c r="D36" s="21" t="s">
        <v>282</v>
      </c>
      <c r="E36" s="17">
        <v>2</v>
      </c>
      <c r="F36" s="18" t="s">
        <v>57</v>
      </c>
      <c r="G36" s="26"/>
      <c r="H36" s="21"/>
    </row>
    <row r="37" spans="1:8" ht="72" customHeight="1" x14ac:dyDescent="0.25">
      <c r="A37" s="14" t="s">
        <v>276</v>
      </c>
      <c r="B37" s="14" t="s">
        <v>277</v>
      </c>
      <c r="C37" s="15" t="s">
        <v>283</v>
      </c>
      <c r="D37" s="16" t="s">
        <v>284</v>
      </c>
      <c r="E37" s="23">
        <v>3</v>
      </c>
      <c r="F37" s="18" t="s">
        <v>57</v>
      </c>
      <c r="G37" t="s">
        <v>285</v>
      </c>
      <c r="H37" s="16"/>
    </row>
    <row r="38" spans="1:8" ht="72" customHeight="1" x14ac:dyDescent="0.25">
      <c r="A38" s="19" t="s">
        <v>276</v>
      </c>
      <c r="B38" s="19" t="s">
        <v>277</v>
      </c>
      <c r="C38" s="20" t="s">
        <v>286</v>
      </c>
      <c r="D38" s="21" t="s">
        <v>287</v>
      </c>
      <c r="E38" s="23">
        <v>3</v>
      </c>
      <c r="F38" s="18" t="s">
        <v>57</v>
      </c>
      <c r="G38" s="26"/>
      <c r="H38" s="21"/>
    </row>
    <row r="39" spans="1:8" ht="72" customHeight="1" x14ac:dyDescent="0.25">
      <c r="A39" s="14" t="s">
        <v>276</v>
      </c>
      <c r="B39" s="14" t="s">
        <v>277</v>
      </c>
      <c r="C39" s="15" t="s">
        <v>288</v>
      </c>
      <c r="D39" s="16" t="s">
        <v>289</v>
      </c>
      <c r="E39" s="23">
        <v>3</v>
      </c>
      <c r="F39" s="18" t="s">
        <v>57</v>
      </c>
      <c r="G39" t="s">
        <v>290</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tabSelected="1" zoomScale="75" zoomScaleNormal="75" workbookViewId="0">
      <pane ySplit="1" topLeftCell="A2" activePane="bottomLeft" state="frozen"/>
      <selection pane="bottomLeft" activeCell="N9" sqref="N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291</v>
      </c>
      <c r="B2" s="13" t="s">
        <v>292</v>
      </c>
      <c r="C2" s="13"/>
      <c r="D2" s="13"/>
      <c r="E2" s="13"/>
      <c r="F2" s="13"/>
      <c r="G2" s="13"/>
      <c r="H2" s="13"/>
    </row>
    <row r="3" spans="1:8" ht="75" customHeight="1" x14ac:dyDescent="0.25">
      <c r="A3" s="14" t="s">
        <v>291</v>
      </c>
      <c r="B3" s="14" t="s">
        <v>292</v>
      </c>
      <c r="C3" s="15" t="s">
        <v>293</v>
      </c>
      <c r="D3" s="16" t="s">
        <v>294</v>
      </c>
      <c r="E3" s="22">
        <v>1</v>
      </c>
      <c r="F3" s="18" t="s">
        <v>45</v>
      </c>
      <c r="G3" s="16" t="s">
        <v>295</v>
      </c>
      <c r="H3" s="16" t="s">
        <v>296</v>
      </c>
    </row>
    <row r="4" spans="1:8" ht="105" customHeight="1" x14ac:dyDescent="0.25">
      <c r="A4" s="19" t="s">
        <v>291</v>
      </c>
      <c r="B4" s="19" t="s">
        <v>292</v>
      </c>
      <c r="C4" s="20" t="s">
        <v>297</v>
      </c>
      <c r="D4" s="21" t="s">
        <v>298</v>
      </c>
      <c r="E4" s="17">
        <v>2</v>
      </c>
      <c r="F4" s="18" t="s">
        <v>45</v>
      </c>
      <c r="G4" s="21" t="s">
        <v>299</v>
      </c>
      <c r="H4" s="21" t="s">
        <v>300</v>
      </c>
    </row>
    <row r="5" spans="1:8" ht="75" customHeight="1" x14ac:dyDescent="0.25">
      <c r="A5" s="14" t="s">
        <v>291</v>
      </c>
      <c r="B5" s="14" t="s">
        <v>292</v>
      </c>
      <c r="C5" s="15" t="s">
        <v>301</v>
      </c>
      <c r="D5" s="16" t="s">
        <v>302</v>
      </c>
      <c r="E5" s="17">
        <v>2</v>
      </c>
      <c r="F5" s="18" t="s">
        <v>45</v>
      </c>
      <c r="G5" s="16" t="s">
        <v>303</v>
      </c>
      <c r="H5" s="16" t="s">
        <v>304</v>
      </c>
    </row>
    <row r="6" spans="1:8" ht="30" customHeight="1" x14ac:dyDescent="0.25">
      <c r="A6" s="19" t="s">
        <v>291</v>
      </c>
      <c r="B6" s="19" t="s">
        <v>292</v>
      </c>
      <c r="C6" s="20" t="s">
        <v>305</v>
      </c>
      <c r="D6" s="21" t="s">
        <v>306</v>
      </c>
      <c r="E6" s="23">
        <v>3</v>
      </c>
      <c r="F6" s="18" t="s">
        <v>57</v>
      </c>
      <c r="G6" s="21"/>
      <c r="H6" s="21"/>
    </row>
    <row r="7" spans="1:8" ht="30" customHeight="1" x14ac:dyDescent="0.25">
      <c r="A7" s="14" t="s">
        <v>291</v>
      </c>
      <c r="B7" s="14" t="s">
        <v>292</v>
      </c>
      <c r="C7" s="15" t="s">
        <v>307</v>
      </c>
      <c r="D7" s="16" t="s">
        <v>308</v>
      </c>
      <c r="E7" s="23">
        <v>3</v>
      </c>
      <c r="F7" s="18" t="s">
        <v>57</v>
      </c>
      <c r="G7" s="16"/>
      <c r="H7" s="16"/>
    </row>
    <row r="8" spans="1:8" ht="18" customHeight="1" x14ac:dyDescent="0.25">
      <c r="A8" s="13" t="s">
        <v>309</v>
      </c>
      <c r="B8" s="13" t="s">
        <v>310</v>
      </c>
      <c r="C8" s="13"/>
      <c r="D8" s="13"/>
      <c r="E8" s="13"/>
      <c r="F8" s="13"/>
      <c r="G8" s="13"/>
      <c r="H8" s="13"/>
    </row>
    <row r="9" spans="1:8" ht="30" customHeight="1" x14ac:dyDescent="0.25">
      <c r="A9" s="14" t="s">
        <v>309</v>
      </c>
      <c r="B9" s="14" t="s">
        <v>310</v>
      </c>
      <c r="C9" s="15" t="s">
        <v>311</v>
      </c>
      <c r="D9" s="16" t="s">
        <v>312</v>
      </c>
      <c r="E9" s="17">
        <v>2</v>
      </c>
      <c r="F9" s="18" t="s">
        <v>45</v>
      </c>
      <c r="G9" s="16" t="s">
        <v>313</v>
      </c>
      <c r="H9" s="16" t="s">
        <v>314</v>
      </c>
    </row>
    <row r="10" spans="1:8" ht="30" customHeight="1" x14ac:dyDescent="0.25">
      <c r="A10" s="19" t="s">
        <v>309</v>
      </c>
      <c r="B10" s="19" t="s">
        <v>310</v>
      </c>
      <c r="C10" s="20" t="s">
        <v>315</v>
      </c>
      <c r="D10" s="21" t="s">
        <v>316</v>
      </c>
      <c r="E10" s="23">
        <v>3</v>
      </c>
      <c r="F10" s="18" t="s">
        <v>57</v>
      </c>
      <c r="G10" s="21"/>
      <c r="H10" s="21"/>
    </row>
    <row r="11" spans="1:8" ht="30" customHeight="1" x14ac:dyDescent="0.25">
      <c r="A11" s="14" t="s">
        <v>309</v>
      </c>
      <c r="B11" s="14" t="s">
        <v>310</v>
      </c>
      <c r="C11" s="15" t="s">
        <v>317</v>
      </c>
      <c r="D11" s="16" t="s">
        <v>318</v>
      </c>
      <c r="E11" s="23">
        <v>3</v>
      </c>
      <c r="F11" s="18" t="s">
        <v>57</v>
      </c>
      <c r="G11" s="16"/>
      <c r="H11" s="16"/>
    </row>
    <row r="12" spans="1:8" ht="30" customHeight="1" x14ac:dyDescent="0.25">
      <c r="A12" s="19" t="s">
        <v>309</v>
      </c>
      <c r="B12" s="19" t="s">
        <v>310</v>
      </c>
      <c r="C12" s="20" t="s">
        <v>319</v>
      </c>
      <c r="D12" s="21" t="s">
        <v>320</v>
      </c>
      <c r="E12" s="23">
        <v>3</v>
      </c>
      <c r="F12" s="18" t="s">
        <v>57</v>
      </c>
      <c r="G12" s="21"/>
      <c r="H12" s="21"/>
    </row>
    <row r="13" spans="1:8" ht="30" customHeight="1" x14ac:dyDescent="0.25">
      <c r="A13" s="14" t="s">
        <v>309</v>
      </c>
      <c r="B13" s="14" t="s">
        <v>310</v>
      </c>
      <c r="C13" s="15" t="s">
        <v>321</v>
      </c>
      <c r="D13" s="16" t="s">
        <v>322</v>
      </c>
      <c r="E13" s="23">
        <v>3</v>
      </c>
      <c r="F13" s="18" t="s">
        <v>57</v>
      </c>
      <c r="G13" s="16"/>
      <c r="H13" s="16"/>
    </row>
    <row r="14" spans="1:8" ht="18" customHeight="1" x14ac:dyDescent="0.25">
      <c r="A14" s="13" t="s">
        <v>323</v>
      </c>
      <c r="B14" s="13" t="s">
        <v>324</v>
      </c>
      <c r="C14" s="13"/>
      <c r="D14" s="13"/>
      <c r="E14" s="13"/>
      <c r="F14" s="13"/>
      <c r="G14" s="13"/>
      <c r="H14" s="13"/>
    </row>
    <row r="15" spans="1:8" ht="60" customHeight="1" x14ac:dyDescent="0.25">
      <c r="A15" s="14" t="s">
        <v>323</v>
      </c>
      <c r="B15" s="14" t="s">
        <v>324</v>
      </c>
      <c r="C15" s="15" t="s">
        <v>325</v>
      </c>
      <c r="D15" s="16" t="s">
        <v>326</v>
      </c>
      <c r="E15" s="17">
        <v>2</v>
      </c>
      <c r="F15" s="18" t="s">
        <v>57</v>
      </c>
      <c r="G15" s="16" t="s">
        <v>327</v>
      </c>
      <c r="H15" s="16"/>
    </row>
    <row r="16" spans="1:8" ht="30" customHeight="1" x14ac:dyDescent="0.25">
      <c r="A16" s="19" t="s">
        <v>323</v>
      </c>
      <c r="B16" s="19" t="s">
        <v>324</v>
      </c>
      <c r="C16" s="20" t="s">
        <v>328</v>
      </c>
      <c r="D16" s="21" t="s">
        <v>329</v>
      </c>
      <c r="E16" s="17">
        <v>2</v>
      </c>
      <c r="F16" s="18" t="s">
        <v>57</v>
      </c>
      <c r="G16" s="21" t="s">
        <v>330</v>
      </c>
      <c r="H16" s="21"/>
    </row>
    <row r="17" spans="1:8" ht="18" customHeight="1" x14ac:dyDescent="0.25">
      <c r="A17" s="13" t="s">
        <v>331</v>
      </c>
      <c r="B17" s="13" t="s">
        <v>332</v>
      </c>
      <c r="C17" s="13"/>
      <c r="D17" s="13"/>
      <c r="E17" s="13"/>
      <c r="F17" s="13"/>
      <c r="G17" s="13"/>
      <c r="H17" s="13"/>
    </row>
    <row r="18" spans="1:8" ht="30" customHeight="1" x14ac:dyDescent="0.25">
      <c r="A18" s="14" t="s">
        <v>331</v>
      </c>
      <c r="B18" s="14" t="s">
        <v>332</v>
      </c>
      <c r="C18" s="15" t="s">
        <v>333</v>
      </c>
      <c r="D18" s="16" t="s">
        <v>334</v>
      </c>
      <c r="E18" s="22">
        <v>1</v>
      </c>
      <c r="F18" s="18" t="s">
        <v>57</v>
      </c>
      <c r="G18" s="16" t="s">
        <v>335</v>
      </c>
      <c r="H18" s="16"/>
    </row>
    <row r="19" spans="1:8" ht="30" customHeight="1" x14ac:dyDescent="0.25">
      <c r="A19" s="19" t="s">
        <v>331</v>
      </c>
      <c r="B19" s="19" t="s">
        <v>332</v>
      </c>
      <c r="C19" s="20" t="s">
        <v>336</v>
      </c>
      <c r="D19" s="21" t="s">
        <v>337</v>
      </c>
      <c r="E19" s="17">
        <v>2</v>
      </c>
      <c r="F19" s="18" t="s">
        <v>57</v>
      </c>
      <c r="G19" t="s">
        <v>338</v>
      </c>
      <c r="H19" s="21"/>
    </row>
    <row r="20" spans="1:8" ht="30" customHeight="1" x14ac:dyDescent="0.25">
      <c r="A20" s="14" t="s">
        <v>331</v>
      </c>
      <c r="B20" s="14" t="s">
        <v>332</v>
      </c>
      <c r="C20" s="15" t="s">
        <v>339</v>
      </c>
      <c r="D20" s="16" t="s">
        <v>340</v>
      </c>
      <c r="E20" s="17">
        <v>2</v>
      </c>
      <c r="F20" s="18" t="s">
        <v>57</v>
      </c>
      <c r="G20" t="s">
        <v>341</v>
      </c>
      <c r="H20" s="16"/>
    </row>
    <row r="21" spans="1:8" ht="30" customHeight="1" x14ac:dyDescent="0.25">
      <c r="A21" s="19" t="s">
        <v>331</v>
      </c>
      <c r="B21" s="19" t="s">
        <v>332</v>
      </c>
      <c r="C21" s="20" t="s">
        <v>342</v>
      </c>
      <c r="D21" s="21" t="s">
        <v>343</v>
      </c>
      <c r="E21" s="17">
        <v>2</v>
      </c>
      <c r="F21" s="18" t="s">
        <v>57</v>
      </c>
      <c r="G21" t="s">
        <v>344</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85" zoomScaleNormal="85" workbookViewId="0">
      <pane ySplit="1" topLeftCell="A2"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345</v>
      </c>
      <c r="B2" s="13" t="s">
        <v>346</v>
      </c>
      <c r="C2" s="13"/>
      <c r="D2" s="13"/>
      <c r="E2" s="13"/>
      <c r="F2" s="13"/>
      <c r="G2" s="13"/>
      <c r="H2" s="13"/>
    </row>
    <row r="3" spans="1:8" ht="150" customHeight="1" x14ac:dyDescent="0.25">
      <c r="A3" s="14" t="s">
        <v>345</v>
      </c>
      <c r="B3" s="14" t="s">
        <v>346</v>
      </c>
      <c r="C3" s="15" t="s">
        <v>347</v>
      </c>
      <c r="D3" s="16" t="s">
        <v>348</v>
      </c>
      <c r="E3" s="17">
        <v>2</v>
      </c>
      <c r="F3" s="18" t="s">
        <v>45</v>
      </c>
      <c r="G3" s="16" t="s">
        <v>349</v>
      </c>
      <c r="H3" s="16" t="s">
        <v>350</v>
      </c>
    </row>
    <row r="4" spans="1:8" ht="18" customHeight="1" x14ac:dyDescent="0.25">
      <c r="A4" s="13" t="s">
        <v>351</v>
      </c>
      <c r="B4" s="13" t="s">
        <v>352</v>
      </c>
      <c r="C4" s="13"/>
      <c r="D4" s="13"/>
      <c r="E4" s="13"/>
      <c r="F4" s="13"/>
      <c r="G4" s="13"/>
      <c r="H4" s="13"/>
    </row>
    <row r="5" spans="1:8" ht="30" customHeight="1" x14ac:dyDescent="0.25">
      <c r="A5" s="14" t="s">
        <v>351</v>
      </c>
      <c r="B5" s="14" t="s">
        <v>352</v>
      </c>
      <c r="C5" s="15" t="s">
        <v>353</v>
      </c>
      <c r="D5" s="16" t="s">
        <v>354</v>
      </c>
      <c r="E5" s="22">
        <v>1</v>
      </c>
      <c r="F5" s="18" t="s">
        <v>45</v>
      </c>
      <c r="G5" s="16" t="s">
        <v>355</v>
      </c>
      <c r="H5" s="16" t="s">
        <v>356</v>
      </c>
    </row>
    <row r="6" spans="1:8" ht="150" customHeight="1" x14ac:dyDescent="0.25">
      <c r="A6" s="19" t="s">
        <v>351</v>
      </c>
      <c r="B6" s="19" t="s">
        <v>352</v>
      </c>
      <c r="C6" s="20" t="s">
        <v>357</v>
      </c>
      <c r="D6" s="21" t="s">
        <v>358</v>
      </c>
      <c r="E6" s="22">
        <v>1</v>
      </c>
      <c r="F6" s="18" t="s">
        <v>45</v>
      </c>
      <c r="G6" s="21" t="s">
        <v>359</v>
      </c>
      <c r="H6" s="21" t="s">
        <v>360</v>
      </c>
    </row>
    <row r="7" spans="1:8" ht="45" customHeight="1" x14ac:dyDescent="0.25">
      <c r="A7" s="14" t="s">
        <v>351</v>
      </c>
      <c r="B7" s="14" t="s">
        <v>352</v>
      </c>
      <c r="C7" s="15" t="s">
        <v>361</v>
      </c>
      <c r="D7" s="16" t="s">
        <v>362</v>
      </c>
      <c r="E7" s="17">
        <v>2</v>
      </c>
      <c r="F7" s="18" t="s">
        <v>57</v>
      </c>
      <c r="G7" s="16" t="s">
        <v>363</v>
      </c>
      <c r="H7" s="16"/>
    </row>
    <row r="8" spans="1:8" ht="30" customHeight="1" x14ac:dyDescent="0.25">
      <c r="A8" s="19" t="s">
        <v>351</v>
      </c>
      <c r="B8" s="19" t="s">
        <v>352</v>
      </c>
      <c r="C8" s="20" t="s">
        <v>364</v>
      </c>
      <c r="D8" s="21" t="s">
        <v>365</v>
      </c>
      <c r="E8" s="23">
        <v>3</v>
      </c>
      <c r="F8" s="18" t="s">
        <v>57</v>
      </c>
      <c r="G8" s="21"/>
      <c r="H8" s="21"/>
    </row>
    <row r="9" spans="1:8" ht="60" customHeight="1" x14ac:dyDescent="0.25">
      <c r="A9" s="14" t="s">
        <v>351</v>
      </c>
      <c r="B9" s="14" t="s">
        <v>352</v>
      </c>
      <c r="C9" s="15" t="s">
        <v>366</v>
      </c>
      <c r="D9" s="16" t="s">
        <v>367</v>
      </c>
      <c r="E9" s="23">
        <v>3</v>
      </c>
      <c r="F9" s="18" t="s">
        <v>57</v>
      </c>
      <c r="G9" s="16" t="s">
        <v>368</v>
      </c>
      <c r="H9" s="16"/>
    </row>
    <row r="10" spans="1:8" ht="30" customHeight="1" x14ac:dyDescent="0.25">
      <c r="A10" s="19" t="s">
        <v>351</v>
      </c>
      <c r="B10" s="19" t="s">
        <v>352</v>
      </c>
      <c r="C10" s="20" t="s">
        <v>369</v>
      </c>
      <c r="D10" s="21" t="s">
        <v>370</v>
      </c>
      <c r="E10" s="23">
        <v>3</v>
      </c>
      <c r="F10" s="18" t="s">
        <v>57</v>
      </c>
      <c r="G10" s="21"/>
      <c r="H10" s="21"/>
    </row>
    <row r="11" spans="1:8" ht="18" customHeight="1" x14ac:dyDescent="0.25">
      <c r="A11" s="13" t="s">
        <v>371</v>
      </c>
      <c r="B11" s="13" t="s">
        <v>372</v>
      </c>
      <c r="C11" s="13"/>
      <c r="D11" s="13"/>
      <c r="E11" s="13"/>
      <c r="F11" s="13"/>
      <c r="G11" s="13"/>
      <c r="H11" s="13"/>
    </row>
    <row r="12" spans="1:8" ht="30" customHeight="1" x14ac:dyDescent="0.25">
      <c r="A12" s="14" t="s">
        <v>371</v>
      </c>
      <c r="B12" s="14" t="s">
        <v>372</v>
      </c>
      <c r="C12" s="15" t="s">
        <v>373</v>
      </c>
      <c r="D12" s="16" t="s">
        <v>374</v>
      </c>
      <c r="E12" s="22">
        <v>1</v>
      </c>
      <c r="F12" s="18" t="s">
        <v>45</v>
      </c>
      <c r="G12" s="16" t="s">
        <v>375</v>
      </c>
      <c r="H12" s="16" t="s">
        <v>376</v>
      </c>
    </row>
    <row r="13" spans="1:8" ht="30" customHeight="1" x14ac:dyDescent="0.25">
      <c r="A13" s="19" t="s">
        <v>371</v>
      </c>
      <c r="B13" s="19" t="s">
        <v>372</v>
      </c>
      <c r="C13" s="20" t="s">
        <v>377</v>
      </c>
      <c r="D13" s="21" t="s">
        <v>378</v>
      </c>
      <c r="E13" s="22">
        <v>1</v>
      </c>
      <c r="F13" s="18" t="s">
        <v>45</v>
      </c>
      <c r="G13" s="21" t="s">
        <v>379</v>
      </c>
      <c r="H13" s="21" t="s">
        <v>380</v>
      </c>
    </row>
    <row r="14" spans="1:8" ht="60" customHeight="1" x14ac:dyDescent="0.25">
      <c r="A14" s="14" t="s">
        <v>371</v>
      </c>
      <c r="B14" s="14" t="s">
        <v>372</v>
      </c>
      <c r="C14" s="15" t="s">
        <v>381</v>
      </c>
      <c r="D14" s="16" t="s">
        <v>382</v>
      </c>
      <c r="E14" s="23">
        <v>3</v>
      </c>
      <c r="F14" s="18" t="s">
        <v>57</v>
      </c>
      <c r="G14" s="16" t="s">
        <v>383</v>
      </c>
      <c r="H14" s="16"/>
    </row>
    <row r="15" spans="1:8" ht="18" customHeight="1" x14ac:dyDescent="0.25">
      <c r="A15" s="13" t="s">
        <v>384</v>
      </c>
      <c r="B15" s="13" t="s">
        <v>385</v>
      </c>
      <c r="C15" s="13"/>
      <c r="D15" s="13"/>
      <c r="E15" s="13"/>
      <c r="F15" s="13"/>
      <c r="G15" s="13"/>
      <c r="H15" s="13"/>
    </row>
    <row r="16" spans="1:8" ht="30" customHeight="1" x14ac:dyDescent="0.25">
      <c r="A16" s="14" t="s">
        <v>384</v>
      </c>
      <c r="B16" s="14" t="s">
        <v>385</v>
      </c>
      <c r="C16" s="15" t="s">
        <v>386</v>
      </c>
      <c r="D16" s="16" t="s">
        <v>387</v>
      </c>
      <c r="E16" s="17">
        <v>2</v>
      </c>
      <c r="F16" s="18" t="s">
        <v>45</v>
      </c>
      <c r="G16" s="16" t="s">
        <v>388</v>
      </c>
      <c r="H16" s="16" t="s">
        <v>389</v>
      </c>
    </row>
    <row r="17" spans="1:8" ht="30" customHeight="1" x14ac:dyDescent="0.25">
      <c r="A17" s="19" t="s">
        <v>384</v>
      </c>
      <c r="B17" s="19" t="s">
        <v>385</v>
      </c>
      <c r="C17" s="20" t="s">
        <v>390</v>
      </c>
      <c r="D17" s="21" t="s">
        <v>391</v>
      </c>
      <c r="E17" s="17">
        <v>2</v>
      </c>
      <c r="F17" s="18" t="s">
        <v>45</v>
      </c>
      <c r="G17" s="21" t="s">
        <v>392</v>
      </c>
      <c r="H17" s="21" t="s">
        <v>393</v>
      </c>
    </row>
    <row r="18" spans="1:8" ht="30" customHeight="1" x14ac:dyDescent="0.25">
      <c r="A18" s="14" t="s">
        <v>384</v>
      </c>
      <c r="B18" s="14" t="s">
        <v>385</v>
      </c>
      <c r="C18" s="15" t="s">
        <v>394</v>
      </c>
      <c r="D18" s="16" t="s">
        <v>395</v>
      </c>
      <c r="E18" s="17">
        <v>2</v>
      </c>
      <c r="F18" s="18" t="s">
        <v>45</v>
      </c>
      <c r="G18" s="16" t="s">
        <v>396</v>
      </c>
      <c r="H18" s="16" t="s">
        <v>397</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398</v>
      </c>
      <c r="B2" s="13" t="s">
        <v>399</v>
      </c>
      <c r="C2" s="13"/>
      <c r="D2" s="13"/>
      <c r="E2" s="13"/>
      <c r="F2" s="13"/>
      <c r="G2" s="13"/>
      <c r="H2" s="13"/>
    </row>
    <row r="3" spans="1:8" ht="90" customHeight="1" x14ac:dyDescent="0.25">
      <c r="A3" s="14" t="s">
        <v>398</v>
      </c>
      <c r="B3" s="14" t="s">
        <v>399</v>
      </c>
      <c r="C3" s="15" t="s">
        <v>400</v>
      </c>
      <c r="D3" s="16" t="s">
        <v>401</v>
      </c>
      <c r="E3" s="22">
        <v>1</v>
      </c>
      <c r="F3" s="18" t="s">
        <v>45</v>
      </c>
      <c r="G3" s="16" t="s">
        <v>402</v>
      </c>
      <c r="H3" s="16" t="s">
        <v>403</v>
      </c>
    </row>
    <row r="4" spans="1:8" ht="75" customHeight="1" x14ac:dyDescent="0.25">
      <c r="A4" s="19" t="s">
        <v>398</v>
      </c>
      <c r="B4" s="19" t="s">
        <v>399</v>
      </c>
      <c r="C4" s="20" t="s">
        <v>404</v>
      </c>
      <c r="D4" s="21" t="s">
        <v>405</v>
      </c>
      <c r="E4" s="17">
        <v>2</v>
      </c>
      <c r="F4" s="18" t="s">
        <v>45</v>
      </c>
      <c r="G4" s="21" t="s">
        <v>406</v>
      </c>
      <c r="H4" s="21" t="s">
        <v>407</v>
      </c>
    </row>
    <row r="5" spans="1:8" ht="120" customHeight="1" x14ac:dyDescent="0.25">
      <c r="A5" s="14" t="s">
        <v>398</v>
      </c>
      <c r="B5" s="14" t="s">
        <v>399</v>
      </c>
      <c r="C5" s="15" t="s">
        <v>408</v>
      </c>
      <c r="D5" s="16" t="s">
        <v>409</v>
      </c>
      <c r="E5" s="17">
        <v>2</v>
      </c>
      <c r="F5" s="18" t="s">
        <v>45</v>
      </c>
      <c r="G5" s="16" t="s">
        <v>410</v>
      </c>
      <c r="H5" s="16" t="s">
        <v>411</v>
      </c>
    </row>
    <row r="6" spans="1:8" ht="18" customHeight="1" x14ac:dyDescent="0.25">
      <c r="A6" s="13" t="s">
        <v>412</v>
      </c>
      <c r="B6" s="13" t="s">
        <v>413</v>
      </c>
      <c r="C6" s="13"/>
      <c r="D6" s="13"/>
      <c r="E6" s="13"/>
      <c r="F6" s="13"/>
      <c r="G6" s="13"/>
      <c r="H6" s="13"/>
    </row>
    <row r="7" spans="1:8" ht="60" customHeight="1" x14ac:dyDescent="0.25">
      <c r="A7" s="14" t="s">
        <v>412</v>
      </c>
      <c r="B7" s="14" t="s">
        <v>413</v>
      </c>
      <c r="C7" s="15" t="s">
        <v>414</v>
      </c>
      <c r="D7" s="16" t="s">
        <v>415</v>
      </c>
      <c r="E7" s="22">
        <v>1</v>
      </c>
      <c r="F7" s="18" t="s">
        <v>45</v>
      </c>
      <c r="G7" s="16" t="s">
        <v>416</v>
      </c>
      <c r="H7" s="16" t="s">
        <v>417</v>
      </c>
    </row>
    <row r="8" spans="1:8" ht="60" customHeight="1" x14ac:dyDescent="0.25">
      <c r="A8" s="19" t="s">
        <v>412</v>
      </c>
      <c r="B8" s="19" t="s">
        <v>413</v>
      </c>
      <c r="C8" s="20" t="s">
        <v>418</v>
      </c>
      <c r="D8" s="21" t="s">
        <v>419</v>
      </c>
      <c r="E8" s="22">
        <v>1</v>
      </c>
      <c r="F8" s="18" t="s">
        <v>45</v>
      </c>
      <c r="G8" s="21" t="s">
        <v>420</v>
      </c>
      <c r="H8" s="21" t="s">
        <v>421</v>
      </c>
    </row>
    <row r="9" spans="1:8" ht="60" customHeight="1" x14ac:dyDescent="0.25">
      <c r="A9" s="14" t="s">
        <v>412</v>
      </c>
      <c r="B9" s="14" t="s">
        <v>413</v>
      </c>
      <c r="C9" s="15" t="s">
        <v>422</v>
      </c>
      <c r="D9" s="16" t="s">
        <v>423</v>
      </c>
      <c r="E9" s="22">
        <v>1</v>
      </c>
      <c r="F9" s="18" t="s">
        <v>45</v>
      </c>
      <c r="G9" s="16" t="s">
        <v>424</v>
      </c>
      <c r="H9" s="16" t="s">
        <v>425</v>
      </c>
    </row>
    <row r="10" spans="1:8" ht="105" customHeight="1" x14ac:dyDescent="0.25">
      <c r="A10" s="19" t="s">
        <v>412</v>
      </c>
      <c r="B10" s="19" t="s">
        <v>413</v>
      </c>
      <c r="C10" s="20" t="s">
        <v>426</v>
      </c>
      <c r="D10" s="21" t="s">
        <v>427</v>
      </c>
      <c r="E10" s="22">
        <v>1</v>
      </c>
      <c r="F10" s="18" t="s">
        <v>45</v>
      </c>
      <c r="G10" s="21" t="s">
        <v>428</v>
      </c>
      <c r="H10" s="21" t="s">
        <v>429</v>
      </c>
    </row>
    <row r="11" spans="1:8" ht="90" customHeight="1" x14ac:dyDescent="0.25">
      <c r="A11" s="14" t="s">
        <v>412</v>
      </c>
      <c r="B11" s="14" t="s">
        <v>413</v>
      </c>
      <c r="C11" s="15" t="s">
        <v>430</v>
      </c>
      <c r="D11" s="16" t="s">
        <v>431</v>
      </c>
      <c r="E11" s="22">
        <v>1</v>
      </c>
      <c r="F11" s="18" t="s">
        <v>45</v>
      </c>
      <c r="G11" s="16" t="s">
        <v>432</v>
      </c>
      <c r="H11" s="16" t="s">
        <v>433</v>
      </c>
    </row>
    <row r="12" spans="1:8" ht="60" customHeight="1" x14ac:dyDescent="0.25">
      <c r="A12" s="19" t="s">
        <v>412</v>
      </c>
      <c r="B12" s="19" t="s">
        <v>413</v>
      </c>
      <c r="C12" s="20" t="s">
        <v>434</v>
      </c>
      <c r="D12" s="21" t="s">
        <v>435</v>
      </c>
      <c r="E12" s="22">
        <v>1</v>
      </c>
      <c r="F12" s="18" t="s">
        <v>57</v>
      </c>
      <c r="G12" s="21" t="s">
        <v>436</v>
      </c>
      <c r="H12" s="21"/>
    </row>
    <row r="13" spans="1:8" ht="60" customHeight="1" x14ac:dyDescent="0.25">
      <c r="A13" s="14" t="s">
        <v>412</v>
      </c>
      <c r="B13" s="14" t="s">
        <v>413</v>
      </c>
      <c r="C13" s="15" t="s">
        <v>437</v>
      </c>
      <c r="D13" s="16" t="s">
        <v>438</v>
      </c>
      <c r="E13" s="22">
        <v>1</v>
      </c>
      <c r="F13" s="18" t="s">
        <v>57</v>
      </c>
      <c r="G13" s="16" t="s">
        <v>439</v>
      </c>
      <c r="H13" s="16"/>
    </row>
    <row r="14" spans="1:8" ht="75" customHeight="1" x14ac:dyDescent="0.25">
      <c r="A14" s="19" t="s">
        <v>412</v>
      </c>
      <c r="B14" s="19" t="s">
        <v>413</v>
      </c>
      <c r="C14" s="20" t="s">
        <v>440</v>
      </c>
      <c r="D14" s="21" t="s">
        <v>441</v>
      </c>
      <c r="E14" s="22">
        <v>1</v>
      </c>
      <c r="F14" s="18" t="s">
        <v>45</v>
      </c>
      <c r="G14" s="21" t="s">
        <v>442</v>
      </c>
      <c r="H14" s="21" t="s">
        <v>443</v>
      </c>
    </row>
    <row r="15" spans="1:8" ht="60" customHeight="1" x14ac:dyDescent="0.25">
      <c r="A15" s="14" t="s">
        <v>412</v>
      </c>
      <c r="B15" s="14" t="s">
        <v>413</v>
      </c>
      <c r="C15" s="15" t="s">
        <v>444</v>
      </c>
      <c r="D15" s="16" t="s">
        <v>445</v>
      </c>
      <c r="E15" s="17">
        <v>2</v>
      </c>
      <c r="F15" s="18" t="s">
        <v>45</v>
      </c>
      <c r="G15" s="16" t="s">
        <v>446</v>
      </c>
      <c r="H15" s="16" t="s">
        <v>447</v>
      </c>
    </row>
    <row r="16" spans="1:8" ht="60" customHeight="1" x14ac:dyDescent="0.25">
      <c r="A16" s="19" t="s">
        <v>412</v>
      </c>
      <c r="B16" s="19" t="s">
        <v>413</v>
      </c>
      <c r="C16" s="20" t="s">
        <v>448</v>
      </c>
      <c r="D16" s="21" t="s">
        <v>449</v>
      </c>
      <c r="E16" s="17">
        <v>2</v>
      </c>
      <c r="F16" s="18" t="s">
        <v>45</v>
      </c>
      <c r="G16" s="21" t="s">
        <v>450</v>
      </c>
      <c r="H16" s="21" t="s">
        <v>451</v>
      </c>
    </row>
    <row r="17" spans="1:8" ht="90" customHeight="1" x14ac:dyDescent="0.25">
      <c r="A17" s="14" t="s">
        <v>412</v>
      </c>
      <c r="B17" s="14" t="s">
        <v>413</v>
      </c>
      <c r="C17" s="15" t="s">
        <v>452</v>
      </c>
      <c r="D17" s="16" t="s">
        <v>453</v>
      </c>
      <c r="E17" s="17">
        <v>2</v>
      </c>
      <c r="F17" s="18" t="s">
        <v>45</v>
      </c>
      <c r="G17" s="16" t="s">
        <v>454</v>
      </c>
      <c r="H17" s="16" t="s">
        <v>455</v>
      </c>
    </row>
    <row r="18" spans="1:8" ht="105" customHeight="1" x14ac:dyDescent="0.25">
      <c r="A18" s="19" t="s">
        <v>412</v>
      </c>
      <c r="B18" s="19" t="s">
        <v>413</v>
      </c>
      <c r="C18" s="20" t="s">
        <v>456</v>
      </c>
      <c r="D18" s="21" t="s">
        <v>457</v>
      </c>
      <c r="E18" s="17">
        <v>2</v>
      </c>
      <c r="F18" s="18" t="s">
        <v>45</v>
      </c>
      <c r="G18" s="21" t="s">
        <v>458</v>
      </c>
      <c r="H18" s="21" t="s">
        <v>459</v>
      </c>
    </row>
    <row r="19" spans="1:8" ht="18" customHeight="1" x14ac:dyDescent="0.25">
      <c r="A19" s="13" t="s">
        <v>460</v>
      </c>
      <c r="B19" s="13" t="s">
        <v>461</v>
      </c>
      <c r="C19" s="13"/>
      <c r="D19" s="13"/>
      <c r="E19" s="13"/>
      <c r="F19" s="13"/>
      <c r="G19" s="13"/>
      <c r="H19" s="13"/>
    </row>
    <row r="20" spans="1:8" ht="75" customHeight="1" x14ac:dyDescent="0.25">
      <c r="A20" s="14" t="s">
        <v>460</v>
      </c>
      <c r="B20" s="14" t="s">
        <v>461</v>
      </c>
      <c r="C20" s="15" t="s">
        <v>462</v>
      </c>
      <c r="D20" s="16" t="s">
        <v>463</v>
      </c>
      <c r="E20" s="22">
        <v>1</v>
      </c>
      <c r="F20" s="18" t="s">
        <v>45</v>
      </c>
      <c r="G20" s="16" t="s">
        <v>464</v>
      </c>
      <c r="H20" s="16" t="s">
        <v>465</v>
      </c>
    </row>
    <row r="21" spans="1:8" ht="105" customHeight="1" x14ac:dyDescent="0.25">
      <c r="A21" s="19" t="s">
        <v>460</v>
      </c>
      <c r="B21" s="19" t="s">
        <v>461</v>
      </c>
      <c r="C21" s="20" t="s">
        <v>466</v>
      </c>
      <c r="D21" s="21" t="s">
        <v>467</v>
      </c>
      <c r="E21" s="22">
        <v>1</v>
      </c>
      <c r="F21" s="18" t="s">
        <v>45</v>
      </c>
      <c r="G21" s="21" t="s">
        <v>468</v>
      </c>
      <c r="H21" s="21" t="s">
        <v>469</v>
      </c>
    </row>
    <row r="22" spans="1:8" ht="165" customHeight="1" x14ac:dyDescent="0.25">
      <c r="A22" s="14" t="s">
        <v>460</v>
      </c>
      <c r="B22" s="14" t="s">
        <v>461</v>
      </c>
      <c r="C22" s="15" t="s">
        <v>470</v>
      </c>
      <c r="D22" s="16" t="s">
        <v>471</v>
      </c>
      <c r="E22" s="17">
        <v>2</v>
      </c>
      <c r="F22" s="18" t="s">
        <v>45</v>
      </c>
      <c r="G22" s="16" t="s">
        <v>472</v>
      </c>
      <c r="H22" s="16" t="s">
        <v>473</v>
      </c>
    </row>
    <row r="23" spans="1:8" ht="75" customHeight="1" x14ac:dyDescent="0.25">
      <c r="A23" s="19" t="s">
        <v>460</v>
      </c>
      <c r="B23" s="19" t="s">
        <v>461</v>
      </c>
      <c r="C23" s="20" t="s">
        <v>474</v>
      </c>
      <c r="D23" s="21" t="s">
        <v>475</v>
      </c>
      <c r="E23" s="17">
        <v>2</v>
      </c>
      <c r="F23" s="18" t="s">
        <v>45</v>
      </c>
      <c r="G23" s="21" t="s">
        <v>476</v>
      </c>
      <c r="H23" s="21" t="s">
        <v>477</v>
      </c>
    </row>
    <row r="24" spans="1:8" ht="30" customHeight="1" x14ac:dyDescent="0.25">
      <c r="A24" s="14" t="s">
        <v>460</v>
      </c>
      <c r="B24" s="14" t="s">
        <v>461</v>
      </c>
      <c r="C24" s="15" t="s">
        <v>478</v>
      </c>
      <c r="D24" s="16" t="s">
        <v>479</v>
      </c>
      <c r="E24" s="23">
        <v>3</v>
      </c>
      <c r="F24" s="18" t="s">
        <v>57</v>
      </c>
      <c r="G24" s="16"/>
      <c r="H24" s="16"/>
    </row>
    <row r="25" spans="1:8" ht="30" customHeight="1" x14ac:dyDescent="0.25">
      <c r="A25" s="19" t="s">
        <v>460</v>
      </c>
      <c r="B25" s="19" t="s">
        <v>461</v>
      </c>
      <c r="C25" s="20" t="s">
        <v>480</v>
      </c>
      <c r="D25" s="21" t="s">
        <v>481</v>
      </c>
      <c r="E25" s="23">
        <v>3</v>
      </c>
      <c r="F25" s="18" t="s">
        <v>57</v>
      </c>
      <c r="G25" s="21"/>
      <c r="H25" s="21"/>
    </row>
    <row r="26" spans="1:8" ht="30" customHeight="1" x14ac:dyDescent="0.25">
      <c r="A26" s="14" t="s">
        <v>460</v>
      </c>
      <c r="B26" s="14" t="s">
        <v>461</v>
      </c>
      <c r="C26" s="15" t="s">
        <v>482</v>
      </c>
      <c r="D26" s="16" t="s">
        <v>483</v>
      </c>
      <c r="E26" s="23">
        <v>3</v>
      </c>
      <c r="F26" s="18" t="s">
        <v>57</v>
      </c>
      <c r="G26" s="16"/>
      <c r="H26" s="16"/>
    </row>
    <row r="27" spans="1:8" ht="30" customHeight="1" x14ac:dyDescent="0.25">
      <c r="A27" s="19" t="s">
        <v>460</v>
      </c>
      <c r="B27" s="19" t="s">
        <v>461</v>
      </c>
      <c r="C27" s="20" t="s">
        <v>484</v>
      </c>
      <c r="D27" s="21" t="s">
        <v>485</v>
      </c>
      <c r="E27" s="23">
        <v>3</v>
      </c>
      <c r="F27" s="18" t="s">
        <v>57</v>
      </c>
      <c r="G27" s="21"/>
      <c r="H27" s="21"/>
    </row>
    <row r="28" spans="1:8" ht="18" customHeight="1" x14ac:dyDescent="0.25">
      <c r="A28" s="13" t="s">
        <v>486</v>
      </c>
      <c r="B28" s="13" t="s">
        <v>487</v>
      </c>
      <c r="C28" s="13"/>
      <c r="D28" s="13"/>
      <c r="E28" s="13"/>
      <c r="F28" s="13"/>
      <c r="G28" s="13"/>
      <c r="H28" s="13"/>
    </row>
    <row r="29" spans="1:8" ht="90" customHeight="1" x14ac:dyDescent="0.25">
      <c r="A29" s="14" t="s">
        <v>486</v>
      </c>
      <c r="B29" s="14" t="s">
        <v>487</v>
      </c>
      <c r="C29" s="15" t="s">
        <v>488</v>
      </c>
      <c r="D29" s="16" t="s">
        <v>489</v>
      </c>
      <c r="E29" s="22">
        <v>1</v>
      </c>
      <c r="F29" s="18" t="s">
        <v>45</v>
      </c>
      <c r="G29" s="16" t="s">
        <v>490</v>
      </c>
      <c r="H29" s="16" t="s">
        <v>491</v>
      </c>
    </row>
    <row r="30" spans="1:8" ht="90" customHeight="1" x14ac:dyDescent="0.25">
      <c r="A30" s="19" t="s">
        <v>486</v>
      </c>
      <c r="B30" s="19" t="s">
        <v>487</v>
      </c>
      <c r="C30" s="20" t="s">
        <v>492</v>
      </c>
      <c r="D30" s="21" t="s">
        <v>493</v>
      </c>
      <c r="E30" s="22">
        <v>1</v>
      </c>
      <c r="F30" s="18" t="s">
        <v>45</v>
      </c>
      <c r="G30" s="21" t="s">
        <v>494</v>
      </c>
      <c r="H30" s="21" t="s">
        <v>495</v>
      </c>
    </row>
    <row r="31" spans="1:8" ht="90" customHeight="1" x14ac:dyDescent="0.25">
      <c r="A31" s="14" t="s">
        <v>486</v>
      </c>
      <c r="B31" s="14" t="s">
        <v>487</v>
      </c>
      <c r="C31" s="15" t="s">
        <v>496</v>
      </c>
      <c r="D31" s="16" t="s">
        <v>497</v>
      </c>
      <c r="E31" s="17">
        <v>2</v>
      </c>
      <c r="F31" s="18" t="s">
        <v>45</v>
      </c>
      <c r="G31" s="16" t="s">
        <v>498</v>
      </c>
      <c r="H31" s="16" t="s">
        <v>499</v>
      </c>
    </row>
    <row r="32" spans="1:8" ht="60" customHeight="1" x14ac:dyDescent="0.25">
      <c r="A32" s="19" t="s">
        <v>486</v>
      </c>
      <c r="B32" s="19" t="s">
        <v>487</v>
      </c>
      <c r="C32" s="20" t="s">
        <v>500</v>
      </c>
      <c r="D32" s="21" t="s">
        <v>501</v>
      </c>
      <c r="E32" s="17">
        <v>2</v>
      </c>
      <c r="F32" s="18" t="s">
        <v>45</v>
      </c>
      <c r="G32" s="21" t="s">
        <v>502</v>
      </c>
      <c r="H32" s="21" t="s">
        <v>503</v>
      </c>
    </row>
    <row r="33" spans="1:8" ht="30" customHeight="1" x14ac:dyDescent="0.25">
      <c r="A33" s="14" t="s">
        <v>486</v>
      </c>
      <c r="B33" s="14" t="s">
        <v>487</v>
      </c>
      <c r="C33" s="15" t="s">
        <v>504</v>
      </c>
      <c r="D33" s="16" t="s">
        <v>505</v>
      </c>
      <c r="E33" s="23">
        <v>3</v>
      </c>
      <c r="F33" s="18" t="s">
        <v>57</v>
      </c>
      <c r="G33" s="16"/>
      <c r="H33" s="16"/>
    </row>
    <row r="34" spans="1:8" ht="30" customHeight="1" x14ac:dyDescent="0.25">
      <c r="A34" s="19" t="s">
        <v>486</v>
      </c>
      <c r="B34" s="19" t="s">
        <v>487</v>
      </c>
      <c r="C34" s="20" t="s">
        <v>506</v>
      </c>
      <c r="D34" s="21" t="s">
        <v>507</v>
      </c>
      <c r="E34" s="23">
        <v>3</v>
      </c>
      <c r="F34" s="18" t="s">
        <v>57</v>
      </c>
      <c r="G34" s="21"/>
      <c r="H34" s="21"/>
    </row>
    <row r="35" spans="1:8" ht="18" customHeight="1" x14ac:dyDescent="0.25">
      <c r="A35" s="13" t="s">
        <v>508</v>
      </c>
      <c r="B35" s="13" t="s">
        <v>509</v>
      </c>
      <c r="C35" s="13"/>
      <c r="D35" s="13"/>
      <c r="E35" s="13"/>
      <c r="F35" s="13"/>
      <c r="G35" s="13"/>
      <c r="H35" s="13"/>
    </row>
    <row r="36" spans="1:8" ht="75" customHeight="1" x14ac:dyDescent="0.25">
      <c r="A36" s="14" t="s">
        <v>508</v>
      </c>
      <c r="B36" s="14" t="s">
        <v>509</v>
      </c>
      <c r="C36" s="15" t="s">
        <v>510</v>
      </c>
      <c r="D36" s="16" t="s">
        <v>511</v>
      </c>
      <c r="E36" s="17">
        <v>2</v>
      </c>
      <c r="F36" s="18" t="s">
        <v>45</v>
      </c>
      <c r="G36" s="16" t="s">
        <v>512</v>
      </c>
      <c r="H36" s="16" t="s">
        <v>513</v>
      </c>
    </row>
    <row r="37" spans="1:8" ht="90" customHeight="1" x14ac:dyDescent="0.25">
      <c r="A37" s="19" t="s">
        <v>508</v>
      </c>
      <c r="B37" s="19" t="s">
        <v>509</v>
      </c>
      <c r="C37" s="20" t="s">
        <v>514</v>
      </c>
      <c r="D37" s="21" t="s">
        <v>515</v>
      </c>
      <c r="E37" s="17">
        <v>2</v>
      </c>
      <c r="F37" s="18" t="s">
        <v>45</v>
      </c>
      <c r="G37" s="21" t="s">
        <v>516</v>
      </c>
      <c r="H37" s="21" t="s">
        <v>517</v>
      </c>
    </row>
    <row r="38" spans="1:8" ht="105" customHeight="1" x14ac:dyDescent="0.25">
      <c r="A38" s="14" t="s">
        <v>508</v>
      </c>
      <c r="B38" s="14" t="s">
        <v>509</v>
      </c>
      <c r="C38" s="15" t="s">
        <v>518</v>
      </c>
      <c r="D38" s="16" t="s">
        <v>519</v>
      </c>
      <c r="E38" s="17">
        <v>2</v>
      </c>
      <c r="F38" s="18" t="s">
        <v>45</v>
      </c>
      <c r="G38" s="16" t="s">
        <v>520</v>
      </c>
      <c r="H38" s="16" t="s">
        <v>521</v>
      </c>
    </row>
    <row r="39" spans="1:8" ht="105" customHeight="1" x14ac:dyDescent="0.25">
      <c r="A39" s="19" t="s">
        <v>508</v>
      </c>
      <c r="B39" s="19" t="s">
        <v>509</v>
      </c>
      <c r="C39" s="20" t="s">
        <v>522</v>
      </c>
      <c r="D39" s="21" t="s">
        <v>523</v>
      </c>
      <c r="E39" s="17">
        <v>2</v>
      </c>
      <c r="F39" s="18" t="s">
        <v>45</v>
      </c>
      <c r="G39" s="21" t="s">
        <v>524</v>
      </c>
      <c r="H39" s="21" t="s">
        <v>525</v>
      </c>
    </row>
    <row r="40" spans="1:8" ht="75" customHeight="1" x14ac:dyDescent="0.25">
      <c r="A40" s="14" t="s">
        <v>508</v>
      </c>
      <c r="B40" s="14" t="s">
        <v>509</v>
      </c>
      <c r="C40" s="15" t="s">
        <v>526</v>
      </c>
      <c r="D40" s="16" t="s">
        <v>527</v>
      </c>
      <c r="E40" s="17">
        <v>2</v>
      </c>
      <c r="F40" s="18" t="s">
        <v>45</v>
      </c>
      <c r="G40" s="16" t="s">
        <v>528</v>
      </c>
      <c r="H40" s="16" t="s">
        <v>529</v>
      </c>
    </row>
    <row r="41" spans="1:8" ht="30" customHeight="1" x14ac:dyDescent="0.25">
      <c r="A41" s="19" t="s">
        <v>508</v>
      </c>
      <c r="B41" s="19" t="s">
        <v>509</v>
      </c>
      <c r="C41" s="20" t="s">
        <v>530</v>
      </c>
      <c r="D41" s="21" t="s">
        <v>531</v>
      </c>
      <c r="E41" s="23">
        <v>3</v>
      </c>
      <c r="F41" s="18" t="s">
        <v>57</v>
      </c>
      <c r="G41" s="21"/>
      <c r="H41" s="21"/>
    </row>
    <row r="42" spans="1:8" ht="30" customHeight="1" x14ac:dyDescent="0.25">
      <c r="A42" s="14" t="s">
        <v>508</v>
      </c>
      <c r="B42" s="14" t="s">
        <v>509</v>
      </c>
      <c r="C42" s="15" t="s">
        <v>532</v>
      </c>
      <c r="D42" s="16" t="s">
        <v>533</v>
      </c>
      <c r="E42" s="23">
        <v>3</v>
      </c>
      <c r="F42" s="18" t="s">
        <v>57</v>
      </c>
      <c r="G42" s="16"/>
      <c r="H42" s="16"/>
    </row>
    <row r="43" spans="1:8" ht="30" customHeight="1" x14ac:dyDescent="0.25">
      <c r="A43" s="19" t="s">
        <v>508</v>
      </c>
      <c r="B43" s="19" t="s">
        <v>509</v>
      </c>
      <c r="C43" s="20" t="s">
        <v>534</v>
      </c>
      <c r="D43" s="21" t="s">
        <v>535</v>
      </c>
      <c r="E43" s="23">
        <v>3</v>
      </c>
      <c r="F43" s="18" t="s">
        <v>57</v>
      </c>
      <c r="G43" s="21"/>
      <c r="H43" s="21"/>
    </row>
    <row r="44" spans="1:8" ht="18" customHeight="1" x14ac:dyDescent="0.25">
      <c r="A44" s="13" t="s">
        <v>536</v>
      </c>
      <c r="B44" s="13" t="s">
        <v>537</v>
      </c>
      <c r="C44" s="13"/>
      <c r="D44" s="13"/>
      <c r="E44" s="13"/>
      <c r="F44" s="13"/>
      <c r="G44" s="13"/>
      <c r="H44" s="13"/>
    </row>
    <row r="45" spans="1:8" ht="30" customHeight="1" x14ac:dyDescent="0.25">
      <c r="A45" s="14" t="s">
        <v>536</v>
      </c>
      <c r="B45" s="14" t="s">
        <v>537</v>
      </c>
      <c r="C45" s="15" t="s">
        <v>538</v>
      </c>
      <c r="D45" s="16" t="s">
        <v>539</v>
      </c>
      <c r="E45" s="17">
        <v>2</v>
      </c>
      <c r="F45" s="18" t="s">
        <v>57</v>
      </c>
      <c r="G45" s="16" t="s">
        <v>540</v>
      </c>
      <c r="H45" s="16"/>
    </row>
    <row r="46" spans="1:8" ht="30" customHeight="1" x14ac:dyDescent="0.25">
      <c r="A46" s="19" t="s">
        <v>536</v>
      </c>
      <c r="B46" s="19" t="s">
        <v>537</v>
      </c>
      <c r="C46" s="20" t="s">
        <v>541</v>
      </c>
      <c r="D46" s="21" t="s">
        <v>542</v>
      </c>
      <c r="E46" s="17">
        <v>2</v>
      </c>
      <c r="F46" s="18" t="s">
        <v>45</v>
      </c>
      <c r="G46" s="21" t="s">
        <v>543</v>
      </c>
      <c r="H46" s="21" t="s">
        <v>544</v>
      </c>
    </row>
    <row r="47" spans="1:8" ht="72" customHeight="1" x14ac:dyDescent="0.25">
      <c r="A47" s="14" t="s">
        <v>536</v>
      </c>
      <c r="B47" s="14" t="s">
        <v>537</v>
      </c>
      <c r="C47" s="15" t="s">
        <v>545</v>
      </c>
      <c r="D47" s="16" t="s">
        <v>546</v>
      </c>
      <c r="E47" s="17">
        <v>2</v>
      </c>
      <c r="F47" s="18" t="s">
        <v>45</v>
      </c>
      <c r="G47" s="16" t="s">
        <v>547</v>
      </c>
      <c r="H47" s="16" t="s">
        <v>548</v>
      </c>
    </row>
    <row r="48" spans="1:8" ht="30" customHeight="1" x14ac:dyDescent="0.25">
      <c r="A48" s="19" t="s">
        <v>536</v>
      </c>
      <c r="B48" s="19" t="s">
        <v>537</v>
      </c>
      <c r="C48" s="20" t="s">
        <v>549</v>
      </c>
      <c r="D48" s="21" t="s">
        <v>550</v>
      </c>
      <c r="E48" s="23">
        <v>3</v>
      </c>
      <c r="F48" s="18" t="s">
        <v>57</v>
      </c>
      <c r="G48" s="21"/>
      <c r="H48" s="21"/>
    </row>
    <row r="49" spans="1:8" ht="18" customHeight="1" x14ac:dyDescent="0.25">
      <c r="A49" s="13" t="s">
        <v>551</v>
      </c>
      <c r="B49" s="13" t="s">
        <v>552</v>
      </c>
      <c r="C49" s="13"/>
      <c r="D49" s="13"/>
      <c r="E49" s="13"/>
      <c r="F49" s="13"/>
      <c r="G49" s="13"/>
      <c r="H49" s="13"/>
    </row>
    <row r="50" spans="1:8" ht="30" customHeight="1" x14ac:dyDescent="0.25">
      <c r="A50" s="14" t="s">
        <v>551</v>
      </c>
      <c r="B50" s="14" t="s">
        <v>552</v>
      </c>
      <c r="C50" s="15" t="s">
        <v>553</v>
      </c>
      <c r="D50" s="16" t="s">
        <v>554</v>
      </c>
      <c r="E50" s="23">
        <v>3</v>
      </c>
      <c r="F50" s="18" t="s">
        <v>57</v>
      </c>
      <c r="G50" s="16"/>
      <c r="H50" s="16"/>
    </row>
    <row r="51" spans="1:8" ht="30" customHeight="1" x14ac:dyDescent="0.25">
      <c r="A51" s="19" t="s">
        <v>551</v>
      </c>
      <c r="B51" s="19" t="s">
        <v>552</v>
      </c>
      <c r="C51" s="20" t="s">
        <v>555</v>
      </c>
      <c r="D51" s="21" t="s">
        <v>556</v>
      </c>
      <c r="E51" s="23">
        <v>3</v>
      </c>
      <c r="F51" s="18" t="s">
        <v>57</v>
      </c>
      <c r="G51" s="21"/>
      <c r="H51" s="21"/>
    </row>
    <row r="52" spans="1:8" ht="18" customHeight="1" x14ac:dyDescent="0.25">
      <c r="A52" s="13" t="s">
        <v>557</v>
      </c>
      <c r="B52" s="13" t="s">
        <v>558</v>
      </c>
      <c r="C52" s="13"/>
      <c r="D52" s="13"/>
      <c r="E52" s="13"/>
      <c r="F52" s="13"/>
      <c r="G52" s="13"/>
      <c r="H52" s="13"/>
    </row>
    <row r="53" spans="1:8" ht="90" customHeight="1" x14ac:dyDescent="0.25">
      <c r="A53" s="14" t="s">
        <v>557</v>
      </c>
      <c r="B53" s="14" t="s">
        <v>558</v>
      </c>
      <c r="C53" s="15" t="s">
        <v>559</v>
      </c>
      <c r="D53" s="16" t="s">
        <v>560</v>
      </c>
      <c r="E53" s="17">
        <v>2</v>
      </c>
      <c r="F53" s="18" t="s">
        <v>57</v>
      </c>
      <c r="G53" s="16" t="s">
        <v>561</v>
      </c>
      <c r="H53" s="16"/>
    </row>
    <row r="54" spans="1:8" ht="90" customHeight="1" x14ac:dyDescent="0.25">
      <c r="A54" s="19" t="s">
        <v>557</v>
      </c>
      <c r="B54" s="19" t="s">
        <v>558</v>
      </c>
      <c r="C54" s="20" t="s">
        <v>562</v>
      </c>
      <c r="D54" s="21" t="s">
        <v>563</v>
      </c>
      <c r="E54" s="17">
        <v>2</v>
      </c>
      <c r="F54" s="18" t="s">
        <v>45</v>
      </c>
      <c r="G54" s="21" t="s">
        <v>564</v>
      </c>
      <c r="H54" s="21" t="s">
        <v>565</v>
      </c>
    </row>
    <row r="55" spans="1:8" ht="75" customHeight="1" x14ac:dyDescent="0.25">
      <c r="A55" s="14" t="s">
        <v>557</v>
      </c>
      <c r="B55" s="14" t="s">
        <v>558</v>
      </c>
      <c r="C55" s="15" t="s">
        <v>566</v>
      </c>
      <c r="D55" s="16" t="s">
        <v>567</v>
      </c>
      <c r="E55" s="17">
        <v>2</v>
      </c>
      <c r="F55" s="18" t="s">
        <v>45</v>
      </c>
      <c r="G55" s="16" t="s">
        <v>568</v>
      </c>
      <c r="H55" s="16" t="s">
        <v>569</v>
      </c>
    </row>
    <row r="56" spans="1:8" ht="150" customHeight="1" x14ac:dyDescent="0.25">
      <c r="A56" s="19" t="s">
        <v>557</v>
      </c>
      <c r="B56" s="19" t="s">
        <v>558</v>
      </c>
      <c r="C56" s="20" t="s">
        <v>570</v>
      </c>
      <c r="D56" s="21" t="s">
        <v>571</v>
      </c>
      <c r="E56" s="17">
        <v>2</v>
      </c>
      <c r="F56" s="18" t="s">
        <v>57</v>
      </c>
      <c r="G56" s="21" t="s">
        <v>572</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3" activePane="bottomLeft" state="frozen"/>
      <selection pane="bottomLeft" activeCell="H26" sqref="H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573</v>
      </c>
      <c r="B2" s="13" t="s">
        <v>574</v>
      </c>
      <c r="C2" s="13"/>
      <c r="D2" s="13"/>
      <c r="E2" s="13"/>
      <c r="F2" s="13"/>
      <c r="G2" s="13"/>
      <c r="H2" s="13"/>
    </row>
    <row r="3" spans="1:8" ht="30" customHeight="1" x14ac:dyDescent="0.25">
      <c r="A3" s="14" t="s">
        <v>573</v>
      </c>
      <c r="B3" s="14" t="s">
        <v>574</v>
      </c>
      <c r="C3" s="15" t="s">
        <v>575</v>
      </c>
      <c r="D3" s="16" t="s">
        <v>576</v>
      </c>
      <c r="E3" s="17">
        <v>2</v>
      </c>
      <c r="F3" s="18" t="s">
        <v>45</v>
      </c>
      <c r="G3" s="16" t="s">
        <v>1320</v>
      </c>
      <c r="H3" s="16" t="s">
        <v>1321</v>
      </c>
    </row>
    <row r="4" spans="1:8" ht="30" customHeight="1" x14ac:dyDescent="0.25">
      <c r="A4" s="19" t="s">
        <v>573</v>
      </c>
      <c r="B4" s="19" t="s">
        <v>574</v>
      </c>
      <c r="C4" s="20" t="s">
        <v>577</v>
      </c>
      <c r="D4" s="21" t="s">
        <v>578</v>
      </c>
      <c r="E4" s="17">
        <v>2</v>
      </c>
      <c r="F4" s="18" t="s">
        <v>45</v>
      </c>
      <c r="G4" s="21" t="s">
        <v>1322</v>
      </c>
      <c r="H4" s="21" t="s">
        <v>1321</v>
      </c>
    </row>
    <row r="5" spans="1:8" ht="30" customHeight="1" x14ac:dyDescent="0.25">
      <c r="A5" s="14" t="s">
        <v>573</v>
      </c>
      <c r="B5" s="14" t="s">
        <v>574</v>
      </c>
      <c r="C5" s="15" t="s">
        <v>579</v>
      </c>
      <c r="D5" s="16" t="s">
        <v>580</v>
      </c>
      <c r="E5" s="17">
        <v>2</v>
      </c>
      <c r="F5" s="18" t="s">
        <v>45</v>
      </c>
      <c r="G5" s="16" t="s">
        <v>1323</v>
      </c>
      <c r="H5" s="16" t="s">
        <v>1324</v>
      </c>
    </row>
    <row r="6" spans="1:8" ht="18" customHeight="1" x14ac:dyDescent="0.25">
      <c r="A6" s="13" t="s">
        <v>581</v>
      </c>
      <c r="B6" s="13" t="s">
        <v>582</v>
      </c>
      <c r="C6" s="13"/>
      <c r="D6" s="13"/>
      <c r="E6" s="13"/>
      <c r="F6" s="13"/>
      <c r="G6" s="13"/>
      <c r="H6" s="13"/>
    </row>
    <row r="7" spans="1:8" ht="90" customHeight="1" x14ac:dyDescent="0.25">
      <c r="A7" s="14" t="s">
        <v>581</v>
      </c>
      <c r="B7" s="14" t="s">
        <v>582</v>
      </c>
      <c r="C7" s="15" t="s">
        <v>583</v>
      </c>
      <c r="D7" s="16" t="s">
        <v>584</v>
      </c>
      <c r="E7" s="22">
        <v>1</v>
      </c>
      <c r="F7" s="18" t="s">
        <v>45</v>
      </c>
      <c r="G7" s="16" t="s">
        <v>1325</v>
      </c>
      <c r="H7" s="16" t="s">
        <v>1326</v>
      </c>
    </row>
    <row r="8" spans="1:8" ht="120" customHeight="1" x14ac:dyDescent="0.25">
      <c r="A8" s="19" t="s">
        <v>581</v>
      </c>
      <c r="B8" s="19" t="s">
        <v>582</v>
      </c>
      <c r="C8" s="20" t="s">
        <v>585</v>
      </c>
      <c r="D8" s="21" t="s">
        <v>586</v>
      </c>
      <c r="E8" s="22">
        <v>1</v>
      </c>
      <c r="F8" s="18" t="s">
        <v>45</v>
      </c>
      <c r="G8" s="21" t="s">
        <v>1327</v>
      </c>
      <c r="H8" s="21" t="s">
        <v>1328</v>
      </c>
    </row>
    <row r="9" spans="1:8" ht="30" customHeight="1" x14ac:dyDescent="0.25">
      <c r="A9" s="14" t="s">
        <v>581</v>
      </c>
      <c r="B9" s="14" t="s">
        <v>582</v>
      </c>
      <c r="C9" s="15" t="s">
        <v>587</v>
      </c>
      <c r="D9" s="16" t="s">
        <v>588</v>
      </c>
      <c r="E9" s="22">
        <v>1</v>
      </c>
      <c r="F9" s="18" t="s">
        <v>57</v>
      </c>
      <c r="G9" s="16"/>
      <c r="H9" s="16"/>
    </row>
    <row r="10" spans="1:8" ht="105" customHeight="1" x14ac:dyDescent="0.25">
      <c r="A10" s="19" t="s">
        <v>581</v>
      </c>
      <c r="B10" s="19" t="s">
        <v>582</v>
      </c>
      <c r="C10" s="20" t="s">
        <v>589</v>
      </c>
      <c r="D10" s="21" t="s">
        <v>590</v>
      </c>
      <c r="E10" s="22">
        <v>1</v>
      </c>
      <c r="F10" s="18" t="s">
        <v>45</v>
      </c>
      <c r="G10" s="21" t="s">
        <v>591</v>
      </c>
      <c r="H10" s="21" t="s">
        <v>1329</v>
      </c>
    </row>
    <row r="11" spans="1:8" ht="18" customHeight="1" x14ac:dyDescent="0.25">
      <c r="A11" s="13" t="s">
        <v>592</v>
      </c>
      <c r="B11" s="13" t="s">
        <v>593</v>
      </c>
      <c r="C11" s="13"/>
      <c r="D11" s="13"/>
      <c r="E11" s="13"/>
      <c r="F11" s="13"/>
      <c r="G11" s="13"/>
      <c r="H11" s="13"/>
    </row>
    <row r="12" spans="1:8" ht="30" customHeight="1" x14ac:dyDescent="0.25">
      <c r="A12" s="14" t="s">
        <v>592</v>
      </c>
      <c r="B12" s="14" t="s">
        <v>593</v>
      </c>
      <c r="C12" s="15" t="s">
        <v>594</v>
      </c>
      <c r="D12" s="16" t="s">
        <v>595</v>
      </c>
      <c r="E12" s="17">
        <v>2</v>
      </c>
      <c r="F12" s="18" t="s">
        <v>45</v>
      </c>
      <c r="G12" s="16" t="s">
        <v>1330</v>
      </c>
      <c r="H12" s="16" t="s">
        <v>1329</v>
      </c>
    </row>
    <row r="13" spans="1:8" ht="30" customHeight="1" x14ac:dyDescent="0.25">
      <c r="A13" s="19" t="s">
        <v>592</v>
      </c>
      <c r="B13" s="19" t="s">
        <v>593</v>
      </c>
      <c r="C13" s="20" t="s">
        <v>596</v>
      </c>
      <c r="D13" s="21" t="s">
        <v>597</v>
      </c>
      <c r="E13" s="17">
        <v>2</v>
      </c>
      <c r="F13" s="18" t="s">
        <v>45</v>
      </c>
      <c r="G13" s="21" t="s">
        <v>1331</v>
      </c>
      <c r="H13" s="21" t="s">
        <v>1329</v>
      </c>
    </row>
    <row r="14" spans="1:8" ht="18" customHeight="1" x14ac:dyDescent="0.25">
      <c r="A14" s="13" t="s">
        <v>598</v>
      </c>
      <c r="B14" s="13" t="s">
        <v>599</v>
      </c>
      <c r="C14" s="13"/>
      <c r="D14" s="13"/>
      <c r="E14" s="13"/>
      <c r="F14" s="13"/>
      <c r="G14" s="13"/>
      <c r="H14" s="13"/>
    </row>
    <row r="15" spans="1:8" ht="120" customHeight="1" x14ac:dyDescent="0.25">
      <c r="A15" s="14" t="s">
        <v>598</v>
      </c>
      <c r="B15" s="14" t="s">
        <v>599</v>
      </c>
      <c r="C15" s="15" t="s">
        <v>600</v>
      </c>
      <c r="D15" s="16" t="s">
        <v>601</v>
      </c>
      <c r="E15" s="22">
        <v>1</v>
      </c>
      <c r="F15" s="18" t="s">
        <v>45</v>
      </c>
      <c r="G15" s="16" t="s">
        <v>1332</v>
      </c>
      <c r="H15" s="16" t="s">
        <v>1333</v>
      </c>
    </row>
    <row r="16" spans="1:8" ht="30" customHeight="1" x14ac:dyDescent="0.25">
      <c r="A16" s="19" t="s">
        <v>598</v>
      </c>
      <c r="B16" s="19" t="s">
        <v>599</v>
      </c>
      <c r="C16" s="20" t="s">
        <v>602</v>
      </c>
      <c r="D16" s="21" t="s">
        <v>603</v>
      </c>
      <c r="E16" s="22">
        <v>1</v>
      </c>
      <c r="F16" s="18" t="s">
        <v>107</v>
      </c>
      <c r="G16" s="21"/>
      <c r="H16" s="21"/>
    </row>
    <row r="17" spans="1:8" ht="30" customHeight="1" x14ac:dyDescent="0.25">
      <c r="A17" s="14" t="s">
        <v>598</v>
      </c>
      <c r="B17" s="14" t="s">
        <v>599</v>
      </c>
      <c r="C17" s="15" t="s">
        <v>604</v>
      </c>
      <c r="D17" s="16" t="s">
        <v>605</v>
      </c>
      <c r="E17" s="17">
        <v>2</v>
      </c>
      <c r="F17" s="18" t="s">
        <v>57</v>
      </c>
      <c r="G17" s="16" t="s">
        <v>1334</v>
      </c>
      <c r="H17" s="16"/>
    </row>
    <row r="18" spans="1:8" ht="30" customHeight="1" x14ac:dyDescent="0.25">
      <c r="A18" s="19" t="s">
        <v>598</v>
      </c>
      <c r="B18" s="19" t="s">
        <v>599</v>
      </c>
      <c r="C18" s="20" t="s">
        <v>606</v>
      </c>
      <c r="D18" s="21" t="s">
        <v>607</v>
      </c>
      <c r="E18" s="17">
        <v>2</v>
      </c>
      <c r="F18" s="18" t="s">
        <v>57</v>
      </c>
      <c r="G18" s="21"/>
      <c r="H18" s="21"/>
    </row>
    <row r="19" spans="1:8" ht="30" customHeight="1" x14ac:dyDescent="0.25">
      <c r="A19" s="14" t="s">
        <v>598</v>
      </c>
      <c r="B19" s="14" t="s">
        <v>599</v>
      </c>
      <c r="C19" s="15" t="s">
        <v>608</v>
      </c>
      <c r="D19" s="16" t="s">
        <v>609</v>
      </c>
      <c r="E19" s="17">
        <v>2</v>
      </c>
      <c r="F19" s="18" t="s">
        <v>107</v>
      </c>
      <c r="G19" s="16"/>
      <c r="H19" s="16"/>
    </row>
    <row r="20" spans="1:8" ht="18" customHeight="1" x14ac:dyDescent="0.25">
      <c r="A20" s="13" t="s">
        <v>610</v>
      </c>
      <c r="B20" s="13" t="s">
        <v>611</v>
      </c>
      <c r="C20" s="13"/>
      <c r="D20" s="13"/>
      <c r="E20" s="13"/>
      <c r="F20" s="13"/>
      <c r="G20" s="13"/>
      <c r="H20" s="13"/>
    </row>
    <row r="21" spans="1:8" ht="30" customHeight="1" x14ac:dyDescent="0.25">
      <c r="A21" s="14" t="s">
        <v>610</v>
      </c>
      <c r="B21" s="14" t="s">
        <v>611</v>
      </c>
      <c r="C21" s="15" t="s">
        <v>612</v>
      </c>
      <c r="D21" s="16" t="s">
        <v>613</v>
      </c>
      <c r="E21" s="17">
        <v>2</v>
      </c>
      <c r="F21" s="18" t="s">
        <v>45</v>
      </c>
      <c r="G21" s="16" t="s">
        <v>1335</v>
      </c>
      <c r="H21" s="16" t="s">
        <v>1326</v>
      </c>
    </row>
    <row r="22" spans="1:8" ht="30" customHeight="1" x14ac:dyDescent="0.25">
      <c r="A22" s="19" t="s">
        <v>610</v>
      </c>
      <c r="B22" s="19" t="s">
        <v>611</v>
      </c>
      <c r="C22" s="20" t="s">
        <v>614</v>
      </c>
      <c r="D22" s="21" t="s">
        <v>615</v>
      </c>
      <c r="E22" s="17">
        <v>2</v>
      </c>
      <c r="F22" s="18" t="s">
        <v>45</v>
      </c>
      <c r="G22" s="21" t="s">
        <v>1336</v>
      </c>
      <c r="H22" s="21" t="s">
        <v>1337</v>
      </c>
    </row>
    <row r="23" spans="1:8" ht="30" customHeight="1" x14ac:dyDescent="0.25">
      <c r="A23" s="14" t="s">
        <v>610</v>
      </c>
      <c r="B23" s="14" t="s">
        <v>611</v>
      </c>
      <c r="C23" s="15" t="s">
        <v>616</v>
      </c>
      <c r="D23" s="16" t="s">
        <v>617</v>
      </c>
      <c r="E23" s="23">
        <v>3</v>
      </c>
      <c r="F23" s="18" t="s">
        <v>57</v>
      </c>
      <c r="G23" s="16"/>
      <c r="H23" s="16"/>
    </row>
    <row r="24" spans="1:8" ht="18" customHeight="1" x14ac:dyDescent="0.25">
      <c r="A24" s="13" t="s">
        <v>618</v>
      </c>
      <c r="B24" s="13" t="s">
        <v>619</v>
      </c>
      <c r="C24" s="13"/>
      <c r="D24" s="13"/>
      <c r="E24" s="13"/>
      <c r="F24" s="13"/>
      <c r="G24" s="13"/>
      <c r="H24" s="13"/>
    </row>
    <row r="25" spans="1:8" ht="30" customHeight="1" x14ac:dyDescent="0.25">
      <c r="A25" s="14" t="s">
        <v>618</v>
      </c>
      <c r="B25" s="14" t="s">
        <v>619</v>
      </c>
      <c r="C25" s="15" t="s">
        <v>620</v>
      </c>
      <c r="D25" s="16" t="s">
        <v>621</v>
      </c>
      <c r="E25" s="17">
        <v>2</v>
      </c>
      <c r="F25" s="18" t="s">
        <v>45</v>
      </c>
      <c r="G25" s="16" t="s">
        <v>1338</v>
      </c>
      <c r="H25" s="16" t="s">
        <v>1329</v>
      </c>
    </row>
    <row r="26" spans="1:8" ht="105" customHeight="1" x14ac:dyDescent="0.25">
      <c r="A26" s="19" t="s">
        <v>618</v>
      </c>
      <c r="B26" s="19" t="s">
        <v>619</v>
      </c>
      <c r="C26" s="20" t="s">
        <v>622</v>
      </c>
      <c r="D26" s="21" t="s">
        <v>623</v>
      </c>
      <c r="E26" s="17">
        <v>2</v>
      </c>
      <c r="F26" s="18" t="s">
        <v>45</v>
      </c>
      <c r="G26" s="21" t="s">
        <v>1339</v>
      </c>
      <c r="H26" s="21" t="s">
        <v>1333</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624</v>
      </c>
      <c r="B2" s="13" t="s">
        <v>625</v>
      </c>
      <c r="C2" s="13"/>
      <c r="D2" s="13"/>
      <c r="E2" s="13"/>
      <c r="F2" s="13"/>
      <c r="G2" s="13"/>
      <c r="H2" s="13"/>
    </row>
    <row r="3" spans="1:8" ht="30" customHeight="1" x14ac:dyDescent="0.25">
      <c r="A3" s="14" t="s">
        <v>624</v>
      </c>
      <c r="B3" s="14" t="s">
        <v>625</v>
      </c>
      <c r="C3" s="15" t="s">
        <v>626</v>
      </c>
      <c r="D3" s="16" t="s">
        <v>627</v>
      </c>
      <c r="E3" s="22">
        <v>1</v>
      </c>
      <c r="F3" s="18" t="s">
        <v>50</v>
      </c>
      <c r="G3" s="16" t="s">
        <v>628</v>
      </c>
      <c r="H3" s="16" t="s">
        <v>629</v>
      </c>
    </row>
    <row r="4" spans="1:8" ht="30" customHeight="1" x14ac:dyDescent="0.25">
      <c r="A4" s="19" t="s">
        <v>624</v>
      </c>
      <c r="B4" s="19" t="s">
        <v>625</v>
      </c>
      <c r="C4" s="20" t="s">
        <v>630</v>
      </c>
      <c r="D4" s="21" t="s">
        <v>631</v>
      </c>
      <c r="E4" s="17">
        <v>2</v>
      </c>
      <c r="F4" s="18" t="s">
        <v>50</v>
      </c>
      <c r="G4" s="21" t="s">
        <v>632</v>
      </c>
      <c r="H4" s="21" t="s">
        <v>633</v>
      </c>
    </row>
    <row r="5" spans="1:8" ht="30" customHeight="1" x14ac:dyDescent="0.25">
      <c r="A5" s="14" t="s">
        <v>624</v>
      </c>
      <c r="B5" s="14" t="s">
        <v>625</v>
      </c>
      <c r="C5" s="15" t="s">
        <v>634</v>
      </c>
      <c r="D5" s="16" t="s">
        <v>635</v>
      </c>
      <c r="E5" s="23">
        <v>3</v>
      </c>
      <c r="F5" s="18" t="s">
        <v>57</v>
      </c>
      <c r="G5" s="16" t="s">
        <v>636</v>
      </c>
      <c r="H5" s="16"/>
    </row>
    <row r="6" spans="1:8" ht="90" customHeight="1" x14ac:dyDescent="0.25">
      <c r="A6" s="19" t="s">
        <v>624</v>
      </c>
      <c r="B6" s="19" t="s">
        <v>625</v>
      </c>
      <c r="C6" s="20" t="s">
        <v>637</v>
      </c>
      <c r="D6" s="21" t="s">
        <v>638</v>
      </c>
      <c r="E6" s="23">
        <v>3</v>
      </c>
      <c r="F6" s="18" t="s">
        <v>57</v>
      </c>
      <c r="G6" s="21" t="s">
        <v>639</v>
      </c>
      <c r="H6" s="21"/>
    </row>
    <row r="7" spans="1:8" ht="18" customHeight="1" x14ac:dyDescent="0.25">
      <c r="A7" s="13" t="s">
        <v>640</v>
      </c>
      <c r="B7" s="13" t="s">
        <v>641</v>
      </c>
      <c r="C7" s="13"/>
      <c r="D7" s="13"/>
      <c r="E7" s="13"/>
      <c r="F7" s="13"/>
      <c r="G7" s="13"/>
      <c r="H7" s="13"/>
    </row>
    <row r="8" spans="1:8" ht="30" customHeight="1" x14ac:dyDescent="0.25">
      <c r="A8" s="14" t="s">
        <v>640</v>
      </c>
      <c r="B8" s="14" t="s">
        <v>641</v>
      </c>
      <c r="C8" s="15" t="s">
        <v>642</v>
      </c>
      <c r="D8" s="16" t="s">
        <v>643</v>
      </c>
      <c r="E8" s="22">
        <v>1</v>
      </c>
      <c r="F8" s="18" t="s">
        <v>45</v>
      </c>
      <c r="G8" s="16" t="s">
        <v>644</v>
      </c>
      <c r="H8" s="16" t="s">
        <v>645</v>
      </c>
    </row>
    <row r="9" spans="1:8" ht="30" customHeight="1" x14ac:dyDescent="0.25">
      <c r="A9" s="19" t="s">
        <v>640</v>
      </c>
      <c r="B9" s="19" t="s">
        <v>641</v>
      </c>
      <c r="C9" s="20" t="s">
        <v>646</v>
      </c>
      <c r="D9" s="21" t="s">
        <v>647</v>
      </c>
      <c r="E9" s="22">
        <v>1</v>
      </c>
      <c r="F9" s="18" t="s">
        <v>45</v>
      </c>
      <c r="G9" s="21" t="s">
        <v>648</v>
      </c>
      <c r="H9" s="21" t="s">
        <v>649</v>
      </c>
    </row>
    <row r="10" spans="1:8" ht="30" customHeight="1" x14ac:dyDescent="0.25">
      <c r="A10" s="14" t="s">
        <v>640</v>
      </c>
      <c r="B10" s="14" t="s">
        <v>641</v>
      </c>
      <c r="C10" s="15" t="s">
        <v>650</v>
      </c>
      <c r="D10" s="16" t="s">
        <v>651</v>
      </c>
      <c r="E10" s="17">
        <v>2</v>
      </c>
      <c r="F10" s="18" t="s">
        <v>45</v>
      </c>
      <c r="G10" s="16" t="s">
        <v>652</v>
      </c>
      <c r="H10" s="16" t="s">
        <v>653</v>
      </c>
    </row>
    <row r="11" spans="1:8" ht="105" customHeight="1" x14ac:dyDescent="0.25">
      <c r="A11" s="19" t="s">
        <v>640</v>
      </c>
      <c r="B11" s="19" t="s">
        <v>641</v>
      </c>
      <c r="C11" s="20" t="s">
        <v>654</v>
      </c>
      <c r="D11" s="21" t="s">
        <v>655</v>
      </c>
      <c r="E11" s="23">
        <v>3</v>
      </c>
      <c r="F11" s="18" t="s">
        <v>57</v>
      </c>
      <c r="G11" s="21" t="s">
        <v>656</v>
      </c>
      <c r="H11" s="21"/>
    </row>
    <row r="12" spans="1:8" ht="18" customHeight="1" x14ac:dyDescent="0.25">
      <c r="A12" s="13" t="s">
        <v>657</v>
      </c>
      <c r="B12" s="13" t="s">
        <v>658</v>
      </c>
      <c r="C12" s="13"/>
      <c r="D12" s="13"/>
      <c r="E12" s="13"/>
      <c r="F12" s="13"/>
      <c r="G12" s="13"/>
      <c r="H12" s="13"/>
    </row>
    <row r="13" spans="1:8" ht="60" customHeight="1" x14ac:dyDescent="0.25">
      <c r="A13" s="14" t="s">
        <v>657</v>
      </c>
      <c r="B13" s="14" t="s">
        <v>658</v>
      </c>
      <c r="C13" s="15" t="s">
        <v>659</v>
      </c>
      <c r="D13" s="16" t="s">
        <v>660</v>
      </c>
      <c r="E13" s="22">
        <v>1</v>
      </c>
      <c r="F13" s="18" t="s">
        <v>45</v>
      </c>
      <c r="G13" s="16" t="s">
        <v>661</v>
      </c>
      <c r="H13" s="16"/>
    </row>
    <row r="14" spans="1:8" ht="30" customHeight="1" x14ac:dyDescent="0.25">
      <c r="A14" s="19" t="s">
        <v>657</v>
      </c>
      <c r="B14" s="19" t="s">
        <v>658</v>
      </c>
      <c r="C14" s="20" t="s">
        <v>662</v>
      </c>
      <c r="D14" s="21" t="s">
        <v>663</v>
      </c>
      <c r="E14" s="23">
        <v>3</v>
      </c>
      <c r="F14" s="18" t="s">
        <v>57</v>
      </c>
      <c r="G14" s="21"/>
      <c r="H14" s="21"/>
    </row>
    <row r="15" spans="1:8" ht="30" customHeight="1" x14ac:dyDescent="0.25">
      <c r="A15" s="14" t="s">
        <v>657</v>
      </c>
      <c r="B15" s="14" t="s">
        <v>658</v>
      </c>
      <c r="C15" s="15" t="s">
        <v>664</v>
      </c>
      <c r="D15" s="16" t="s">
        <v>665</v>
      </c>
      <c r="E15" s="23">
        <v>3</v>
      </c>
      <c r="F15" s="18" t="s">
        <v>57</v>
      </c>
      <c r="G15" s="16" t="s">
        <v>666</v>
      </c>
      <c r="H15" s="16"/>
    </row>
    <row r="16" spans="1:8" ht="18" customHeight="1" x14ac:dyDescent="0.25">
      <c r="A16" s="13" t="s">
        <v>667</v>
      </c>
      <c r="B16" s="13" t="s">
        <v>668</v>
      </c>
      <c r="C16" s="13"/>
      <c r="D16" s="13"/>
      <c r="E16" s="13"/>
      <c r="F16" s="13"/>
      <c r="G16" s="13"/>
      <c r="H16" s="13"/>
    </row>
    <row r="17" spans="1:8" ht="30" customHeight="1" x14ac:dyDescent="0.25">
      <c r="A17" s="14" t="s">
        <v>667</v>
      </c>
      <c r="B17" s="14" t="s">
        <v>668</v>
      </c>
      <c r="C17" s="15" t="s">
        <v>669</v>
      </c>
      <c r="D17" s="16" t="s">
        <v>670</v>
      </c>
      <c r="E17" s="17">
        <v>2</v>
      </c>
      <c r="F17" s="18" t="s">
        <v>57</v>
      </c>
      <c r="G17" s="16" t="s">
        <v>671</v>
      </c>
      <c r="H17" s="16"/>
    </row>
    <row r="18" spans="1:8" ht="30" customHeight="1" x14ac:dyDescent="0.25">
      <c r="A18" s="19" t="s">
        <v>667</v>
      </c>
      <c r="B18" s="19" t="s">
        <v>668</v>
      </c>
      <c r="C18" s="20" t="s">
        <v>672</v>
      </c>
      <c r="D18" s="21" t="s">
        <v>673</v>
      </c>
      <c r="E18" s="23">
        <v>3</v>
      </c>
      <c r="F18" s="18" t="s">
        <v>57</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674</v>
      </c>
      <c r="B2" s="13" t="s">
        <v>675</v>
      </c>
      <c r="C2" s="13"/>
      <c r="D2" s="13"/>
      <c r="E2" s="13"/>
      <c r="F2" s="13"/>
      <c r="G2" s="13"/>
      <c r="H2" s="13"/>
    </row>
    <row r="3" spans="1:8" ht="90" customHeight="1" x14ac:dyDescent="0.25">
      <c r="A3" s="14" t="s">
        <v>674</v>
      </c>
      <c r="B3" s="14" t="s">
        <v>675</v>
      </c>
      <c r="C3" s="15" t="s">
        <v>676</v>
      </c>
      <c r="D3" s="16" t="s">
        <v>677</v>
      </c>
      <c r="E3" s="22">
        <v>1</v>
      </c>
      <c r="F3" s="18" t="s">
        <v>45</v>
      </c>
      <c r="G3" s="16" t="s">
        <v>678</v>
      </c>
      <c r="H3" s="16" t="s">
        <v>679</v>
      </c>
    </row>
    <row r="4" spans="1:8" ht="105" customHeight="1" x14ac:dyDescent="0.25">
      <c r="A4" s="19" t="s">
        <v>674</v>
      </c>
      <c r="B4" s="19" t="s">
        <v>675</v>
      </c>
      <c r="C4" s="20" t="s">
        <v>680</v>
      </c>
      <c r="D4" s="21" t="s">
        <v>681</v>
      </c>
      <c r="E4" s="22">
        <v>1</v>
      </c>
      <c r="F4" s="18" t="s">
        <v>45</v>
      </c>
      <c r="G4" s="21" t="s">
        <v>682</v>
      </c>
      <c r="H4" s="21" t="s">
        <v>683</v>
      </c>
    </row>
    <row r="5" spans="1:8" ht="105" customHeight="1" x14ac:dyDescent="0.25">
      <c r="A5" s="14" t="s">
        <v>674</v>
      </c>
      <c r="B5" s="14" t="s">
        <v>675</v>
      </c>
      <c r="C5" s="15" t="s">
        <v>684</v>
      </c>
      <c r="D5" s="16" t="s">
        <v>685</v>
      </c>
      <c r="E5" s="22">
        <v>1</v>
      </c>
      <c r="F5" s="18" t="s">
        <v>45</v>
      </c>
      <c r="G5" s="16" t="s">
        <v>686</v>
      </c>
      <c r="H5" s="16" t="s">
        <v>687</v>
      </c>
    </row>
    <row r="6" spans="1:8" ht="18" customHeight="1" x14ac:dyDescent="0.25">
      <c r="A6" s="13" t="s">
        <v>688</v>
      </c>
      <c r="B6" s="13" t="s">
        <v>689</v>
      </c>
      <c r="C6" s="13"/>
      <c r="D6" s="13"/>
      <c r="E6" s="13"/>
      <c r="F6" s="13"/>
      <c r="G6" s="13"/>
      <c r="H6" s="13"/>
    </row>
    <row r="7" spans="1:8" ht="75" customHeight="1" x14ac:dyDescent="0.25">
      <c r="A7" s="14" t="s">
        <v>688</v>
      </c>
      <c r="B7" s="14" t="s">
        <v>689</v>
      </c>
      <c r="C7" s="15" t="s">
        <v>690</v>
      </c>
      <c r="D7" s="16" t="s">
        <v>691</v>
      </c>
      <c r="E7" s="22">
        <v>1</v>
      </c>
      <c r="F7" s="18" t="s">
        <v>45</v>
      </c>
      <c r="G7" s="16" t="s">
        <v>692</v>
      </c>
      <c r="H7" s="16" t="s">
        <v>693</v>
      </c>
    </row>
    <row r="8" spans="1:8" ht="75" customHeight="1" x14ac:dyDescent="0.25">
      <c r="A8" s="19" t="s">
        <v>688</v>
      </c>
      <c r="B8" s="19" t="s">
        <v>689</v>
      </c>
      <c r="C8" s="20" t="s">
        <v>694</v>
      </c>
      <c r="D8" s="21" t="s">
        <v>695</v>
      </c>
      <c r="E8" s="17">
        <v>2</v>
      </c>
      <c r="F8" s="18" t="s">
        <v>45</v>
      </c>
      <c r="G8" s="21" t="s">
        <v>696</v>
      </c>
      <c r="H8" s="21" t="s">
        <v>697</v>
      </c>
    </row>
    <row r="9" spans="1:8" ht="75" customHeight="1" x14ac:dyDescent="0.25">
      <c r="A9" s="14" t="s">
        <v>688</v>
      </c>
      <c r="B9" s="14" t="s">
        <v>689</v>
      </c>
      <c r="C9" s="15" t="s">
        <v>698</v>
      </c>
      <c r="D9" s="16" t="s">
        <v>699</v>
      </c>
      <c r="E9" s="17">
        <v>2</v>
      </c>
      <c r="F9" s="18" t="s">
        <v>45</v>
      </c>
      <c r="G9" s="16" t="s">
        <v>700</v>
      </c>
      <c r="H9" s="16" t="s">
        <v>701</v>
      </c>
    </row>
    <row r="10" spans="1:8" ht="120" customHeight="1" x14ac:dyDescent="0.25">
      <c r="A10" s="19" t="s">
        <v>688</v>
      </c>
      <c r="B10" s="19" t="s">
        <v>689</v>
      </c>
      <c r="C10" s="20" t="s">
        <v>702</v>
      </c>
      <c r="D10" s="21" t="s">
        <v>703</v>
      </c>
      <c r="E10" s="17">
        <v>2</v>
      </c>
      <c r="F10" s="18" t="s">
        <v>45</v>
      </c>
      <c r="G10" s="21" t="s">
        <v>704</v>
      </c>
      <c r="H10" s="21" t="s">
        <v>705</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1"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706</v>
      </c>
      <c r="B2" s="13" t="s">
        <v>707</v>
      </c>
      <c r="C2" s="13"/>
      <c r="D2" s="13"/>
      <c r="E2" s="13"/>
      <c r="F2" s="13"/>
      <c r="G2" s="13"/>
      <c r="H2" s="13"/>
    </row>
    <row r="3" spans="1:8" ht="75" customHeight="1" x14ac:dyDescent="0.25">
      <c r="A3" s="14" t="s">
        <v>706</v>
      </c>
      <c r="B3" s="14" t="s">
        <v>707</v>
      </c>
      <c r="C3" s="15" t="s">
        <v>708</v>
      </c>
      <c r="D3" s="16" t="s">
        <v>709</v>
      </c>
      <c r="E3" s="17">
        <v>2</v>
      </c>
      <c r="F3" s="18" t="s">
        <v>45</v>
      </c>
      <c r="G3" s="16" t="s">
        <v>710</v>
      </c>
      <c r="H3" s="16" t="s">
        <v>711</v>
      </c>
    </row>
    <row r="4" spans="1:8" ht="135" customHeight="1" x14ac:dyDescent="0.25">
      <c r="A4" s="19" t="s">
        <v>706</v>
      </c>
      <c r="B4" s="19" t="s">
        <v>707</v>
      </c>
      <c r="C4" s="20" t="s">
        <v>712</v>
      </c>
      <c r="D4" s="21" t="s">
        <v>713</v>
      </c>
      <c r="E4" s="17">
        <v>2</v>
      </c>
      <c r="F4" s="18" t="s">
        <v>45</v>
      </c>
      <c r="G4" s="21" t="s">
        <v>714</v>
      </c>
      <c r="H4" s="21" t="s">
        <v>715</v>
      </c>
    </row>
    <row r="5" spans="1:8" ht="18" customHeight="1" x14ac:dyDescent="0.25">
      <c r="A5" s="13" t="s">
        <v>716</v>
      </c>
      <c r="B5" s="13" t="s">
        <v>717</v>
      </c>
      <c r="C5" s="13"/>
      <c r="D5" s="13"/>
      <c r="E5" s="13"/>
      <c r="F5" s="13"/>
      <c r="G5" s="13"/>
      <c r="H5" s="13"/>
    </row>
    <row r="6" spans="1:8" ht="105" customHeight="1" x14ac:dyDescent="0.25">
      <c r="A6" s="14" t="s">
        <v>716</v>
      </c>
      <c r="B6" s="14" t="s">
        <v>717</v>
      </c>
      <c r="C6" s="15" t="s">
        <v>718</v>
      </c>
      <c r="D6" s="16" t="s">
        <v>719</v>
      </c>
      <c r="E6" s="17">
        <v>2</v>
      </c>
      <c r="F6" s="18" t="s">
        <v>57</v>
      </c>
      <c r="G6" s="16" t="s">
        <v>720</v>
      </c>
      <c r="H6" s="16"/>
    </row>
    <row r="7" spans="1:8" ht="75" customHeight="1" x14ac:dyDescent="0.25">
      <c r="A7" s="19" t="s">
        <v>716</v>
      </c>
      <c r="B7" s="19" t="s">
        <v>717</v>
      </c>
      <c r="C7" s="20" t="s">
        <v>721</v>
      </c>
      <c r="D7" s="21" t="s">
        <v>722</v>
      </c>
      <c r="E7" s="17">
        <v>2</v>
      </c>
      <c r="F7" s="18" t="s">
        <v>57</v>
      </c>
      <c r="G7" s="21" t="s">
        <v>723</v>
      </c>
      <c r="H7" s="21"/>
    </row>
    <row r="8" spans="1:8" ht="45" customHeight="1" x14ac:dyDescent="0.25">
      <c r="A8" s="14" t="s">
        <v>716</v>
      </c>
      <c r="B8" s="14" t="s">
        <v>717</v>
      </c>
      <c r="C8" s="15" t="s">
        <v>724</v>
      </c>
      <c r="D8" s="16" t="s">
        <v>725</v>
      </c>
      <c r="E8" s="23">
        <v>3</v>
      </c>
      <c r="F8" s="18" t="s">
        <v>57</v>
      </c>
      <c r="G8" s="16"/>
      <c r="H8" s="16"/>
    </row>
    <row r="9" spans="1:8" ht="18" customHeight="1" x14ac:dyDescent="0.25">
      <c r="A9" s="13" t="s">
        <v>726</v>
      </c>
      <c r="B9" s="13" t="s">
        <v>727</v>
      </c>
      <c r="C9" s="13"/>
      <c r="D9" s="13"/>
      <c r="E9" s="13"/>
      <c r="F9" s="13"/>
      <c r="G9" s="13"/>
      <c r="H9" s="13"/>
    </row>
    <row r="10" spans="1:8" ht="90" customHeight="1" x14ac:dyDescent="0.25">
      <c r="A10" s="14" t="s">
        <v>726</v>
      </c>
      <c r="B10" s="14" t="s">
        <v>727</v>
      </c>
      <c r="C10" s="15" t="s">
        <v>728</v>
      </c>
      <c r="D10" s="16" t="s">
        <v>729</v>
      </c>
      <c r="E10" s="17">
        <v>2</v>
      </c>
      <c r="F10" s="18" t="s">
        <v>45</v>
      </c>
      <c r="G10" s="16" t="s">
        <v>730</v>
      </c>
      <c r="H10" s="16" t="s">
        <v>731</v>
      </c>
    </row>
    <row r="11" spans="1:8" ht="106.5" customHeight="1" x14ac:dyDescent="0.25">
      <c r="A11" s="19" t="s">
        <v>726</v>
      </c>
      <c r="B11" s="19" t="s">
        <v>727</v>
      </c>
      <c r="C11" s="20" t="s">
        <v>732</v>
      </c>
      <c r="D11" s="21" t="s">
        <v>733</v>
      </c>
      <c r="E11" s="17">
        <v>2</v>
      </c>
      <c r="F11" s="18" t="s">
        <v>45</v>
      </c>
      <c r="G11" s="21" t="s">
        <v>734</v>
      </c>
      <c r="H11" s="21" t="s">
        <v>735</v>
      </c>
    </row>
    <row r="12" spans="1:8" ht="87" customHeight="1" x14ac:dyDescent="0.25">
      <c r="A12" s="14" t="s">
        <v>726</v>
      </c>
      <c r="B12" s="14" t="s">
        <v>727</v>
      </c>
      <c r="C12" s="15" t="s">
        <v>736</v>
      </c>
      <c r="D12" s="16" t="s">
        <v>737</v>
      </c>
      <c r="E12" s="17">
        <v>2</v>
      </c>
      <c r="F12" s="18" t="s">
        <v>45</v>
      </c>
      <c r="G12" s="16" t="s">
        <v>738</v>
      </c>
      <c r="H12" s="16" t="s">
        <v>739</v>
      </c>
    </row>
    <row r="13" spans="1:8" ht="73.150000000000006" customHeight="1" x14ac:dyDescent="0.25">
      <c r="A13" s="19" t="s">
        <v>726</v>
      </c>
      <c r="B13" s="19" t="s">
        <v>727</v>
      </c>
      <c r="C13" s="20" t="s">
        <v>740</v>
      </c>
      <c r="D13" s="21" t="s">
        <v>741</v>
      </c>
      <c r="E13" s="17">
        <v>2</v>
      </c>
      <c r="F13" s="18" t="s">
        <v>57</v>
      </c>
      <c r="G13" s="21" t="s">
        <v>742</v>
      </c>
      <c r="H13" s="21"/>
    </row>
    <row r="14" spans="1:8" ht="100.5" customHeight="1" x14ac:dyDescent="0.25">
      <c r="A14" s="14" t="s">
        <v>726</v>
      </c>
      <c r="B14" s="14" t="s">
        <v>727</v>
      </c>
      <c r="C14" s="15" t="s">
        <v>743</v>
      </c>
      <c r="D14" s="16" t="s">
        <v>744</v>
      </c>
      <c r="E14" s="23">
        <v>3</v>
      </c>
      <c r="F14" s="18" t="s">
        <v>57</v>
      </c>
      <c r="G14" s="16" t="s">
        <v>745</v>
      </c>
      <c r="H14" s="16"/>
    </row>
    <row r="15" spans="1:8" ht="18" customHeight="1" x14ac:dyDescent="0.25">
      <c r="A15" s="13" t="s">
        <v>746</v>
      </c>
      <c r="B15" s="13" t="s">
        <v>747</v>
      </c>
      <c r="C15" s="13"/>
      <c r="D15" s="13"/>
      <c r="E15" s="13"/>
      <c r="F15" s="13"/>
      <c r="G15" s="13"/>
      <c r="H15" s="13"/>
    </row>
    <row r="16" spans="1:8" ht="60" customHeight="1" x14ac:dyDescent="0.25">
      <c r="A16" s="14" t="s">
        <v>746</v>
      </c>
      <c r="B16" s="14" t="s">
        <v>747</v>
      </c>
      <c r="C16" s="15" t="s">
        <v>748</v>
      </c>
      <c r="D16" s="16" t="s">
        <v>749</v>
      </c>
      <c r="E16" s="22">
        <v>1</v>
      </c>
      <c r="F16" s="18" t="s">
        <v>45</v>
      </c>
      <c r="G16" s="16" t="s">
        <v>750</v>
      </c>
      <c r="H16" s="16" t="s">
        <v>751</v>
      </c>
    </row>
    <row r="17" spans="1:8" ht="90" customHeight="1" x14ac:dyDescent="0.25">
      <c r="A17" s="19" t="s">
        <v>746</v>
      </c>
      <c r="B17" s="19" t="s">
        <v>747</v>
      </c>
      <c r="C17" s="20" t="s">
        <v>752</v>
      </c>
      <c r="D17" s="21" t="s">
        <v>753</v>
      </c>
      <c r="E17" s="22">
        <v>1</v>
      </c>
      <c r="F17" s="18" t="s">
        <v>45</v>
      </c>
      <c r="G17" s="21" t="s">
        <v>754</v>
      </c>
      <c r="H17" s="21" t="s">
        <v>755</v>
      </c>
    </row>
    <row r="18" spans="1:8" ht="45" customHeight="1" x14ac:dyDescent="0.25">
      <c r="A18" s="14" t="s">
        <v>746</v>
      </c>
      <c r="B18" s="14" t="s">
        <v>747</v>
      </c>
      <c r="C18" s="15" t="s">
        <v>756</v>
      </c>
      <c r="D18" s="16" t="s">
        <v>757</v>
      </c>
      <c r="E18" s="22">
        <v>1</v>
      </c>
      <c r="F18" s="18" t="s">
        <v>45</v>
      </c>
      <c r="G18" s="16" t="s">
        <v>758</v>
      </c>
      <c r="H18" s="16" t="s">
        <v>759</v>
      </c>
    </row>
    <row r="19" spans="1:8" ht="105.75" customHeight="1" x14ac:dyDescent="0.25">
      <c r="A19" s="19" t="s">
        <v>746</v>
      </c>
      <c r="B19" s="19" t="s">
        <v>747</v>
      </c>
      <c r="C19" s="20" t="s">
        <v>760</v>
      </c>
      <c r="D19" s="21" t="s">
        <v>761</v>
      </c>
      <c r="E19" s="22">
        <v>1</v>
      </c>
      <c r="F19" s="18" t="s">
        <v>50</v>
      </c>
      <c r="G19" s="21" t="s">
        <v>762</v>
      </c>
      <c r="H19" s="21" t="s">
        <v>763</v>
      </c>
    </row>
    <row r="20" spans="1:8" ht="135" customHeight="1" x14ac:dyDescent="0.25">
      <c r="A20" s="14" t="s">
        <v>746</v>
      </c>
      <c r="B20" s="14" t="s">
        <v>747</v>
      </c>
      <c r="C20" s="15" t="s">
        <v>764</v>
      </c>
      <c r="D20" s="16" t="s">
        <v>765</v>
      </c>
      <c r="E20" s="22">
        <v>1</v>
      </c>
      <c r="F20" s="18" t="s">
        <v>45</v>
      </c>
      <c r="G20" s="16" t="s">
        <v>766</v>
      </c>
      <c r="H20" s="16" t="s">
        <v>767</v>
      </c>
    </row>
    <row r="21" spans="1:8" ht="105" customHeight="1" x14ac:dyDescent="0.25">
      <c r="A21" s="19" t="s">
        <v>746</v>
      </c>
      <c r="B21" s="19" t="s">
        <v>747</v>
      </c>
      <c r="C21" s="20" t="s">
        <v>768</v>
      </c>
      <c r="D21" s="21" t="s">
        <v>769</v>
      </c>
      <c r="E21" s="17">
        <v>2</v>
      </c>
      <c r="F21" s="18" t="s">
        <v>45</v>
      </c>
      <c r="G21" s="21" t="s">
        <v>770</v>
      </c>
      <c r="H21" s="21" t="s">
        <v>771</v>
      </c>
    </row>
    <row r="22" spans="1:8" ht="90" customHeight="1" x14ac:dyDescent="0.25">
      <c r="A22" s="14" t="s">
        <v>746</v>
      </c>
      <c r="B22" s="14" t="s">
        <v>747</v>
      </c>
      <c r="C22" s="15" t="s">
        <v>772</v>
      </c>
      <c r="D22" s="16" t="s">
        <v>773</v>
      </c>
      <c r="E22" s="17">
        <v>2</v>
      </c>
      <c r="F22" s="18" t="s">
        <v>57</v>
      </c>
      <c r="G22" s="16" t="s">
        <v>774</v>
      </c>
      <c r="H22" s="16"/>
    </row>
    <row r="23" spans="1:8" ht="73.900000000000006" customHeight="1" x14ac:dyDescent="0.25">
      <c r="A23" s="19" t="s">
        <v>746</v>
      </c>
      <c r="B23" s="19" t="s">
        <v>747</v>
      </c>
      <c r="C23" s="20" t="s">
        <v>775</v>
      </c>
      <c r="D23" s="21" t="s">
        <v>776</v>
      </c>
      <c r="E23" s="17">
        <v>2</v>
      </c>
      <c r="F23" s="18" t="s">
        <v>45</v>
      </c>
      <c r="G23" s="21" t="s">
        <v>777</v>
      </c>
      <c r="H23" s="21" t="s">
        <v>778</v>
      </c>
    </row>
    <row r="24" spans="1:8" ht="107.25" customHeight="1" x14ac:dyDescent="0.25">
      <c r="A24" s="14" t="s">
        <v>746</v>
      </c>
      <c r="B24" s="14" t="s">
        <v>747</v>
      </c>
      <c r="C24" s="15" t="s">
        <v>779</v>
      </c>
      <c r="D24" s="16" t="s">
        <v>780</v>
      </c>
      <c r="E24" s="17">
        <v>2</v>
      </c>
      <c r="F24" s="18" t="s">
        <v>45</v>
      </c>
      <c r="G24" s="16" t="s">
        <v>781</v>
      </c>
      <c r="H24" s="16" t="s">
        <v>782</v>
      </c>
    </row>
    <row r="25" spans="1:8" ht="90" customHeight="1" x14ac:dyDescent="0.25">
      <c r="A25" s="19" t="s">
        <v>746</v>
      </c>
      <c r="B25" s="19" t="s">
        <v>747</v>
      </c>
      <c r="C25" s="20" t="s">
        <v>783</v>
      </c>
      <c r="D25" s="21" t="s">
        <v>784</v>
      </c>
      <c r="E25" s="17">
        <v>2</v>
      </c>
      <c r="F25" s="18" t="s">
        <v>45</v>
      </c>
      <c r="G25" s="21" t="s">
        <v>785</v>
      </c>
      <c r="H25" s="21" t="s">
        <v>786</v>
      </c>
    </row>
    <row r="26" spans="1:8" ht="100.5" customHeight="1" x14ac:dyDescent="0.25">
      <c r="A26" s="14" t="s">
        <v>746</v>
      </c>
      <c r="B26" s="14" t="s">
        <v>747</v>
      </c>
      <c r="C26" s="15" t="s">
        <v>787</v>
      </c>
      <c r="D26" s="16" t="s">
        <v>788</v>
      </c>
      <c r="E26" s="17">
        <v>2</v>
      </c>
      <c r="F26" s="18" t="s">
        <v>45</v>
      </c>
      <c r="G26" s="16" t="s">
        <v>789</v>
      </c>
      <c r="H26" s="16" t="s">
        <v>790</v>
      </c>
    </row>
    <row r="27" spans="1:8" ht="75" customHeight="1" x14ac:dyDescent="0.25">
      <c r="A27" s="19" t="s">
        <v>746</v>
      </c>
      <c r="B27" s="19" t="s">
        <v>747</v>
      </c>
      <c r="C27" s="20" t="s">
        <v>791</v>
      </c>
      <c r="D27" s="21" t="s">
        <v>792</v>
      </c>
      <c r="E27" s="23">
        <v>3</v>
      </c>
      <c r="F27" s="18" t="s">
        <v>57</v>
      </c>
      <c r="G27" s="21" t="s">
        <v>793</v>
      </c>
      <c r="H27" s="21"/>
    </row>
    <row r="28" spans="1:8" ht="30" customHeight="1" x14ac:dyDescent="0.25">
      <c r="A28" s="14" t="s">
        <v>746</v>
      </c>
      <c r="B28" s="14" t="s">
        <v>747</v>
      </c>
      <c r="C28" s="15" t="s">
        <v>794</v>
      </c>
      <c r="D28" s="16" t="s">
        <v>795</v>
      </c>
      <c r="E28" s="23">
        <v>3</v>
      </c>
      <c r="F28" s="18" t="s">
        <v>57</v>
      </c>
      <c r="G28" s="16" t="s">
        <v>796</v>
      </c>
      <c r="H28" s="16"/>
    </row>
    <row r="29" spans="1:8" ht="60" customHeight="1" x14ac:dyDescent="0.25">
      <c r="A29" s="19" t="s">
        <v>746</v>
      </c>
      <c r="B29" s="19" t="s">
        <v>747</v>
      </c>
      <c r="C29" s="20" t="s">
        <v>797</v>
      </c>
      <c r="D29" s="21" t="s">
        <v>798</v>
      </c>
      <c r="E29" s="23">
        <v>3</v>
      </c>
      <c r="F29" s="18" t="s">
        <v>57</v>
      </c>
      <c r="G29" s="21" t="s">
        <v>799</v>
      </c>
      <c r="H29" s="21"/>
    </row>
    <row r="30" spans="1:8" ht="90" customHeight="1" x14ac:dyDescent="0.25">
      <c r="A30" s="14" t="s">
        <v>746</v>
      </c>
      <c r="B30" s="14" t="s">
        <v>747</v>
      </c>
      <c r="C30" s="15" t="s">
        <v>800</v>
      </c>
      <c r="D30" s="16" t="s">
        <v>801</v>
      </c>
      <c r="E30" s="23">
        <v>3</v>
      </c>
      <c r="F30" s="18" t="s">
        <v>57</v>
      </c>
      <c r="G30" s="16" t="s">
        <v>802</v>
      </c>
      <c r="H30" s="16"/>
    </row>
    <row r="31" spans="1:8" ht="75" customHeight="1" x14ac:dyDescent="0.25">
      <c r="A31" s="19" t="s">
        <v>746</v>
      </c>
      <c r="B31" s="19" t="s">
        <v>747</v>
      </c>
      <c r="C31" s="20" t="s">
        <v>803</v>
      </c>
      <c r="D31" s="21" t="s">
        <v>804</v>
      </c>
      <c r="E31" s="23">
        <v>3</v>
      </c>
      <c r="F31" s="18" t="s">
        <v>57</v>
      </c>
      <c r="G31" s="21" t="s">
        <v>805</v>
      </c>
      <c r="H31" s="21"/>
    </row>
    <row r="32" spans="1:8" ht="18" customHeight="1" x14ac:dyDescent="0.25">
      <c r="A32" s="13" t="s">
        <v>806</v>
      </c>
      <c r="B32" s="13" t="s">
        <v>807</v>
      </c>
      <c r="C32" s="13"/>
      <c r="D32" s="13"/>
      <c r="E32" s="13"/>
      <c r="F32" s="13"/>
      <c r="G32" s="13"/>
      <c r="H32" s="13"/>
    </row>
    <row r="33" spans="1:8" ht="90" customHeight="1" x14ac:dyDescent="0.25">
      <c r="A33" s="14" t="s">
        <v>806</v>
      </c>
      <c r="B33" s="14" t="s">
        <v>807</v>
      </c>
      <c r="C33" s="15" t="s">
        <v>808</v>
      </c>
      <c r="D33" s="16" t="s">
        <v>809</v>
      </c>
      <c r="E33" s="17">
        <v>2</v>
      </c>
      <c r="F33" s="18" t="s">
        <v>57</v>
      </c>
      <c r="G33" s="16" t="s">
        <v>810</v>
      </c>
      <c r="H33" s="16"/>
    </row>
    <row r="34" spans="1:8" ht="86.25" customHeight="1" x14ac:dyDescent="0.25">
      <c r="A34" s="19" t="s">
        <v>806</v>
      </c>
      <c r="B34" s="19" t="s">
        <v>807</v>
      </c>
      <c r="C34" s="20" t="s">
        <v>811</v>
      </c>
      <c r="D34" s="21" t="s">
        <v>812</v>
      </c>
      <c r="E34" s="17">
        <v>2</v>
      </c>
      <c r="F34" s="18" t="s">
        <v>45</v>
      </c>
      <c r="G34" s="21" t="s">
        <v>813</v>
      </c>
      <c r="H34" s="21" t="s">
        <v>814</v>
      </c>
    </row>
    <row r="35" spans="1:8" ht="120" customHeight="1" x14ac:dyDescent="0.25">
      <c r="A35" s="14" t="s">
        <v>806</v>
      </c>
      <c r="B35" s="14" t="s">
        <v>807</v>
      </c>
      <c r="C35" s="15" t="s">
        <v>815</v>
      </c>
      <c r="D35" s="16" t="s">
        <v>816</v>
      </c>
      <c r="E35" s="17">
        <v>2</v>
      </c>
      <c r="F35" s="18" t="s">
        <v>45</v>
      </c>
      <c r="G35" s="16" t="s">
        <v>817</v>
      </c>
      <c r="H35" s="16" t="s">
        <v>818</v>
      </c>
    </row>
    <row r="36" spans="1:8" ht="96" customHeight="1" x14ac:dyDescent="0.25">
      <c r="A36" s="19" t="s">
        <v>806</v>
      </c>
      <c r="B36" s="19" t="s">
        <v>807</v>
      </c>
      <c r="C36" s="20" t="s">
        <v>819</v>
      </c>
      <c r="D36" s="21" t="s">
        <v>820</v>
      </c>
      <c r="E36" s="17">
        <v>2</v>
      </c>
      <c r="F36" s="18" t="s">
        <v>45</v>
      </c>
      <c r="G36" s="21" t="s">
        <v>821</v>
      </c>
      <c r="H36" s="21" t="s">
        <v>822</v>
      </c>
    </row>
    <row r="37" spans="1:8" ht="105" customHeight="1" x14ac:dyDescent="0.25">
      <c r="A37" s="14" t="s">
        <v>806</v>
      </c>
      <c r="B37" s="14" t="s">
        <v>807</v>
      </c>
      <c r="C37" s="15" t="s">
        <v>823</v>
      </c>
      <c r="D37" s="16" t="s">
        <v>824</v>
      </c>
      <c r="E37" s="17">
        <v>2</v>
      </c>
      <c r="F37" s="18" t="s">
        <v>57</v>
      </c>
      <c r="G37" s="16" t="s">
        <v>825</v>
      </c>
      <c r="H37" s="16"/>
    </row>
    <row r="38" spans="1:8" ht="18" customHeight="1" x14ac:dyDescent="0.25">
      <c r="A38" s="13" t="s">
        <v>826</v>
      </c>
      <c r="B38" s="13" t="s">
        <v>827</v>
      </c>
      <c r="C38" s="13"/>
      <c r="D38" s="13"/>
      <c r="E38" s="13"/>
      <c r="F38" s="13"/>
      <c r="G38" s="13"/>
      <c r="H38" s="13"/>
    </row>
    <row r="39" spans="1:8" ht="75" customHeight="1" x14ac:dyDescent="0.25">
      <c r="A39" s="14" t="s">
        <v>826</v>
      </c>
      <c r="B39" s="14" t="s">
        <v>827</v>
      </c>
      <c r="C39" s="15" t="s">
        <v>828</v>
      </c>
      <c r="D39" s="16" t="s">
        <v>829</v>
      </c>
      <c r="E39" s="17">
        <v>2</v>
      </c>
      <c r="F39" s="18" t="s">
        <v>45</v>
      </c>
      <c r="G39" s="16" t="s">
        <v>830</v>
      </c>
      <c r="H39" s="16" t="s">
        <v>831</v>
      </c>
    </row>
    <row r="40" spans="1:8" ht="106.5" customHeight="1" x14ac:dyDescent="0.25">
      <c r="A40" s="19" t="s">
        <v>826</v>
      </c>
      <c r="B40" s="19" t="s">
        <v>827</v>
      </c>
      <c r="C40" s="20" t="s">
        <v>832</v>
      </c>
      <c r="D40" s="21" t="s">
        <v>833</v>
      </c>
      <c r="E40" s="17">
        <v>2</v>
      </c>
      <c r="F40" s="18" t="s">
        <v>45</v>
      </c>
      <c r="G40" s="21" t="s">
        <v>834</v>
      </c>
      <c r="H40" s="21" t="s">
        <v>835</v>
      </c>
    </row>
    <row r="41" spans="1:8" ht="18" customHeight="1" x14ac:dyDescent="0.25">
      <c r="A41" s="13" t="s">
        <v>836</v>
      </c>
      <c r="B41" s="13" t="s">
        <v>837</v>
      </c>
      <c r="C41" s="13"/>
      <c r="D41" s="13"/>
      <c r="E41" s="13"/>
      <c r="F41" s="13"/>
      <c r="G41" s="13"/>
      <c r="H41" s="13"/>
    </row>
    <row r="42" spans="1:8" ht="138" customHeight="1" x14ac:dyDescent="0.25">
      <c r="A42" s="14" t="s">
        <v>836</v>
      </c>
      <c r="B42" s="14" t="s">
        <v>837</v>
      </c>
      <c r="C42" s="15" t="s">
        <v>838</v>
      </c>
      <c r="D42" s="16" t="s">
        <v>839</v>
      </c>
      <c r="E42" s="17">
        <v>2</v>
      </c>
      <c r="F42" s="18" t="s">
        <v>45</v>
      </c>
      <c r="G42" s="16" t="s">
        <v>840</v>
      </c>
      <c r="H42" s="16" t="s">
        <v>841</v>
      </c>
    </row>
    <row r="43" spans="1:8" ht="105" customHeight="1" x14ac:dyDescent="0.25">
      <c r="A43" s="19" t="s">
        <v>836</v>
      </c>
      <c r="B43" s="19" t="s">
        <v>837</v>
      </c>
      <c r="C43" s="20" t="s">
        <v>842</v>
      </c>
      <c r="D43" s="21" t="s">
        <v>843</v>
      </c>
      <c r="E43" s="17">
        <v>2</v>
      </c>
      <c r="F43" s="18" t="s">
        <v>45</v>
      </c>
      <c r="G43" s="21" t="s">
        <v>844</v>
      </c>
      <c r="H43" s="21" t="s">
        <v>845</v>
      </c>
    </row>
    <row r="44" spans="1:8" ht="111" customHeight="1" x14ac:dyDescent="0.25">
      <c r="A44" s="14" t="s">
        <v>836</v>
      </c>
      <c r="B44" s="14" t="s">
        <v>837</v>
      </c>
      <c r="C44" s="15" t="s">
        <v>846</v>
      </c>
      <c r="D44" s="16" t="s">
        <v>847</v>
      </c>
      <c r="E44" s="17">
        <v>2</v>
      </c>
      <c r="F44" s="18" t="s">
        <v>45</v>
      </c>
      <c r="G44" s="16" t="s">
        <v>848</v>
      </c>
      <c r="H44" s="16" t="s">
        <v>849</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850</v>
      </c>
      <c r="B2" s="13" t="s">
        <v>851</v>
      </c>
      <c r="C2" s="13"/>
      <c r="D2" s="13"/>
      <c r="E2" s="13"/>
      <c r="F2" s="13"/>
      <c r="G2" s="13"/>
      <c r="H2" s="13"/>
    </row>
    <row r="3" spans="1:8" ht="210" customHeight="1" x14ac:dyDescent="0.25">
      <c r="A3" s="14" t="s">
        <v>850</v>
      </c>
      <c r="B3" s="14" t="s">
        <v>851</v>
      </c>
      <c r="C3" s="15" t="s">
        <v>852</v>
      </c>
      <c r="D3" s="16" t="s">
        <v>853</v>
      </c>
      <c r="E3" s="17">
        <v>2</v>
      </c>
      <c r="F3" s="18" t="s">
        <v>50</v>
      </c>
      <c r="G3" s="16" t="s">
        <v>854</v>
      </c>
      <c r="H3" s="16" t="s">
        <v>855</v>
      </c>
    </row>
    <row r="4" spans="1:8" ht="180" customHeight="1" x14ac:dyDescent="0.25">
      <c r="A4" s="19" t="s">
        <v>850</v>
      </c>
      <c r="B4" s="19" t="s">
        <v>851</v>
      </c>
      <c r="C4" s="20" t="s">
        <v>856</v>
      </c>
      <c r="D4" s="21" t="s">
        <v>857</v>
      </c>
      <c r="E4" s="17">
        <v>2</v>
      </c>
      <c r="F4" s="18" t="s">
        <v>45</v>
      </c>
      <c r="G4" s="16" t="s">
        <v>858</v>
      </c>
      <c r="H4" s="21" t="s">
        <v>859</v>
      </c>
    </row>
    <row r="5" spans="1:8" ht="45" customHeight="1" x14ac:dyDescent="0.25">
      <c r="A5" s="14" t="s">
        <v>850</v>
      </c>
      <c r="B5" s="14" t="s">
        <v>851</v>
      </c>
      <c r="C5" s="15" t="s">
        <v>860</v>
      </c>
      <c r="D5" s="16" t="s">
        <v>861</v>
      </c>
      <c r="E5" s="23">
        <v>3</v>
      </c>
      <c r="F5" s="18" t="s">
        <v>57</v>
      </c>
      <c r="G5" s="21"/>
      <c r="H5" s="16"/>
    </row>
    <row r="6" spans="1:8" ht="60" customHeight="1" x14ac:dyDescent="0.25">
      <c r="A6" s="19" t="s">
        <v>850</v>
      </c>
      <c r="B6" s="19" t="s">
        <v>851</v>
      </c>
      <c r="C6" s="20" t="s">
        <v>862</v>
      </c>
      <c r="D6" s="21" t="s">
        <v>863</v>
      </c>
      <c r="E6" s="23">
        <v>3</v>
      </c>
      <c r="F6" s="18" t="s">
        <v>57</v>
      </c>
      <c r="G6" s="16"/>
      <c r="H6" s="21"/>
    </row>
    <row r="7" spans="1:8" x14ac:dyDescent="0.25">
      <c r="A7" s="13" t="s">
        <v>864</v>
      </c>
      <c r="B7" s="13" t="s">
        <v>865</v>
      </c>
      <c r="C7" s="13"/>
      <c r="D7" s="13"/>
      <c r="E7" s="13"/>
      <c r="F7" s="13"/>
      <c r="G7" s="13"/>
      <c r="H7" s="13"/>
    </row>
    <row r="8" spans="1:8" ht="165" customHeight="1" x14ac:dyDescent="0.25">
      <c r="A8" s="14" t="s">
        <v>864</v>
      </c>
      <c r="B8" s="14" t="s">
        <v>865</v>
      </c>
      <c r="C8" s="15" t="s">
        <v>866</v>
      </c>
      <c r="D8" s="16" t="s">
        <v>867</v>
      </c>
      <c r="E8" s="17">
        <v>2</v>
      </c>
      <c r="F8" s="18" t="s">
        <v>45</v>
      </c>
      <c r="G8" s="16" t="s">
        <v>868</v>
      </c>
      <c r="H8" s="16" t="s">
        <v>869</v>
      </c>
    </row>
    <row r="9" spans="1:8" ht="225" customHeight="1" x14ac:dyDescent="0.25">
      <c r="A9" s="19" t="s">
        <v>864</v>
      </c>
      <c r="B9" s="19" t="s">
        <v>865</v>
      </c>
      <c r="C9" s="20" t="s">
        <v>870</v>
      </c>
      <c r="D9" s="21" t="s">
        <v>871</v>
      </c>
      <c r="E9" s="17">
        <v>2</v>
      </c>
      <c r="F9" s="18" t="s">
        <v>45</v>
      </c>
      <c r="G9" s="21" t="s">
        <v>872</v>
      </c>
      <c r="H9" s="21" t="s">
        <v>873</v>
      </c>
    </row>
    <row r="10" spans="1:8" ht="150" customHeight="1" x14ac:dyDescent="0.25">
      <c r="A10" s="14" t="s">
        <v>864</v>
      </c>
      <c r="B10" s="14" t="s">
        <v>865</v>
      </c>
      <c r="C10" s="15" t="s">
        <v>874</v>
      </c>
      <c r="D10" s="16" t="s">
        <v>875</v>
      </c>
      <c r="E10" s="17">
        <v>2</v>
      </c>
      <c r="F10" s="18" t="s">
        <v>45</v>
      </c>
      <c r="G10" s="16" t="s">
        <v>876</v>
      </c>
      <c r="H10" s="16" t="s">
        <v>877</v>
      </c>
    </row>
    <row r="11" spans="1:8" ht="240" customHeight="1" x14ac:dyDescent="0.25">
      <c r="A11" s="19" t="s">
        <v>864</v>
      </c>
      <c r="B11" s="19" t="s">
        <v>865</v>
      </c>
      <c r="C11" s="20" t="s">
        <v>878</v>
      </c>
      <c r="D11" s="21" t="s">
        <v>879</v>
      </c>
      <c r="E11" s="23">
        <v>3</v>
      </c>
      <c r="F11" s="18" t="s">
        <v>45</v>
      </c>
      <c r="G11" s="21" t="s">
        <v>880</v>
      </c>
      <c r="H11" s="21" t="s">
        <v>881</v>
      </c>
    </row>
    <row r="12" spans="1:8" ht="195" customHeight="1" x14ac:dyDescent="0.25">
      <c r="A12" s="14" t="s">
        <v>864</v>
      </c>
      <c r="B12" s="14" t="s">
        <v>865</v>
      </c>
      <c r="C12" s="15" t="s">
        <v>882</v>
      </c>
      <c r="D12" s="16" t="s">
        <v>883</v>
      </c>
      <c r="E12" s="23">
        <v>3</v>
      </c>
      <c r="F12" s="18" t="s">
        <v>57</v>
      </c>
      <c r="G12" s="16" t="s">
        <v>884</v>
      </c>
      <c r="H12" s="16"/>
    </row>
    <row r="13" spans="1:8" x14ac:dyDescent="0.25">
      <c r="A13" s="13" t="s">
        <v>885</v>
      </c>
      <c r="B13" s="13" t="s">
        <v>886</v>
      </c>
      <c r="C13" s="13"/>
      <c r="D13" s="13"/>
      <c r="E13" s="13"/>
      <c r="F13" s="13"/>
      <c r="G13" s="13"/>
      <c r="H13" s="13"/>
    </row>
    <row r="14" spans="1:8" ht="150" customHeight="1" x14ac:dyDescent="0.25">
      <c r="A14" s="14" t="s">
        <v>885</v>
      </c>
      <c r="B14" s="14" t="s">
        <v>886</v>
      </c>
      <c r="C14" s="15" t="s">
        <v>887</v>
      </c>
      <c r="D14" s="16" t="s">
        <v>888</v>
      </c>
      <c r="E14" s="22">
        <v>1</v>
      </c>
      <c r="F14" s="18" t="s">
        <v>45</v>
      </c>
      <c r="G14" s="16" t="s">
        <v>889</v>
      </c>
      <c r="H14" s="16" t="s">
        <v>890</v>
      </c>
    </row>
    <row r="15" spans="1:8" ht="150" customHeight="1" x14ac:dyDescent="0.25">
      <c r="A15" s="19" t="s">
        <v>885</v>
      </c>
      <c r="B15" s="19" t="s">
        <v>886</v>
      </c>
      <c r="C15" s="20" t="s">
        <v>891</v>
      </c>
      <c r="D15" s="21" t="s">
        <v>892</v>
      </c>
      <c r="E15" s="22">
        <v>1</v>
      </c>
      <c r="F15" s="18" t="s">
        <v>45</v>
      </c>
      <c r="G15" s="21" t="s">
        <v>893</v>
      </c>
      <c r="H15" s="21" t="s">
        <v>894</v>
      </c>
    </row>
    <row r="16" spans="1:8" ht="150" customHeight="1" x14ac:dyDescent="0.25">
      <c r="A16" s="14" t="s">
        <v>885</v>
      </c>
      <c r="B16" s="14" t="s">
        <v>886</v>
      </c>
      <c r="C16" s="15" t="s">
        <v>895</v>
      </c>
      <c r="D16" s="16" t="s">
        <v>896</v>
      </c>
      <c r="E16" s="17">
        <v>2</v>
      </c>
      <c r="F16" s="18" t="s">
        <v>45</v>
      </c>
      <c r="G16" s="16" t="s">
        <v>897</v>
      </c>
      <c r="H16" s="16" t="s">
        <v>898</v>
      </c>
    </row>
    <row r="17" spans="1:8" ht="60" customHeight="1" x14ac:dyDescent="0.25">
      <c r="A17" s="19" t="s">
        <v>885</v>
      </c>
      <c r="B17" s="19" t="s">
        <v>886</v>
      </c>
      <c r="C17" s="20" t="s">
        <v>899</v>
      </c>
      <c r="D17" s="21" t="s">
        <v>900</v>
      </c>
      <c r="E17" s="23">
        <v>3</v>
      </c>
      <c r="F17" s="18" t="s">
        <v>57</v>
      </c>
      <c r="G17" s="21"/>
      <c r="H17" s="21"/>
    </row>
    <row r="18" spans="1:8" ht="195" customHeight="1" x14ac:dyDescent="0.25">
      <c r="A18" s="14" t="s">
        <v>885</v>
      </c>
      <c r="B18" s="14" t="s">
        <v>886</v>
      </c>
      <c r="C18" s="15" t="s">
        <v>901</v>
      </c>
      <c r="D18" s="16" t="s">
        <v>902</v>
      </c>
      <c r="E18" s="23">
        <v>3</v>
      </c>
      <c r="F18" s="18" t="s">
        <v>57</v>
      </c>
      <c r="G18" s="21" t="s">
        <v>903</v>
      </c>
      <c r="H18" s="16"/>
    </row>
    <row r="19" spans="1:8" x14ac:dyDescent="0.25">
      <c r="A19" s="13" t="s">
        <v>904</v>
      </c>
      <c r="B19" s="13" t="s">
        <v>905</v>
      </c>
      <c r="C19" s="13"/>
      <c r="D19" s="13"/>
      <c r="E19" s="13"/>
      <c r="F19" s="13"/>
      <c r="G19" s="13"/>
      <c r="H19" s="13"/>
    </row>
    <row r="20" spans="1:8" ht="135" customHeight="1" x14ac:dyDescent="0.25">
      <c r="A20" s="14" t="s">
        <v>904</v>
      </c>
      <c r="B20" s="14" t="s">
        <v>905</v>
      </c>
      <c r="C20" s="15" t="s">
        <v>906</v>
      </c>
      <c r="D20" s="16" t="s">
        <v>907</v>
      </c>
      <c r="E20" s="22">
        <v>1</v>
      </c>
      <c r="F20" s="18" t="s">
        <v>45</v>
      </c>
      <c r="G20" s="27" t="s">
        <v>908</v>
      </c>
      <c r="H20" s="16" t="s">
        <v>909</v>
      </c>
    </row>
    <row r="21" spans="1:8" ht="195" customHeight="1" x14ac:dyDescent="0.25">
      <c r="A21" s="19" t="s">
        <v>904</v>
      </c>
      <c r="B21" s="19" t="s">
        <v>905</v>
      </c>
      <c r="C21" s="20" t="s">
        <v>910</v>
      </c>
      <c r="D21" s="21" t="s">
        <v>911</v>
      </c>
      <c r="E21" s="17">
        <v>2</v>
      </c>
      <c r="F21" s="18" t="s">
        <v>45</v>
      </c>
      <c r="G21" s="27" t="s">
        <v>912</v>
      </c>
      <c r="H21" s="21" t="s">
        <v>913</v>
      </c>
    </row>
    <row r="22" spans="1:8" ht="180" customHeight="1" x14ac:dyDescent="0.25">
      <c r="A22" s="14" t="s">
        <v>904</v>
      </c>
      <c r="B22" s="14" t="s">
        <v>905</v>
      </c>
      <c r="C22" s="15" t="s">
        <v>914</v>
      </c>
      <c r="D22" s="16" t="s">
        <v>915</v>
      </c>
      <c r="E22" s="17">
        <v>2</v>
      </c>
      <c r="F22" s="18" t="s">
        <v>45</v>
      </c>
      <c r="G22" s="27" t="s">
        <v>916</v>
      </c>
      <c r="H22" s="16" t="s">
        <v>917</v>
      </c>
    </row>
    <row r="23" spans="1:8" ht="180" customHeight="1" x14ac:dyDescent="0.25">
      <c r="A23" s="19" t="s">
        <v>904</v>
      </c>
      <c r="B23" s="19" t="s">
        <v>905</v>
      </c>
      <c r="C23" s="20" t="s">
        <v>918</v>
      </c>
      <c r="D23" s="21" t="s">
        <v>919</v>
      </c>
      <c r="E23" s="17">
        <v>2</v>
      </c>
      <c r="F23" s="18" t="s">
        <v>45</v>
      </c>
      <c r="G23" s="21" t="s">
        <v>920</v>
      </c>
      <c r="H23" s="21" t="s">
        <v>921</v>
      </c>
    </row>
    <row r="24" spans="1:8" x14ac:dyDescent="0.25">
      <c r="A24" s="13" t="s">
        <v>922</v>
      </c>
      <c r="B24" s="13" t="s">
        <v>923</v>
      </c>
      <c r="C24" s="13"/>
      <c r="D24" s="13"/>
      <c r="E24" s="13"/>
      <c r="F24" s="13"/>
      <c r="G24" s="13"/>
      <c r="H24" s="13"/>
    </row>
    <row r="25" spans="1:8" ht="210" customHeight="1" x14ac:dyDescent="0.25">
      <c r="A25" s="14" t="s">
        <v>922</v>
      </c>
      <c r="B25" s="14" t="s">
        <v>923</v>
      </c>
      <c r="C25" s="15" t="s">
        <v>924</v>
      </c>
      <c r="D25" s="16" t="s">
        <v>925</v>
      </c>
      <c r="E25" s="17">
        <v>2</v>
      </c>
      <c r="F25" s="18" t="s">
        <v>50</v>
      </c>
      <c r="G25" s="16" t="s">
        <v>926</v>
      </c>
      <c r="H25" s="16" t="s">
        <v>927</v>
      </c>
    </row>
    <row r="26" spans="1:8" ht="210" customHeight="1" x14ac:dyDescent="0.25">
      <c r="A26" s="19" t="s">
        <v>922</v>
      </c>
      <c r="B26" s="19" t="s">
        <v>923</v>
      </c>
      <c r="C26" s="20" t="s">
        <v>928</v>
      </c>
      <c r="D26" s="21" t="s">
        <v>929</v>
      </c>
      <c r="E26" s="23">
        <v>3</v>
      </c>
      <c r="F26" s="18" t="s">
        <v>45</v>
      </c>
      <c r="G26" s="21" t="s">
        <v>930</v>
      </c>
      <c r="H26" s="21" t="s">
        <v>931</v>
      </c>
    </row>
    <row r="27" spans="1:8" x14ac:dyDescent="0.25">
      <c r="A27" s="13" t="s">
        <v>932</v>
      </c>
      <c r="B27" s="13" t="s">
        <v>933</v>
      </c>
      <c r="C27" s="13"/>
      <c r="D27" s="13"/>
      <c r="E27" s="13"/>
      <c r="F27" s="13"/>
      <c r="G27" s="13"/>
      <c r="H27" s="13"/>
    </row>
    <row r="28" spans="1:8" ht="210" customHeight="1" x14ac:dyDescent="0.25">
      <c r="A28" s="14" t="s">
        <v>932</v>
      </c>
      <c r="B28" s="14" t="s">
        <v>933</v>
      </c>
      <c r="C28" s="15" t="s">
        <v>934</v>
      </c>
      <c r="D28" s="16" t="s">
        <v>935</v>
      </c>
      <c r="E28" s="17">
        <v>2</v>
      </c>
      <c r="F28" s="18" t="s">
        <v>45</v>
      </c>
      <c r="G28" s="16" t="s">
        <v>936</v>
      </c>
      <c r="H28" s="16" t="s">
        <v>937</v>
      </c>
    </row>
    <row r="29" spans="1:8" ht="150" customHeight="1" x14ac:dyDescent="0.25">
      <c r="A29" s="19" t="s">
        <v>932</v>
      </c>
      <c r="B29" s="19" t="s">
        <v>933</v>
      </c>
      <c r="C29" s="20" t="s">
        <v>938</v>
      </c>
      <c r="D29" s="21" t="s">
        <v>939</v>
      </c>
      <c r="E29" s="23">
        <v>3</v>
      </c>
      <c r="F29" s="18" t="s">
        <v>57</v>
      </c>
      <c r="G29" s="21" t="s">
        <v>940</v>
      </c>
      <c r="H29" s="21"/>
    </row>
    <row r="30" spans="1:8" x14ac:dyDescent="0.25">
      <c r="A30" s="13" t="s">
        <v>941</v>
      </c>
      <c r="B30" s="13" t="s">
        <v>942</v>
      </c>
      <c r="C30" s="13"/>
      <c r="D30" s="13"/>
      <c r="E30" s="13"/>
      <c r="F30" s="13"/>
      <c r="G30" s="13"/>
      <c r="H30" s="13"/>
    </row>
    <row r="31" spans="1:8" ht="210" customHeight="1" x14ac:dyDescent="0.25">
      <c r="A31" s="14" t="s">
        <v>941</v>
      </c>
      <c r="B31" s="14" t="s">
        <v>942</v>
      </c>
      <c r="C31" s="15" t="s">
        <v>943</v>
      </c>
      <c r="D31" s="16" t="s">
        <v>944</v>
      </c>
      <c r="E31" s="23">
        <v>3</v>
      </c>
      <c r="F31" s="18" t="s">
        <v>57</v>
      </c>
      <c r="G31" s="16" t="s">
        <v>945</v>
      </c>
      <c r="H31" s="16"/>
    </row>
    <row r="32" spans="1:8" ht="45" customHeight="1" x14ac:dyDescent="0.25">
      <c r="A32" s="19" t="s">
        <v>941</v>
      </c>
      <c r="B32" s="19" t="s">
        <v>942</v>
      </c>
      <c r="C32" s="20" t="s">
        <v>946</v>
      </c>
      <c r="D32" s="21" t="s">
        <v>947</v>
      </c>
      <c r="E32" s="23">
        <v>3</v>
      </c>
      <c r="F32" s="18" t="s">
        <v>57</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948</v>
      </c>
      <c r="B2" s="13" t="s">
        <v>949</v>
      </c>
      <c r="C2" s="13"/>
      <c r="D2" s="13"/>
      <c r="E2" s="13"/>
      <c r="F2" s="13"/>
      <c r="G2" s="13"/>
      <c r="H2" s="13"/>
    </row>
    <row r="3" spans="1:8" ht="90" customHeight="1" x14ac:dyDescent="0.25">
      <c r="A3" s="14" t="s">
        <v>948</v>
      </c>
      <c r="B3" s="14" t="s">
        <v>949</v>
      </c>
      <c r="C3" s="15" t="s">
        <v>950</v>
      </c>
      <c r="D3" s="16" t="s">
        <v>951</v>
      </c>
      <c r="E3" s="22">
        <v>1</v>
      </c>
      <c r="F3" s="18" t="s">
        <v>45</v>
      </c>
      <c r="G3" s="16" t="s">
        <v>952</v>
      </c>
      <c r="H3" s="16" t="s">
        <v>953</v>
      </c>
    </row>
    <row r="4" spans="1:8" ht="90" customHeight="1" x14ac:dyDescent="0.25">
      <c r="A4" s="19" t="s">
        <v>948</v>
      </c>
      <c r="B4" s="19" t="s">
        <v>949</v>
      </c>
      <c r="C4" s="20" t="s">
        <v>954</v>
      </c>
      <c r="D4" s="21" t="s">
        <v>955</v>
      </c>
      <c r="E4" s="17">
        <v>2</v>
      </c>
      <c r="F4" s="18" t="s">
        <v>45</v>
      </c>
      <c r="G4" s="21" t="s">
        <v>956</v>
      </c>
      <c r="H4" s="21" t="s">
        <v>957</v>
      </c>
    </row>
    <row r="5" spans="1:8" ht="60" customHeight="1" x14ac:dyDescent="0.25">
      <c r="A5" s="14" t="s">
        <v>948</v>
      </c>
      <c r="B5" s="14" t="s">
        <v>949</v>
      </c>
      <c r="C5" s="15" t="s">
        <v>958</v>
      </c>
      <c r="D5" s="16" t="s">
        <v>959</v>
      </c>
      <c r="E5" s="17">
        <v>2</v>
      </c>
      <c r="F5" s="18" t="s">
        <v>57</v>
      </c>
      <c r="G5" s="16" t="s">
        <v>960</v>
      </c>
      <c r="H5" s="16"/>
    </row>
    <row r="6" spans="1:8" ht="30" customHeight="1" x14ac:dyDescent="0.25">
      <c r="A6" s="19" t="s">
        <v>948</v>
      </c>
      <c r="B6" s="19" t="s">
        <v>949</v>
      </c>
      <c r="C6" s="20" t="s">
        <v>961</v>
      </c>
      <c r="D6" s="21" t="s">
        <v>962</v>
      </c>
      <c r="E6" s="23">
        <v>3</v>
      </c>
      <c r="F6" s="18" t="s">
        <v>57</v>
      </c>
      <c r="G6" s="21"/>
      <c r="H6" s="21"/>
    </row>
    <row r="7" spans="1:8" ht="30" customHeight="1" x14ac:dyDescent="0.25">
      <c r="A7" s="14" t="s">
        <v>948</v>
      </c>
      <c r="B7" s="14" t="s">
        <v>949</v>
      </c>
      <c r="C7" s="15" t="s">
        <v>963</v>
      </c>
      <c r="D7" s="16" t="s">
        <v>964</v>
      </c>
      <c r="E7" s="23">
        <v>3</v>
      </c>
      <c r="F7" s="18" t="s">
        <v>57</v>
      </c>
      <c r="G7" s="16"/>
      <c r="H7" s="16"/>
    </row>
    <row r="8" spans="1:8" ht="18" customHeight="1" x14ac:dyDescent="0.25">
      <c r="A8" s="13" t="s">
        <v>965</v>
      </c>
      <c r="B8" s="13" t="s">
        <v>966</v>
      </c>
      <c r="C8" s="13"/>
      <c r="D8" s="13"/>
      <c r="E8" s="13"/>
      <c r="F8" s="13"/>
      <c r="G8" s="13"/>
      <c r="H8" s="13"/>
    </row>
    <row r="9" spans="1:8" ht="90" customHeight="1" x14ac:dyDescent="0.25">
      <c r="A9" s="14" t="s">
        <v>965</v>
      </c>
      <c r="B9" s="14" t="s">
        <v>966</v>
      </c>
      <c r="C9" s="15" t="s">
        <v>967</v>
      </c>
      <c r="D9" s="16" t="s">
        <v>968</v>
      </c>
      <c r="E9" s="22">
        <v>1</v>
      </c>
      <c r="F9" s="18" t="s">
        <v>45</v>
      </c>
      <c r="G9" s="16" t="s">
        <v>969</v>
      </c>
      <c r="H9" s="16" t="s">
        <v>970</v>
      </c>
    </row>
    <row r="10" spans="1:8" ht="90" customHeight="1" x14ac:dyDescent="0.25">
      <c r="A10" s="19" t="s">
        <v>965</v>
      </c>
      <c r="B10" s="19" t="s">
        <v>966</v>
      </c>
      <c r="C10" s="20" t="s">
        <v>971</v>
      </c>
      <c r="D10" s="21" t="s">
        <v>972</v>
      </c>
      <c r="E10" s="22">
        <v>1</v>
      </c>
      <c r="F10" s="18" t="s">
        <v>973</v>
      </c>
      <c r="G10" s="21" t="s">
        <v>974</v>
      </c>
      <c r="H10" s="21" t="s">
        <v>975</v>
      </c>
    </row>
    <row r="11" spans="1:8" ht="18" customHeight="1" x14ac:dyDescent="0.25">
      <c r="A11" s="13" t="s">
        <v>976</v>
      </c>
      <c r="B11" s="13" t="s">
        <v>977</v>
      </c>
      <c r="C11" s="13"/>
      <c r="D11" s="13"/>
      <c r="E11" s="13"/>
      <c r="F11" s="13"/>
      <c r="G11" s="13"/>
      <c r="H11" s="13"/>
    </row>
    <row r="12" spans="1:8" ht="30" customHeight="1" x14ac:dyDescent="0.25">
      <c r="A12" s="14" t="s">
        <v>976</v>
      </c>
      <c r="B12" s="14" t="s">
        <v>977</v>
      </c>
      <c r="C12" s="15" t="s">
        <v>978</v>
      </c>
      <c r="D12" s="16" t="s">
        <v>979</v>
      </c>
      <c r="E12" s="17">
        <v>2</v>
      </c>
      <c r="F12" s="18" t="s">
        <v>973</v>
      </c>
      <c r="G12" s="16" t="s">
        <v>980</v>
      </c>
      <c r="H12" s="16" t="s">
        <v>981</v>
      </c>
    </row>
    <row r="13" spans="1:8" ht="30" customHeight="1" x14ac:dyDescent="0.25">
      <c r="A13" s="19" t="s">
        <v>976</v>
      </c>
      <c r="B13" s="19" t="s">
        <v>977</v>
      </c>
      <c r="C13" s="20" t="s">
        <v>982</v>
      </c>
      <c r="D13" s="21" t="s">
        <v>983</v>
      </c>
      <c r="E13" s="17">
        <v>2</v>
      </c>
      <c r="F13" s="18" t="s">
        <v>45</v>
      </c>
      <c r="G13" s="21" t="s">
        <v>984</v>
      </c>
      <c r="H13" s="21" t="s">
        <v>985</v>
      </c>
    </row>
    <row r="14" spans="1:8" ht="30" customHeight="1" x14ac:dyDescent="0.25">
      <c r="A14" s="14" t="s">
        <v>976</v>
      </c>
      <c r="B14" s="14" t="s">
        <v>977</v>
      </c>
      <c r="C14" s="15" t="s">
        <v>986</v>
      </c>
      <c r="D14" s="16" t="s">
        <v>987</v>
      </c>
      <c r="E14" s="17">
        <v>2</v>
      </c>
      <c r="F14" s="18" t="s">
        <v>973</v>
      </c>
      <c r="G14" s="16" t="s">
        <v>988</v>
      </c>
      <c r="H14" s="16" t="s">
        <v>989</v>
      </c>
    </row>
    <row r="15" spans="1:8" ht="75" customHeight="1" x14ac:dyDescent="0.25">
      <c r="A15" s="19" t="s">
        <v>976</v>
      </c>
      <c r="B15" s="19" t="s">
        <v>977</v>
      </c>
      <c r="C15" s="20" t="s">
        <v>990</v>
      </c>
      <c r="D15" s="21" t="s">
        <v>991</v>
      </c>
      <c r="E15" s="17">
        <v>2</v>
      </c>
      <c r="F15" s="18" t="s">
        <v>45</v>
      </c>
      <c r="G15" s="21" t="s">
        <v>992</v>
      </c>
      <c r="H15" s="21" t="s">
        <v>993</v>
      </c>
    </row>
    <row r="16" spans="1:8" ht="30" customHeight="1" x14ac:dyDescent="0.25">
      <c r="A16" s="14" t="s">
        <v>976</v>
      </c>
      <c r="B16" s="14" t="s">
        <v>977</v>
      </c>
      <c r="C16" s="15" t="s">
        <v>994</v>
      </c>
      <c r="D16" s="16" t="s">
        <v>995</v>
      </c>
      <c r="E16" s="23">
        <v>3</v>
      </c>
      <c r="F16" s="18" t="s">
        <v>57</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996</v>
      </c>
      <c r="B2" s="13" t="s">
        <v>997</v>
      </c>
      <c r="C2" s="13"/>
      <c r="D2" s="13"/>
      <c r="E2" s="13"/>
      <c r="F2" s="13"/>
      <c r="G2" s="13"/>
      <c r="H2" s="13"/>
    </row>
    <row r="3" spans="1:8" ht="30" customHeight="1" x14ac:dyDescent="0.25">
      <c r="A3" s="14" t="s">
        <v>996</v>
      </c>
      <c r="B3" s="14" t="s">
        <v>997</v>
      </c>
      <c r="C3" s="15" t="s">
        <v>998</v>
      </c>
      <c r="D3" s="16" t="s">
        <v>999</v>
      </c>
      <c r="E3" s="17">
        <v>2</v>
      </c>
      <c r="F3" s="18" t="s">
        <v>45</v>
      </c>
      <c r="G3" s="16" t="s">
        <v>1000</v>
      </c>
      <c r="H3" s="16" t="s">
        <v>1001</v>
      </c>
    </row>
    <row r="4" spans="1:8" ht="30" customHeight="1" x14ac:dyDescent="0.25">
      <c r="A4" s="19" t="s">
        <v>996</v>
      </c>
      <c r="B4" s="19" t="s">
        <v>997</v>
      </c>
      <c r="C4" s="20" t="s">
        <v>1002</v>
      </c>
      <c r="D4" s="21" t="s">
        <v>1003</v>
      </c>
      <c r="E4" s="23">
        <v>3</v>
      </c>
      <c r="F4" s="18" t="s">
        <v>57</v>
      </c>
      <c r="G4" s="21"/>
      <c r="H4" s="21"/>
    </row>
    <row r="5" spans="1:8" ht="30" customHeight="1" x14ac:dyDescent="0.25">
      <c r="A5" s="14" t="s">
        <v>996</v>
      </c>
      <c r="B5" s="14" t="s">
        <v>997</v>
      </c>
      <c r="C5" s="15" t="s">
        <v>1004</v>
      </c>
      <c r="D5" s="16" t="s">
        <v>1005</v>
      </c>
      <c r="E5" s="23">
        <v>3</v>
      </c>
      <c r="F5" s="18" t="s">
        <v>57</v>
      </c>
      <c r="G5" s="16"/>
      <c r="H5" s="16"/>
    </row>
    <row r="6" spans="1:8" ht="30" customHeight="1" x14ac:dyDescent="0.25">
      <c r="A6" s="19" t="s">
        <v>996</v>
      </c>
      <c r="B6" s="19" t="s">
        <v>997</v>
      </c>
      <c r="C6" s="20" t="s">
        <v>1006</v>
      </c>
      <c r="D6" s="21" t="s">
        <v>1007</v>
      </c>
      <c r="E6" s="23">
        <v>3</v>
      </c>
      <c r="F6" s="18" t="s">
        <v>57</v>
      </c>
      <c r="G6" s="21"/>
      <c r="H6" s="21"/>
    </row>
    <row r="7" spans="1:8" ht="18" customHeight="1" x14ac:dyDescent="0.25">
      <c r="A7" s="13" t="s">
        <v>1008</v>
      </c>
      <c r="B7" s="13" t="s">
        <v>1009</v>
      </c>
      <c r="C7" s="13"/>
      <c r="D7" s="13"/>
      <c r="E7" s="13"/>
      <c r="F7" s="13"/>
      <c r="G7" s="13"/>
      <c r="H7" s="13"/>
    </row>
    <row r="8" spans="1:8" ht="30" customHeight="1" x14ac:dyDescent="0.25">
      <c r="A8" s="14" t="s">
        <v>1008</v>
      </c>
      <c r="B8" s="14" t="s">
        <v>1009</v>
      </c>
      <c r="C8" s="15" t="s">
        <v>1010</v>
      </c>
      <c r="D8" s="16" t="s">
        <v>1011</v>
      </c>
      <c r="E8" s="17">
        <v>2</v>
      </c>
      <c r="F8" s="18" t="s">
        <v>107</v>
      </c>
      <c r="G8" s="16"/>
      <c r="H8" s="16"/>
    </row>
    <row r="9" spans="1:8" ht="30" customHeight="1" x14ac:dyDescent="0.25">
      <c r="A9" s="19" t="s">
        <v>1008</v>
      </c>
      <c r="B9" s="19" t="s">
        <v>1009</v>
      </c>
      <c r="C9" s="20" t="s">
        <v>1012</v>
      </c>
      <c r="D9" s="21" t="s">
        <v>1013</v>
      </c>
      <c r="E9" s="17">
        <v>2</v>
      </c>
      <c r="F9" s="18" t="s">
        <v>107</v>
      </c>
      <c r="G9" s="21"/>
      <c r="H9" s="21"/>
    </row>
    <row r="10" spans="1:8" ht="30" customHeight="1" x14ac:dyDescent="0.25">
      <c r="A10" s="14" t="s">
        <v>1008</v>
      </c>
      <c r="B10" s="14" t="s">
        <v>1009</v>
      </c>
      <c r="C10" s="15" t="s">
        <v>1014</v>
      </c>
      <c r="D10" s="16" t="s">
        <v>1015</v>
      </c>
      <c r="E10" s="17">
        <v>2</v>
      </c>
      <c r="F10" s="18" t="s">
        <v>57</v>
      </c>
      <c r="G10" s="16" t="s">
        <v>1016</v>
      </c>
      <c r="H10" s="16"/>
    </row>
    <row r="11" spans="1:8" ht="30" customHeight="1" x14ac:dyDescent="0.25">
      <c r="A11" s="19" t="s">
        <v>1008</v>
      </c>
      <c r="B11" s="19" t="s">
        <v>1009</v>
      </c>
      <c r="C11" s="20" t="s">
        <v>1017</v>
      </c>
      <c r="D11" s="21" t="s">
        <v>1018</v>
      </c>
      <c r="E11" s="17">
        <v>2</v>
      </c>
      <c r="F11" s="18" t="s">
        <v>107</v>
      </c>
      <c r="G11" s="21"/>
      <c r="H11" s="21"/>
    </row>
    <row r="12" spans="1:8" ht="30" customHeight="1" x14ac:dyDescent="0.25">
      <c r="A12" s="14" t="s">
        <v>1008</v>
      </c>
      <c r="B12" s="14" t="s">
        <v>1009</v>
      </c>
      <c r="C12" s="15" t="s">
        <v>1019</v>
      </c>
      <c r="D12" s="16" t="s">
        <v>1020</v>
      </c>
      <c r="E12" s="17">
        <v>2</v>
      </c>
      <c r="F12" s="18" t="s">
        <v>57</v>
      </c>
      <c r="G12" s="16" t="s">
        <v>1021</v>
      </c>
      <c r="H12" s="16"/>
    </row>
    <row r="13" spans="1:8" ht="30" customHeight="1" x14ac:dyDescent="0.25">
      <c r="A13" s="19" t="s">
        <v>1008</v>
      </c>
      <c r="B13" s="19" t="s">
        <v>1009</v>
      </c>
      <c r="C13" s="20" t="s">
        <v>1022</v>
      </c>
      <c r="D13" s="21" t="s">
        <v>1023</v>
      </c>
      <c r="E13" s="23">
        <v>3</v>
      </c>
      <c r="F13" s="18" t="s">
        <v>57</v>
      </c>
      <c r="G13" s="21"/>
      <c r="H13" s="21"/>
    </row>
    <row r="14" spans="1:8" ht="18" customHeight="1" x14ac:dyDescent="0.25">
      <c r="A14" s="13" t="s">
        <v>1024</v>
      </c>
      <c r="B14" s="13" t="s">
        <v>1025</v>
      </c>
      <c r="C14" s="13"/>
      <c r="D14" s="13"/>
      <c r="E14" s="13"/>
      <c r="F14" s="13"/>
      <c r="G14" s="13"/>
      <c r="H14" s="13"/>
    </row>
    <row r="15" spans="1:8" ht="30" customHeight="1" x14ac:dyDescent="0.25">
      <c r="A15" s="14" t="s">
        <v>1024</v>
      </c>
      <c r="B15" s="14" t="s">
        <v>1025</v>
      </c>
      <c r="C15" s="15" t="s">
        <v>1026</v>
      </c>
      <c r="D15" s="16" t="s">
        <v>1027</v>
      </c>
      <c r="E15" s="17">
        <v>2</v>
      </c>
      <c r="F15" s="18" t="s">
        <v>107</v>
      </c>
      <c r="G15" s="16"/>
      <c r="H15" s="16"/>
    </row>
    <row r="16" spans="1:8" ht="30" customHeight="1" x14ac:dyDescent="0.25">
      <c r="A16" s="19" t="s">
        <v>1024</v>
      </c>
      <c r="B16" s="19" t="s">
        <v>1025</v>
      </c>
      <c r="C16" s="20" t="s">
        <v>1028</v>
      </c>
      <c r="D16" s="21" t="s">
        <v>1029</v>
      </c>
      <c r="E16" s="17">
        <v>2</v>
      </c>
      <c r="F16" s="18" t="s">
        <v>107</v>
      </c>
      <c r="G16" s="21"/>
      <c r="H16" s="21"/>
    </row>
    <row r="17" spans="1:8" ht="30" customHeight="1" x14ac:dyDescent="0.25">
      <c r="A17" s="14" t="s">
        <v>1024</v>
      </c>
      <c r="B17" s="14" t="s">
        <v>1025</v>
      </c>
      <c r="C17" s="15" t="s">
        <v>1030</v>
      </c>
      <c r="D17" s="16" t="s">
        <v>1031</v>
      </c>
      <c r="E17" s="23">
        <v>3</v>
      </c>
      <c r="F17" s="18" t="s">
        <v>57</v>
      </c>
      <c r="G17" s="16"/>
      <c r="H17" s="16"/>
    </row>
    <row r="18" spans="1:8" ht="30" customHeight="1" x14ac:dyDescent="0.25">
      <c r="A18" s="19" t="s">
        <v>1024</v>
      </c>
      <c r="B18" s="19" t="s">
        <v>1025</v>
      </c>
      <c r="C18" s="20" t="s">
        <v>1032</v>
      </c>
      <c r="D18" s="21" t="s">
        <v>1033</v>
      </c>
      <c r="E18" s="23">
        <v>3</v>
      </c>
      <c r="F18" s="18" t="s">
        <v>57</v>
      </c>
      <c r="G18" s="21"/>
      <c r="H18" s="21"/>
    </row>
    <row r="19" spans="1:8" ht="18" customHeight="1" x14ac:dyDescent="0.25">
      <c r="A19" s="13" t="s">
        <v>1034</v>
      </c>
      <c r="B19" s="13" t="s">
        <v>1035</v>
      </c>
      <c r="C19" s="13"/>
      <c r="D19" s="13"/>
      <c r="E19" s="13"/>
      <c r="F19" s="13"/>
      <c r="G19" s="13"/>
      <c r="H19" s="13"/>
    </row>
    <row r="20" spans="1:8" ht="30" customHeight="1" x14ac:dyDescent="0.25">
      <c r="A20" s="14" t="s">
        <v>1034</v>
      </c>
      <c r="B20" s="14" t="s">
        <v>1035</v>
      </c>
      <c r="C20" s="15" t="s">
        <v>1036</v>
      </c>
      <c r="D20" s="16" t="s">
        <v>1037</v>
      </c>
      <c r="E20" s="22">
        <v>1</v>
      </c>
      <c r="F20" s="18" t="s">
        <v>45</v>
      </c>
      <c r="G20" s="16" t="s">
        <v>1038</v>
      </c>
      <c r="H20" s="16" t="s">
        <v>1039</v>
      </c>
    </row>
    <row r="21" spans="1:8" ht="30" customHeight="1" x14ac:dyDescent="0.25">
      <c r="A21" s="19" t="s">
        <v>1034</v>
      </c>
      <c r="B21" s="19" t="s">
        <v>1035</v>
      </c>
      <c r="C21" s="20" t="s">
        <v>1040</v>
      </c>
      <c r="D21" s="21" t="s">
        <v>1041</v>
      </c>
      <c r="E21" s="17">
        <v>2</v>
      </c>
      <c r="F21" s="18" t="s">
        <v>45</v>
      </c>
      <c r="G21" s="21" t="s">
        <v>1042</v>
      </c>
      <c r="H21" s="21" t="s">
        <v>1043</v>
      </c>
    </row>
    <row r="22" spans="1:8" ht="30" customHeight="1" x14ac:dyDescent="0.25">
      <c r="A22" s="14" t="s">
        <v>1034</v>
      </c>
      <c r="B22" s="14" t="s">
        <v>1035</v>
      </c>
      <c r="C22" s="15" t="s">
        <v>1044</v>
      </c>
      <c r="D22" s="16" t="s">
        <v>1045</v>
      </c>
      <c r="E22" s="17">
        <v>2</v>
      </c>
      <c r="F22" s="18" t="s">
        <v>57</v>
      </c>
      <c r="G22" s="16" t="s">
        <v>1046</v>
      </c>
      <c r="H22" s="16"/>
    </row>
    <row r="23" spans="1:8" ht="45" customHeight="1" x14ac:dyDescent="0.25">
      <c r="A23" s="19" t="s">
        <v>1034</v>
      </c>
      <c r="B23" s="19" t="s">
        <v>1035</v>
      </c>
      <c r="C23" s="20" t="s">
        <v>1047</v>
      </c>
      <c r="D23" s="21" t="s">
        <v>1048</v>
      </c>
      <c r="E23" s="17">
        <v>2</v>
      </c>
      <c r="F23" s="18" t="s">
        <v>45</v>
      </c>
      <c r="G23" s="21" t="s">
        <v>1049</v>
      </c>
      <c r="H23" s="21" t="s">
        <v>1050</v>
      </c>
    </row>
    <row r="24" spans="1:8" ht="30" customHeight="1" x14ac:dyDescent="0.25">
      <c r="A24" s="14" t="s">
        <v>1034</v>
      </c>
      <c r="B24" s="14" t="s">
        <v>1035</v>
      </c>
      <c r="C24" s="15" t="s">
        <v>1051</v>
      </c>
      <c r="D24" s="16" t="s">
        <v>1052</v>
      </c>
      <c r="E24" s="17">
        <v>2</v>
      </c>
      <c r="F24" s="18" t="s">
        <v>45</v>
      </c>
      <c r="G24" s="16" t="s">
        <v>1053</v>
      </c>
      <c r="H24" s="16" t="s">
        <v>1054</v>
      </c>
    </row>
    <row r="25" spans="1:8" ht="30" customHeight="1" x14ac:dyDescent="0.25">
      <c r="A25" s="19" t="s">
        <v>1034</v>
      </c>
      <c r="B25" s="19" t="s">
        <v>1035</v>
      </c>
      <c r="C25" s="20" t="s">
        <v>1055</v>
      </c>
      <c r="D25" s="21" t="s">
        <v>1056</v>
      </c>
      <c r="E25" s="23">
        <v>3</v>
      </c>
      <c r="F25" s="18" t="s">
        <v>57</v>
      </c>
      <c r="G25" s="21"/>
      <c r="H25" s="21"/>
    </row>
    <row r="26" spans="1:8" ht="30" customHeight="1" x14ac:dyDescent="0.25">
      <c r="A26" s="14" t="s">
        <v>1034</v>
      </c>
      <c r="B26" s="14" t="s">
        <v>1035</v>
      </c>
      <c r="C26" s="15" t="s">
        <v>1057</v>
      </c>
      <c r="D26" s="16" t="s">
        <v>1058</v>
      </c>
      <c r="E26" s="23">
        <v>3</v>
      </c>
      <c r="F26" s="18" t="s">
        <v>57</v>
      </c>
      <c r="G26" s="16" t="s">
        <v>1059</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1060</v>
      </c>
      <c r="B2" s="13" t="s">
        <v>1061</v>
      </c>
      <c r="C2" s="13"/>
      <c r="D2" s="13"/>
      <c r="E2" s="13"/>
      <c r="F2" s="13"/>
      <c r="G2" s="13"/>
      <c r="H2" s="13"/>
    </row>
    <row r="3" spans="1:8" ht="120" customHeight="1" x14ac:dyDescent="0.25">
      <c r="A3" s="14" t="s">
        <v>1060</v>
      </c>
      <c r="B3" s="14" t="s">
        <v>1061</v>
      </c>
      <c r="C3" s="15" t="s">
        <v>1062</v>
      </c>
      <c r="D3" s="16" t="s">
        <v>1063</v>
      </c>
      <c r="E3" s="17">
        <v>2</v>
      </c>
      <c r="F3" s="18" t="s">
        <v>45</v>
      </c>
      <c r="G3" s="16" t="s">
        <v>1064</v>
      </c>
      <c r="H3" s="16" t="s">
        <v>1065</v>
      </c>
    </row>
    <row r="4" spans="1:8" ht="105.4" customHeight="1" x14ac:dyDescent="0.25">
      <c r="A4" s="19" t="s">
        <v>1060</v>
      </c>
      <c r="B4" s="19" t="s">
        <v>1061</v>
      </c>
      <c r="C4" s="20" t="s">
        <v>1066</v>
      </c>
      <c r="D4" s="21" t="s">
        <v>1067</v>
      </c>
      <c r="E4" s="17">
        <v>2</v>
      </c>
      <c r="F4" s="18" t="s">
        <v>57</v>
      </c>
      <c r="G4" s="21" t="s">
        <v>1068</v>
      </c>
      <c r="H4" s="21"/>
    </row>
    <row r="5" spans="1:8" ht="18" customHeight="1" x14ac:dyDescent="0.25">
      <c r="A5" s="13" t="s">
        <v>1069</v>
      </c>
      <c r="B5" s="13" t="s">
        <v>1070</v>
      </c>
      <c r="C5" s="13"/>
      <c r="D5" s="13"/>
      <c r="E5" s="13"/>
      <c r="F5" s="13"/>
      <c r="G5" s="13"/>
      <c r="H5" s="13"/>
    </row>
    <row r="6" spans="1:8" ht="90" customHeight="1" x14ac:dyDescent="0.25">
      <c r="A6" s="14" t="s">
        <v>1069</v>
      </c>
      <c r="B6" s="14" t="s">
        <v>1070</v>
      </c>
      <c r="C6" s="15" t="s">
        <v>1071</v>
      </c>
      <c r="D6" s="16" t="s">
        <v>1072</v>
      </c>
      <c r="E6" s="22">
        <v>1</v>
      </c>
      <c r="F6" s="18" t="s">
        <v>45</v>
      </c>
      <c r="G6" s="16" t="s">
        <v>1073</v>
      </c>
      <c r="H6" s="16" t="s">
        <v>1074</v>
      </c>
    </row>
    <row r="7" spans="1:8" ht="50.45" customHeight="1" x14ac:dyDescent="0.25">
      <c r="A7" s="19" t="s">
        <v>1069</v>
      </c>
      <c r="B7" s="19" t="s">
        <v>1070</v>
      </c>
      <c r="C7" s="20" t="s">
        <v>1075</v>
      </c>
      <c r="D7" s="21" t="s">
        <v>1076</v>
      </c>
      <c r="E7" s="17">
        <v>2</v>
      </c>
      <c r="F7" s="18" t="s">
        <v>45</v>
      </c>
      <c r="G7" s="21" t="s">
        <v>1077</v>
      </c>
      <c r="H7" s="21" t="s">
        <v>1078</v>
      </c>
    </row>
    <row r="8" spans="1:8" ht="68.650000000000006" customHeight="1" x14ac:dyDescent="0.25">
      <c r="A8" s="14" t="s">
        <v>1069</v>
      </c>
      <c r="B8" s="14" t="s">
        <v>1070</v>
      </c>
      <c r="C8" s="15" t="s">
        <v>1079</v>
      </c>
      <c r="D8" s="16" t="s">
        <v>1080</v>
      </c>
      <c r="E8" s="17">
        <v>2</v>
      </c>
      <c r="F8" s="18" t="s">
        <v>45</v>
      </c>
      <c r="G8" s="16" t="s">
        <v>1081</v>
      </c>
      <c r="H8" s="16" t="s">
        <v>1082</v>
      </c>
    </row>
    <row r="9" spans="1:8" ht="90" customHeight="1" x14ac:dyDescent="0.25">
      <c r="A9" s="19" t="s">
        <v>1069</v>
      </c>
      <c r="B9" s="19" t="s">
        <v>1070</v>
      </c>
      <c r="C9" s="20" t="s">
        <v>1083</v>
      </c>
      <c r="D9" s="21" t="s">
        <v>1084</v>
      </c>
      <c r="E9" s="17">
        <v>2</v>
      </c>
      <c r="F9" s="18" t="s">
        <v>50</v>
      </c>
      <c r="G9" s="21" t="s">
        <v>1085</v>
      </c>
      <c r="H9" s="21" t="s">
        <v>1086</v>
      </c>
    </row>
    <row r="10" spans="1:8" ht="30" customHeight="1" x14ac:dyDescent="0.25">
      <c r="A10" s="14" t="s">
        <v>1069</v>
      </c>
      <c r="B10" s="14" t="s">
        <v>1070</v>
      </c>
      <c r="C10" s="15" t="s">
        <v>1087</v>
      </c>
      <c r="D10" s="16" t="s">
        <v>1088</v>
      </c>
      <c r="E10" s="23">
        <v>3</v>
      </c>
      <c r="F10" s="18" t="s">
        <v>57</v>
      </c>
      <c r="G10" s="16"/>
      <c r="H10" s="16"/>
    </row>
    <row r="11" spans="1:8" ht="30" customHeight="1" x14ac:dyDescent="0.25">
      <c r="A11" s="19" t="s">
        <v>1069</v>
      </c>
      <c r="B11" s="19" t="s">
        <v>1070</v>
      </c>
      <c r="C11" s="20" t="s">
        <v>1089</v>
      </c>
      <c r="D11" s="21" t="s">
        <v>1090</v>
      </c>
      <c r="E11" s="23">
        <v>3</v>
      </c>
      <c r="F11" s="18" t="s">
        <v>57</v>
      </c>
      <c r="G11" s="21"/>
      <c r="H11" s="21"/>
    </row>
    <row r="12" spans="1:8" ht="30" customHeight="1" x14ac:dyDescent="0.25">
      <c r="A12" s="14" t="s">
        <v>1069</v>
      </c>
      <c r="B12" s="14" t="s">
        <v>1070</v>
      </c>
      <c r="C12" s="15" t="s">
        <v>1091</v>
      </c>
      <c r="D12" s="16" t="s">
        <v>1092</v>
      </c>
      <c r="E12" s="23">
        <v>3</v>
      </c>
      <c r="F12" s="18" t="s">
        <v>57</v>
      </c>
      <c r="G12" s="16"/>
      <c r="H12" s="16"/>
    </row>
    <row r="13" spans="1:8" ht="30" customHeight="1" x14ac:dyDescent="0.25">
      <c r="A13" s="19" t="s">
        <v>1069</v>
      </c>
      <c r="B13" s="19" t="s">
        <v>1070</v>
      </c>
      <c r="C13" s="20" t="s">
        <v>1093</v>
      </c>
      <c r="D13" s="21" t="s">
        <v>1094</v>
      </c>
      <c r="E13" s="23">
        <v>3</v>
      </c>
      <c r="F13" s="18" t="s">
        <v>57</v>
      </c>
      <c r="G13" s="21"/>
      <c r="H13" s="21"/>
    </row>
    <row r="14" spans="1:8" ht="18" customHeight="1" x14ac:dyDescent="0.25">
      <c r="A14" s="13" t="s">
        <v>1095</v>
      </c>
      <c r="B14" s="13" t="s">
        <v>1096</v>
      </c>
      <c r="C14" s="13"/>
      <c r="D14" s="13"/>
      <c r="E14" s="13"/>
      <c r="F14" s="13"/>
      <c r="G14" s="13"/>
      <c r="H14" s="13"/>
    </row>
    <row r="15" spans="1:8" ht="30" customHeight="1" x14ac:dyDescent="0.25">
      <c r="A15" s="14" t="s">
        <v>1095</v>
      </c>
      <c r="B15" s="14" t="s">
        <v>1096</v>
      </c>
      <c r="C15" s="15" t="s">
        <v>1097</v>
      </c>
      <c r="D15" s="16" t="s">
        <v>1098</v>
      </c>
      <c r="E15" s="22">
        <v>1</v>
      </c>
      <c r="F15" s="18" t="s">
        <v>57</v>
      </c>
      <c r="G15" s="16" t="s">
        <v>1099</v>
      </c>
      <c r="H15" s="16"/>
    </row>
    <row r="16" spans="1:8" ht="45" customHeight="1" x14ac:dyDescent="0.25">
      <c r="A16" s="19" t="s">
        <v>1095</v>
      </c>
      <c r="B16" s="19" t="s">
        <v>1096</v>
      </c>
      <c r="C16" s="20" t="s">
        <v>1100</v>
      </c>
      <c r="D16" s="21" t="s">
        <v>1101</v>
      </c>
      <c r="E16" s="17">
        <v>2</v>
      </c>
      <c r="F16" s="18" t="s">
        <v>45</v>
      </c>
      <c r="G16" s="21" t="s">
        <v>1102</v>
      </c>
      <c r="H16" s="21" t="s">
        <v>1078</v>
      </c>
    </row>
    <row r="17" spans="1:8" ht="45" customHeight="1" x14ac:dyDescent="0.25">
      <c r="A17" s="14" t="s">
        <v>1095</v>
      </c>
      <c r="B17" s="14" t="s">
        <v>1096</v>
      </c>
      <c r="C17" s="15" t="s">
        <v>1103</v>
      </c>
      <c r="D17" s="16" t="s">
        <v>1104</v>
      </c>
      <c r="E17" s="17">
        <v>2</v>
      </c>
      <c r="F17" s="18" t="s">
        <v>57</v>
      </c>
      <c r="G17" s="16" t="s">
        <v>1105</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1106</v>
      </c>
      <c r="B2" s="13" t="s">
        <v>1107</v>
      </c>
      <c r="C2" s="13"/>
      <c r="D2" s="13"/>
      <c r="E2" s="13"/>
      <c r="F2" s="13"/>
      <c r="G2" s="13"/>
      <c r="H2" s="13"/>
    </row>
    <row r="3" spans="1:8" ht="105" customHeight="1" x14ac:dyDescent="0.25">
      <c r="A3" s="14" t="s">
        <v>1106</v>
      </c>
      <c r="B3" s="14" t="s">
        <v>1107</v>
      </c>
      <c r="C3" s="15" t="s">
        <v>1108</v>
      </c>
      <c r="D3" s="16" t="s">
        <v>1109</v>
      </c>
      <c r="E3" s="22">
        <v>1</v>
      </c>
      <c r="F3" s="18" t="s">
        <v>45</v>
      </c>
      <c r="G3" s="16" t="s">
        <v>1110</v>
      </c>
      <c r="H3" s="16" t="s">
        <v>1111</v>
      </c>
    </row>
    <row r="4" spans="1:8" ht="120" customHeight="1" x14ac:dyDescent="0.25">
      <c r="A4" s="19" t="s">
        <v>1106</v>
      </c>
      <c r="B4" s="19" t="s">
        <v>1107</v>
      </c>
      <c r="C4" s="20" t="s">
        <v>1112</v>
      </c>
      <c r="D4" s="21" t="s">
        <v>1113</v>
      </c>
      <c r="E4" s="17">
        <v>2</v>
      </c>
      <c r="F4" s="18" t="s">
        <v>45</v>
      </c>
      <c r="G4" s="21" t="s">
        <v>1114</v>
      </c>
      <c r="H4" s="21" t="s">
        <v>1115</v>
      </c>
    </row>
    <row r="5" spans="1:8" ht="150" customHeight="1" x14ac:dyDescent="0.25">
      <c r="A5" s="14" t="s">
        <v>1106</v>
      </c>
      <c r="B5" s="14" t="s">
        <v>1107</v>
      </c>
      <c r="C5" s="15" t="s">
        <v>1116</v>
      </c>
      <c r="D5" s="16" t="s">
        <v>1117</v>
      </c>
      <c r="E5" s="17">
        <v>2</v>
      </c>
      <c r="F5" s="18" t="s">
        <v>45</v>
      </c>
      <c r="G5" s="16" t="s">
        <v>1118</v>
      </c>
      <c r="H5" s="16" t="s">
        <v>1119</v>
      </c>
    </row>
    <row r="6" spans="1:8" ht="30" customHeight="1" x14ac:dyDescent="0.25">
      <c r="A6" s="19" t="s">
        <v>1106</v>
      </c>
      <c r="B6" s="19" t="s">
        <v>1107</v>
      </c>
      <c r="C6" s="20" t="s">
        <v>1120</v>
      </c>
      <c r="D6" s="21" t="s">
        <v>1121</v>
      </c>
      <c r="E6" s="23">
        <v>3</v>
      </c>
      <c r="F6" s="18" t="s">
        <v>57</v>
      </c>
      <c r="G6" s="21"/>
      <c r="H6" s="21"/>
    </row>
    <row r="7" spans="1:8" ht="255" customHeight="1" x14ac:dyDescent="0.25">
      <c r="A7" s="14" t="s">
        <v>1106</v>
      </c>
      <c r="B7" s="14" t="s">
        <v>1107</v>
      </c>
      <c r="C7" s="15" t="s">
        <v>1122</v>
      </c>
      <c r="D7" s="16" t="s">
        <v>1123</v>
      </c>
      <c r="E7" s="23">
        <v>3</v>
      </c>
      <c r="F7" s="18" t="s">
        <v>45</v>
      </c>
      <c r="G7" s="16" t="s">
        <v>1124</v>
      </c>
      <c r="H7" s="16" t="s">
        <v>1125</v>
      </c>
    </row>
    <row r="8" spans="1:8" x14ac:dyDescent="0.25">
      <c r="A8" s="13" t="s">
        <v>1126</v>
      </c>
      <c r="B8" s="13" t="s">
        <v>1127</v>
      </c>
      <c r="C8" s="13"/>
      <c r="D8" s="13"/>
      <c r="E8" s="13"/>
      <c r="F8" s="13"/>
      <c r="G8" s="13"/>
      <c r="H8" s="13"/>
    </row>
    <row r="9" spans="1:8" ht="150" customHeight="1" x14ac:dyDescent="0.25">
      <c r="A9" s="14" t="s">
        <v>1126</v>
      </c>
      <c r="B9" s="14" t="s">
        <v>1127</v>
      </c>
      <c r="C9" s="15" t="s">
        <v>1128</v>
      </c>
      <c r="D9" s="16" t="s">
        <v>1129</v>
      </c>
      <c r="E9" s="22">
        <v>1</v>
      </c>
      <c r="F9" s="18" t="s">
        <v>45</v>
      </c>
      <c r="G9" s="16" t="s">
        <v>1130</v>
      </c>
      <c r="H9" s="16" t="s">
        <v>1131</v>
      </c>
    </row>
    <row r="10" spans="1:8" ht="165" customHeight="1" x14ac:dyDescent="0.25">
      <c r="A10" s="19" t="s">
        <v>1126</v>
      </c>
      <c r="B10" s="19" t="s">
        <v>1127</v>
      </c>
      <c r="C10" s="20" t="s">
        <v>1132</v>
      </c>
      <c r="D10" s="21" t="s">
        <v>1133</v>
      </c>
      <c r="E10" s="17">
        <v>2</v>
      </c>
      <c r="F10" s="18" t="s">
        <v>45</v>
      </c>
      <c r="G10" s="21" t="s">
        <v>1134</v>
      </c>
      <c r="H10" s="21" t="s">
        <v>1135</v>
      </c>
    </row>
    <row r="11" spans="1:8" ht="150" customHeight="1" x14ac:dyDescent="0.25">
      <c r="A11" s="14" t="s">
        <v>1126</v>
      </c>
      <c r="B11" s="14" t="s">
        <v>1127</v>
      </c>
      <c r="C11" s="15" t="s">
        <v>1136</v>
      </c>
      <c r="D11" s="16" t="s">
        <v>1137</v>
      </c>
      <c r="E11" s="17">
        <v>2</v>
      </c>
      <c r="F11" s="18" t="s">
        <v>45</v>
      </c>
      <c r="G11" s="16" t="s">
        <v>1138</v>
      </c>
      <c r="H11" s="16" t="s">
        <v>1139</v>
      </c>
    </row>
    <row r="12" spans="1:8" ht="60" customHeight="1" x14ac:dyDescent="0.25">
      <c r="A12" s="19" t="s">
        <v>1126</v>
      </c>
      <c r="B12" s="19" t="s">
        <v>1127</v>
      </c>
      <c r="C12" s="20" t="s">
        <v>1140</v>
      </c>
      <c r="D12" s="21" t="s">
        <v>1141</v>
      </c>
      <c r="E12" s="23">
        <v>3</v>
      </c>
      <c r="F12" s="18" t="s">
        <v>57</v>
      </c>
      <c r="G12" s="21"/>
      <c r="H12" s="21"/>
    </row>
    <row r="13" spans="1:8" ht="285" customHeight="1" x14ac:dyDescent="0.25">
      <c r="A13" s="14" t="s">
        <v>1126</v>
      </c>
      <c r="B13" s="14" t="s">
        <v>1127</v>
      </c>
      <c r="C13" s="15" t="s">
        <v>1142</v>
      </c>
      <c r="D13" s="16" t="s">
        <v>1143</v>
      </c>
      <c r="E13" s="23">
        <v>3</v>
      </c>
      <c r="F13" s="18" t="s">
        <v>45</v>
      </c>
      <c r="G13" s="16" t="s">
        <v>1144</v>
      </c>
      <c r="H13" s="16" t="s">
        <v>1145</v>
      </c>
    </row>
    <row r="14" spans="1:8" x14ac:dyDescent="0.25">
      <c r="A14" s="13" t="s">
        <v>1146</v>
      </c>
      <c r="B14" s="13" t="s">
        <v>1147</v>
      </c>
      <c r="C14" s="13"/>
      <c r="D14" s="13"/>
      <c r="E14" s="13"/>
      <c r="F14" s="13"/>
      <c r="G14" s="13"/>
      <c r="H14" s="13"/>
    </row>
    <row r="15" spans="1:8" ht="165" customHeight="1" x14ac:dyDescent="0.25">
      <c r="A15" s="14" t="s">
        <v>1146</v>
      </c>
      <c r="B15" s="14" t="s">
        <v>1147</v>
      </c>
      <c r="C15" s="15" t="s">
        <v>1148</v>
      </c>
      <c r="D15" s="16" t="s">
        <v>1149</v>
      </c>
      <c r="E15" s="22">
        <v>1</v>
      </c>
      <c r="F15" s="18" t="s">
        <v>45</v>
      </c>
      <c r="G15" s="16" t="s">
        <v>1150</v>
      </c>
      <c r="H15" s="16" t="s">
        <v>1151</v>
      </c>
    </row>
    <row r="16" spans="1:8" ht="135" customHeight="1" x14ac:dyDescent="0.25">
      <c r="A16" s="19" t="s">
        <v>1146</v>
      </c>
      <c r="B16" s="19" t="s">
        <v>1147</v>
      </c>
      <c r="C16" s="20" t="s">
        <v>1152</v>
      </c>
      <c r="D16" s="21" t="s">
        <v>1153</v>
      </c>
      <c r="E16" s="17">
        <v>2</v>
      </c>
      <c r="F16" s="18" t="s">
        <v>45</v>
      </c>
      <c r="G16" s="21" t="s">
        <v>1154</v>
      </c>
      <c r="H16" s="21" t="s">
        <v>1155</v>
      </c>
    </row>
    <row r="17" spans="1:8" ht="165" customHeight="1" x14ac:dyDescent="0.25">
      <c r="A17" s="14" t="s">
        <v>1146</v>
      </c>
      <c r="B17" s="14" t="s">
        <v>1147</v>
      </c>
      <c r="C17" s="15" t="s">
        <v>1156</v>
      </c>
      <c r="D17" s="16" t="s">
        <v>1157</v>
      </c>
      <c r="E17" s="17">
        <v>2</v>
      </c>
      <c r="F17" s="18" t="s">
        <v>45</v>
      </c>
      <c r="G17" s="16" t="s">
        <v>1158</v>
      </c>
      <c r="H17" s="16" t="s">
        <v>1159</v>
      </c>
    </row>
    <row r="18" spans="1:8" ht="165" customHeight="1" x14ac:dyDescent="0.25">
      <c r="A18" s="19" t="s">
        <v>1146</v>
      </c>
      <c r="B18" s="19" t="s">
        <v>1147</v>
      </c>
      <c r="C18" s="20" t="s">
        <v>1160</v>
      </c>
      <c r="D18" s="21" t="s">
        <v>1161</v>
      </c>
      <c r="E18" s="17">
        <v>2</v>
      </c>
      <c r="F18" s="18" t="s">
        <v>45</v>
      </c>
      <c r="G18" s="21" t="s">
        <v>1162</v>
      </c>
      <c r="H18" s="21" t="s">
        <v>1163</v>
      </c>
    </row>
    <row r="19" spans="1:8" ht="135" customHeight="1" x14ac:dyDescent="0.25">
      <c r="A19" s="14" t="s">
        <v>1146</v>
      </c>
      <c r="B19" s="14" t="s">
        <v>1147</v>
      </c>
      <c r="C19" s="15" t="s">
        <v>1164</v>
      </c>
      <c r="D19" s="16" t="s">
        <v>1165</v>
      </c>
      <c r="E19" s="17">
        <v>2</v>
      </c>
      <c r="F19" s="18" t="s">
        <v>45</v>
      </c>
      <c r="G19" s="16" t="s">
        <v>1166</v>
      </c>
      <c r="H19" s="16" t="s">
        <v>1167</v>
      </c>
    </row>
    <row r="20" spans="1:8" ht="105" customHeight="1" x14ac:dyDescent="0.25">
      <c r="A20" s="19" t="s">
        <v>1146</v>
      </c>
      <c r="B20" s="19" t="s">
        <v>1147</v>
      </c>
      <c r="C20" s="20" t="s">
        <v>1168</v>
      </c>
      <c r="D20" s="21" t="s">
        <v>1169</v>
      </c>
      <c r="E20" s="17">
        <v>2</v>
      </c>
      <c r="F20" s="18" t="s">
        <v>57</v>
      </c>
      <c r="G20" s="21" t="s">
        <v>1170</v>
      </c>
      <c r="H20" s="21"/>
    </row>
    <row r="21" spans="1:8" ht="165" customHeight="1" x14ac:dyDescent="0.25">
      <c r="A21" s="14" t="s">
        <v>1146</v>
      </c>
      <c r="B21" s="14" t="s">
        <v>1147</v>
      </c>
      <c r="C21" s="15" t="s">
        <v>1171</v>
      </c>
      <c r="D21" s="16" t="s">
        <v>1172</v>
      </c>
      <c r="E21" s="17">
        <v>2</v>
      </c>
      <c r="F21" s="18" t="s">
        <v>45</v>
      </c>
      <c r="G21" s="16" t="s">
        <v>1173</v>
      </c>
      <c r="H21" s="16" t="s">
        <v>1174</v>
      </c>
    </row>
    <row r="22" spans="1:8" x14ac:dyDescent="0.25">
      <c r="A22" s="13" t="s">
        <v>1175</v>
      </c>
      <c r="B22" s="13" t="s">
        <v>1176</v>
      </c>
      <c r="C22" s="13"/>
      <c r="D22" s="13"/>
      <c r="E22" s="13"/>
      <c r="F22" s="13"/>
      <c r="G22" s="13"/>
      <c r="H22" s="13"/>
    </row>
    <row r="23" spans="1:8" ht="75" customHeight="1" x14ac:dyDescent="0.25">
      <c r="A23" s="14" t="s">
        <v>1175</v>
      </c>
      <c r="B23" s="14" t="s">
        <v>1176</v>
      </c>
      <c r="C23" s="15" t="s">
        <v>1177</v>
      </c>
      <c r="D23" s="16" t="s">
        <v>1178</v>
      </c>
      <c r="E23" s="23">
        <v>3</v>
      </c>
      <c r="F23" s="18" t="s">
        <v>57</v>
      </c>
      <c r="G23" s="16"/>
      <c r="H23" s="16"/>
    </row>
    <row r="24" spans="1:8" ht="90" customHeight="1" x14ac:dyDescent="0.25">
      <c r="A24" s="19" t="s">
        <v>1175</v>
      </c>
      <c r="B24" s="19" t="s">
        <v>1176</v>
      </c>
      <c r="C24" s="20" t="s">
        <v>1179</v>
      </c>
      <c r="D24" s="21" t="s">
        <v>1180</v>
      </c>
      <c r="E24" s="23">
        <v>3</v>
      </c>
      <c r="F24" s="18" t="s">
        <v>57</v>
      </c>
      <c r="G24" s="21"/>
      <c r="H24" s="21"/>
    </row>
    <row r="25" spans="1:8" ht="75" customHeight="1" x14ac:dyDescent="0.25">
      <c r="A25" s="14" t="s">
        <v>1175</v>
      </c>
      <c r="B25" s="14" t="s">
        <v>1176</v>
      </c>
      <c r="C25" s="15" t="s">
        <v>1181</v>
      </c>
      <c r="D25" s="16" t="s">
        <v>1182</v>
      </c>
      <c r="E25" s="23">
        <v>3</v>
      </c>
      <c r="F25" s="18" t="s">
        <v>57</v>
      </c>
      <c r="G25" s="16"/>
      <c r="H25" s="16"/>
    </row>
    <row r="26" spans="1:8" ht="60" customHeight="1" x14ac:dyDescent="0.25">
      <c r="A26" s="19" t="s">
        <v>1175</v>
      </c>
      <c r="B26" s="19" t="s">
        <v>1176</v>
      </c>
      <c r="C26" s="20" t="s">
        <v>1183</v>
      </c>
      <c r="D26" s="21" t="s">
        <v>1184</v>
      </c>
      <c r="E26" s="23">
        <v>3</v>
      </c>
      <c r="F26" s="18" t="s">
        <v>57</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1185</v>
      </c>
      <c r="B2" s="13" t="s">
        <v>1186</v>
      </c>
      <c r="C2" s="13"/>
      <c r="D2" s="13"/>
      <c r="E2" s="13"/>
      <c r="F2" s="13"/>
      <c r="G2" s="13"/>
      <c r="H2" s="13"/>
    </row>
    <row r="3" spans="1:8" ht="195" customHeight="1" x14ac:dyDescent="0.25">
      <c r="A3" s="14" t="s">
        <v>1185</v>
      </c>
      <c r="B3" s="14" t="s">
        <v>1186</v>
      </c>
      <c r="C3" s="15" t="s">
        <v>1187</v>
      </c>
      <c r="D3" s="16" t="s">
        <v>1188</v>
      </c>
      <c r="E3" s="17">
        <v>2</v>
      </c>
      <c r="F3" s="18" t="s">
        <v>45</v>
      </c>
      <c r="G3" s="16" t="s">
        <v>1189</v>
      </c>
      <c r="H3" s="16" t="s">
        <v>1190</v>
      </c>
    </row>
    <row r="4" spans="1:8" x14ac:dyDescent="0.25">
      <c r="A4" s="13" t="s">
        <v>1191</v>
      </c>
      <c r="B4" s="13" t="s">
        <v>1192</v>
      </c>
      <c r="C4" s="13"/>
      <c r="D4" s="13"/>
      <c r="E4" s="13"/>
      <c r="F4" s="13"/>
      <c r="G4" s="13"/>
      <c r="H4" s="13"/>
    </row>
    <row r="5" spans="1:8" ht="150" customHeight="1" x14ac:dyDescent="0.25">
      <c r="A5" s="14" t="s">
        <v>1191</v>
      </c>
      <c r="B5" s="14" t="s">
        <v>1192</v>
      </c>
      <c r="C5" s="15" t="s">
        <v>1193</v>
      </c>
      <c r="D5" s="16" t="s">
        <v>1194</v>
      </c>
      <c r="E5" s="17">
        <v>2</v>
      </c>
      <c r="F5" s="18" t="s">
        <v>45</v>
      </c>
      <c r="G5" s="16" t="s">
        <v>1195</v>
      </c>
      <c r="H5" s="16" t="s">
        <v>1196</v>
      </c>
    </row>
    <row r="6" spans="1:8" ht="180" customHeight="1" x14ac:dyDescent="0.25">
      <c r="A6" s="19" t="s">
        <v>1191</v>
      </c>
      <c r="B6" s="19" t="s">
        <v>1192</v>
      </c>
      <c r="C6" s="20" t="s">
        <v>1197</v>
      </c>
      <c r="D6" s="21" t="s">
        <v>1198</v>
      </c>
      <c r="E6" s="17">
        <v>2</v>
      </c>
      <c r="F6" s="18" t="s">
        <v>45</v>
      </c>
      <c r="G6" s="21" t="s">
        <v>1199</v>
      </c>
      <c r="H6" s="21" t="s">
        <v>1200</v>
      </c>
    </row>
    <row r="7" spans="1:8" ht="135" customHeight="1" x14ac:dyDescent="0.25">
      <c r="A7" s="14" t="s">
        <v>1191</v>
      </c>
      <c r="B7" s="14" t="s">
        <v>1192</v>
      </c>
      <c r="C7" s="15" t="s">
        <v>1201</v>
      </c>
      <c r="D7" s="16" t="s">
        <v>1202</v>
      </c>
      <c r="E7" s="17">
        <v>2</v>
      </c>
      <c r="F7" s="18" t="s">
        <v>45</v>
      </c>
      <c r="G7" s="16" t="s">
        <v>1203</v>
      </c>
      <c r="H7" s="16" t="s">
        <v>1204</v>
      </c>
    </row>
    <row r="8" spans="1:8" ht="165" customHeight="1" x14ac:dyDescent="0.25">
      <c r="A8" s="19" t="s">
        <v>1191</v>
      </c>
      <c r="B8" s="19" t="s">
        <v>1192</v>
      </c>
      <c r="C8" s="20" t="s">
        <v>1205</v>
      </c>
      <c r="D8" s="21" t="s">
        <v>1206</v>
      </c>
      <c r="E8" s="17">
        <v>2</v>
      </c>
      <c r="F8" s="18" t="s">
        <v>45</v>
      </c>
      <c r="G8" s="21" t="s">
        <v>1207</v>
      </c>
      <c r="H8" s="21" t="s">
        <v>1208</v>
      </c>
    </row>
    <row r="9" spans="1:8" ht="210" customHeight="1" x14ac:dyDescent="0.25">
      <c r="A9" s="14" t="s">
        <v>1191</v>
      </c>
      <c r="B9" s="14" t="s">
        <v>1192</v>
      </c>
      <c r="C9" s="15" t="s">
        <v>1209</v>
      </c>
      <c r="D9" s="16" t="s">
        <v>1210</v>
      </c>
      <c r="E9" s="17">
        <v>2</v>
      </c>
      <c r="F9" s="18" t="s">
        <v>45</v>
      </c>
      <c r="G9" s="16" t="s">
        <v>1211</v>
      </c>
      <c r="H9" s="16" t="s">
        <v>1212</v>
      </c>
    </row>
    <row r="10" spans="1:8" x14ac:dyDescent="0.25">
      <c r="A10" s="13" t="s">
        <v>1213</v>
      </c>
      <c r="B10" s="13" t="s">
        <v>1214</v>
      </c>
      <c r="C10" s="13"/>
      <c r="D10" s="13"/>
      <c r="E10" s="13"/>
      <c r="F10" s="13"/>
      <c r="G10" s="13"/>
      <c r="H10" s="13"/>
    </row>
    <row r="11" spans="1:8" ht="210" customHeight="1" x14ac:dyDescent="0.25">
      <c r="A11" s="14" t="s">
        <v>1213</v>
      </c>
      <c r="B11" s="14" t="s">
        <v>1214</v>
      </c>
      <c r="C11" s="15" t="s">
        <v>1215</v>
      </c>
      <c r="D11" s="16" t="s">
        <v>1216</v>
      </c>
      <c r="E11" s="17">
        <v>2</v>
      </c>
      <c r="F11" s="18" t="s">
        <v>45</v>
      </c>
      <c r="G11" s="16" t="s">
        <v>1217</v>
      </c>
      <c r="H11" s="16" t="s">
        <v>1218</v>
      </c>
    </row>
    <row r="12" spans="1:8" ht="180" customHeight="1" x14ac:dyDescent="0.25">
      <c r="A12" s="19" t="s">
        <v>1213</v>
      </c>
      <c r="B12" s="19" t="s">
        <v>1214</v>
      </c>
      <c r="C12" s="20" t="s">
        <v>1219</v>
      </c>
      <c r="D12" s="21" t="s">
        <v>1220</v>
      </c>
      <c r="E12" s="17">
        <v>2</v>
      </c>
      <c r="F12" s="18" t="s">
        <v>45</v>
      </c>
      <c r="G12" s="21" t="s">
        <v>1221</v>
      </c>
      <c r="H12" s="21" t="s">
        <v>1222</v>
      </c>
    </row>
    <row r="13" spans="1:8" ht="165" customHeight="1" x14ac:dyDescent="0.25">
      <c r="A13" s="14" t="s">
        <v>1213</v>
      </c>
      <c r="B13" s="14" t="s">
        <v>1214</v>
      </c>
      <c r="C13" s="15" t="s">
        <v>1223</v>
      </c>
      <c r="D13" s="16" t="s">
        <v>1224</v>
      </c>
      <c r="E13" s="17">
        <v>2</v>
      </c>
      <c r="F13" s="18" t="s">
        <v>45</v>
      </c>
      <c r="G13" s="16" t="s">
        <v>1225</v>
      </c>
      <c r="H13" s="16" t="s">
        <v>1226</v>
      </c>
    </row>
    <row r="14" spans="1:8" ht="180" customHeight="1" x14ac:dyDescent="0.25">
      <c r="A14" s="19" t="s">
        <v>1213</v>
      </c>
      <c r="B14" s="19" t="s">
        <v>1214</v>
      </c>
      <c r="C14" s="20" t="s">
        <v>1227</v>
      </c>
      <c r="D14" s="21" t="s">
        <v>1228</v>
      </c>
      <c r="E14" s="17">
        <v>2</v>
      </c>
      <c r="F14" s="18" t="s">
        <v>57</v>
      </c>
      <c r="G14" s="21" t="s">
        <v>1229</v>
      </c>
      <c r="H14" s="21"/>
    </row>
    <row r="15" spans="1:8" x14ac:dyDescent="0.25">
      <c r="A15" s="13" t="s">
        <v>1230</v>
      </c>
      <c r="B15" s="13" t="s">
        <v>1231</v>
      </c>
      <c r="C15" s="13"/>
      <c r="D15" s="13"/>
      <c r="E15" s="13"/>
      <c r="F15" s="13"/>
      <c r="G15" s="13"/>
      <c r="H15" s="13"/>
    </row>
    <row r="16" spans="1:8" ht="195" customHeight="1" x14ac:dyDescent="0.25">
      <c r="A16" s="14" t="s">
        <v>1230</v>
      </c>
      <c r="B16" s="14" t="s">
        <v>1231</v>
      </c>
      <c r="C16" s="15" t="s">
        <v>1232</v>
      </c>
      <c r="D16" s="16" t="s">
        <v>1233</v>
      </c>
      <c r="E16" s="17">
        <v>2</v>
      </c>
      <c r="F16" s="18" t="s">
        <v>45</v>
      </c>
      <c r="G16" s="16" t="s">
        <v>1234</v>
      </c>
      <c r="H16" s="16" t="s">
        <v>1235</v>
      </c>
    </row>
    <row r="17" spans="1:8" ht="165" customHeight="1" x14ac:dyDescent="0.25">
      <c r="A17" s="19" t="s">
        <v>1230</v>
      </c>
      <c r="B17" s="19" t="s">
        <v>1231</v>
      </c>
      <c r="C17" s="20" t="s">
        <v>1236</v>
      </c>
      <c r="D17" s="21" t="s">
        <v>1237</v>
      </c>
      <c r="E17" s="17">
        <v>2</v>
      </c>
      <c r="F17" s="18" t="s">
        <v>45</v>
      </c>
      <c r="G17" s="21" t="s">
        <v>1238</v>
      </c>
      <c r="H17" s="21" t="s">
        <v>1239</v>
      </c>
    </row>
    <row r="18" spans="1:8" ht="150" customHeight="1" x14ac:dyDescent="0.25">
      <c r="A18" s="14" t="s">
        <v>1230</v>
      </c>
      <c r="B18" s="14" t="s">
        <v>1231</v>
      </c>
      <c r="C18" s="15" t="s">
        <v>1240</v>
      </c>
      <c r="D18" s="16" t="s">
        <v>1241</v>
      </c>
      <c r="E18" s="17">
        <v>2</v>
      </c>
      <c r="F18" s="18" t="s">
        <v>57</v>
      </c>
      <c r="G18" s="16" t="s">
        <v>1242</v>
      </c>
      <c r="H18" s="16"/>
    </row>
    <row r="19" spans="1:8" x14ac:dyDescent="0.25">
      <c r="A19" s="13" t="s">
        <v>1243</v>
      </c>
      <c r="B19" s="13" t="s">
        <v>1244</v>
      </c>
      <c r="C19" s="13"/>
      <c r="D19" s="13"/>
      <c r="E19" s="13"/>
      <c r="F19" s="13"/>
      <c r="G19" s="13"/>
      <c r="H19" s="13"/>
    </row>
    <row r="20" spans="1:8" ht="180" customHeight="1" x14ac:dyDescent="0.25">
      <c r="A20" s="14" t="s">
        <v>1243</v>
      </c>
      <c r="B20" s="14" t="s">
        <v>1244</v>
      </c>
      <c r="C20" s="15" t="s">
        <v>1245</v>
      </c>
      <c r="D20" s="16" t="s">
        <v>1246</v>
      </c>
      <c r="E20" s="17">
        <v>2</v>
      </c>
      <c r="F20" s="18" t="s">
        <v>45</v>
      </c>
      <c r="G20" s="16" t="s">
        <v>1247</v>
      </c>
      <c r="H20" s="16" t="s">
        <v>1248</v>
      </c>
    </row>
    <row r="21" spans="1:8" ht="195" customHeight="1" x14ac:dyDescent="0.25">
      <c r="A21" s="19" t="s">
        <v>1243</v>
      </c>
      <c r="B21" s="19" t="s">
        <v>1244</v>
      </c>
      <c r="C21" s="20" t="s">
        <v>1249</v>
      </c>
      <c r="D21" s="21" t="s">
        <v>1250</v>
      </c>
      <c r="E21" s="17">
        <v>2</v>
      </c>
      <c r="F21" s="18" t="s">
        <v>45</v>
      </c>
      <c r="G21" s="21" t="s">
        <v>1251</v>
      </c>
      <c r="H21" s="21" t="s">
        <v>1252</v>
      </c>
    </row>
    <row r="22" spans="1:8" ht="195" customHeight="1" x14ac:dyDescent="0.25">
      <c r="A22" s="14" t="s">
        <v>1243</v>
      </c>
      <c r="B22" s="14" t="s">
        <v>1244</v>
      </c>
      <c r="C22" s="15" t="s">
        <v>1253</v>
      </c>
      <c r="D22" s="16" t="s">
        <v>1254</v>
      </c>
      <c r="E22" s="17">
        <v>2</v>
      </c>
      <c r="F22" s="18" t="s">
        <v>45</v>
      </c>
      <c r="G22" s="16" t="s">
        <v>1255</v>
      </c>
      <c r="H22" s="16" t="s">
        <v>1256</v>
      </c>
    </row>
    <row r="23" spans="1:8" ht="225" customHeight="1" x14ac:dyDescent="0.25">
      <c r="A23" s="19" t="s">
        <v>1243</v>
      </c>
      <c r="B23" s="19" t="s">
        <v>1244</v>
      </c>
      <c r="C23" s="20" t="s">
        <v>1257</v>
      </c>
      <c r="D23" s="21" t="s">
        <v>1258</v>
      </c>
      <c r="E23" s="23">
        <v>3</v>
      </c>
      <c r="F23" s="18" t="s">
        <v>45</v>
      </c>
      <c r="G23" s="21" t="s">
        <v>1259</v>
      </c>
      <c r="H23" s="21" t="s">
        <v>1260</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1261</v>
      </c>
      <c r="B2" s="13" t="s">
        <v>1262</v>
      </c>
      <c r="C2" s="13"/>
      <c r="D2" s="13"/>
      <c r="E2" s="13"/>
      <c r="F2" s="13"/>
      <c r="G2" s="13"/>
      <c r="H2" s="13"/>
    </row>
    <row r="3" spans="1:8" ht="60" customHeight="1" x14ac:dyDescent="0.25">
      <c r="A3" s="14" t="s">
        <v>1261</v>
      </c>
      <c r="B3" s="14" t="s">
        <v>1262</v>
      </c>
      <c r="C3" s="15" t="s">
        <v>1263</v>
      </c>
      <c r="D3" s="16" t="s">
        <v>1264</v>
      </c>
      <c r="E3" s="17">
        <v>2</v>
      </c>
      <c r="F3" s="18" t="s">
        <v>57</v>
      </c>
      <c r="G3" s="16" t="s">
        <v>1265</v>
      </c>
      <c r="H3" s="16"/>
    </row>
    <row r="4" spans="1:8" ht="45" customHeight="1" x14ac:dyDescent="0.25">
      <c r="A4" s="19" t="s">
        <v>1261</v>
      </c>
      <c r="B4" s="19" t="s">
        <v>1262</v>
      </c>
      <c r="C4" s="20" t="s">
        <v>1266</v>
      </c>
      <c r="D4" s="21" t="s">
        <v>1267</v>
      </c>
      <c r="E4" s="23">
        <v>3</v>
      </c>
      <c r="F4" s="18" t="s">
        <v>57</v>
      </c>
      <c r="G4" s="21" t="s">
        <v>1268</v>
      </c>
      <c r="H4" s="21"/>
    </row>
    <row r="5" spans="1:8" x14ac:dyDescent="0.25">
      <c r="A5" s="13" t="s">
        <v>1269</v>
      </c>
      <c r="B5" s="13" t="s">
        <v>1270</v>
      </c>
      <c r="C5" s="13"/>
      <c r="D5" s="13"/>
      <c r="E5" s="13"/>
      <c r="F5" s="13"/>
      <c r="G5" s="13"/>
      <c r="H5" s="13"/>
    </row>
    <row r="6" spans="1:8" ht="60" customHeight="1" x14ac:dyDescent="0.25">
      <c r="A6" s="14" t="s">
        <v>1269</v>
      </c>
      <c r="B6" s="14" t="s">
        <v>1270</v>
      </c>
      <c r="C6" s="15" t="s">
        <v>1271</v>
      </c>
      <c r="D6" s="16" t="s">
        <v>1272</v>
      </c>
      <c r="E6" s="17">
        <v>2</v>
      </c>
      <c r="F6" s="18" t="s">
        <v>57</v>
      </c>
      <c r="G6" s="16" t="s">
        <v>1273</v>
      </c>
      <c r="H6" s="16"/>
    </row>
    <row r="7" spans="1:8" ht="75" customHeight="1" x14ac:dyDescent="0.25">
      <c r="A7" s="19" t="s">
        <v>1269</v>
      </c>
      <c r="B7" s="19" t="s">
        <v>1270</v>
      </c>
      <c r="C7" s="20" t="s">
        <v>1274</v>
      </c>
      <c r="D7" s="21" t="s">
        <v>1275</v>
      </c>
      <c r="E7" s="17">
        <v>2</v>
      </c>
      <c r="F7" s="18" t="s">
        <v>57</v>
      </c>
      <c r="G7" s="21" t="s">
        <v>1276</v>
      </c>
      <c r="H7" s="21"/>
    </row>
    <row r="8" spans="1:8" ht="75" customHeight="1" x14ac:dyDescent="0.25">
      <c r="A8" s="14" t="s">
        <v>1269</v>
      </c>
      <c r="B8" s="14" t="s">
        <v>1270</v>
      </c>
      <c r="C8" s="15" t="s">
        <v>1277</v>
      </c>
      <c r="D8" s="16" t="s">
        <v>1278</v>
      </c>
      <c r="E8" s="17">
        <v>2</v>
      </c>
      <c r="F8" s="18" t="s">
        <v>57</v>
      </c>
      <c r="G8" s="16" t="s">
        <v>1279</v>
      </c>
      <c r="H8" s="16"/>
    </row>
    <row r="9" spans="1:8" ht="45" customHeight="1" x14ac:dyDescent="0.25">
      <c r="A9" s="19" t="s">
        <v>1269</v>
      </c>
      <c r="B9" s="19" t="s">
        <v>1270</v>
      </c>
      <c r="C9" s="20" t="s">
        <v>1280</v>
      </c>
      <c r="D9" s="21" t="s">
        <v>1281</v>
      </c>
      <c r="E9" s="17">
        <v>2</v>
      </c>
      <c r="F9" s="18" t="s">
        <v>57</v>
      </c>
      <c r="G9" s="21" t="s">
        <v>1282</v>
      </c>
      <c r="H9" s="21"/>
    </row>
    <row r="10" spans="1:8" ht="45" customHeight="1" x14ac:dyDescent="0.25">
      <c r="A10" s="14" t="s">
        <v>1269</v>
      </c>
      <c r="B10" s="14" t="s">
        <v>1270</v>
      </c>
      <c r="C10" s="15" t="s">
        <v>1283</v>
      </c>
      <c r="D10" s="16" t="s">
        <v>1284</v>
      </c>
      <c r="E10" s="23">
        <v>3</v>
      </c>
      <c r="F10" s="18" t="s">
        <v>57</v>
      </c>
      <c r="G10" s="16" t="s">
        <v>1285</v>
      </c>
      <c r="H10" s="16"/>
    </row>
    <row r="11" spans="1:8" ht="60" customHeight="1" x14ac:dyDescent="0.25">
      <c r="A11" s="19" t="s">
        <v>1269</v>
      </c>
      <c r="B11" s="19" t="s">
        <v>1270</v>
      </c>
      <c r="C11" s="20" t="s">
        <v>1286</v>
      </c>
      <c r="D11" s="21" t="s">
        <v>1287</v>
      </c>
      <c r="E11" s="23">
        <v>3</v>
      </c>
      <c r="F11" s="18" t="s">
        <v>57</v>
      </c>
      <c r="G11" s="21" t="s">
        <v>1288</v>
      </c>
      <c r="H11" s="21"/>
    </row>
    <row r="12" spans="1:8" ht="60" customHeight="1" x14ac:dyDescent="0.25">
      <c r="A12" s="14" t="s">
        <v>1269</v>
      </c>
      <c r="B12" s="14" t="s">
        <v>1270</v>
      </c>
      <c r="C12" s="15" t="s">
        <v>1289</v>
      </c>
      <c r="D12" s="16" t="s">
        <v>1290</v>
      </c>
      <c r="E12" s="23">
        <v>3</v>
      </c>
      <c r="F12" s="18" t="s">
        <v>57</v>
      </c>
      <c r="G12" s="16" t="s">
        <v>1291</v>
      </c>
      <c r="H12" s="16"/>
    </row>
    <row r="13" spans="1:8" ht="60" customHeight="1" x14ac:dyDescent="0.25">
      <c r="A13" s="19" t="s">
        <v>1269</v>
      </c>
      <c r="B13" s="19" t="s">
        <v>1270</v>
      </c>
      <c r="C13" s="20" t="s">
        <v>1292</v>
      </c>
      <c r="D13" s="21" t="s">
        <v>1293</v>
      </c>
      <c r="E13" s="23">
        <v>3</v>
      </c>
      <c r="F13" s="18" t="s">
        <v>57</v>
      </c>
      <c r="G13" s="21" t="s">
        <v>1294</v>
      </c>
      <c r="H13" s="21"/>
    </row>
    <row r="14" spans="1:8" x14ac:dyDescent="0.25">
      <c r="A14" s="13" t="s">
        <v>1295</v>
      </c>
      <c r="B14" s="13" t="s">
        <v>1296</v>
      </c>
      <c r="C14" s="13"/>
      <c r="D14" s="13"/>
      <c r="E14" s="13"/>
      <c r="F14" s="13"/>
      <c r="G14" s="13"/>
      <c r="H14" s="13"/>
    </row>
    <row r="15" spans="1:8" ht="60" customHeight="1" x14ac:dyDescent="0.25">
      <c r="A15" s="14" t="s">
        <v>1295</v>
      </c>
      <c r="B15" s="14" t="s">
        <v>1296</v>
      </c>
      <c r="C15" s="15" t="s">
        <v>1297</v>
      </c>
      <c r="D15" s="16" t="s">
        <v>1298</v>
      </c>
      <c r="E15" s="17">
        <v>2</v>
      </c>
      <c r="F15" s="18" t="s">
        <v>57</v>
      </c>
      <c r="G15" s="16" t="s">
        <v>1299</v>
      </c>
      <c r="H15" s="16"/>
    </row>
    <row r="16" spans="1:8" ht="90" customHeight="1" x14ac:dyDescent="0.25">
      <c r="A16" s="19" t="s">
        <v>1295</v>
      </c>
      <c r="B16" s="19" t="s">
        <v>1296</v>
      </c>
      <c r="C16" s="20" t="s">
        <v>1300</v>
      </c>
      <c r="D16" s="21" t="s">
        <v>1301</v>
      </c>
      <c r="E16" s="17">
        <v>2</v>
      </c>
      <c r="F16" s="18" t="s">
        <v>57</v>
      </c>
      <c r="G16" s="21" t="s">
        <v>1302</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Jose Moreira De Sousa</cp:lastModifiedBy>
  <cp:revision>3</cp:revision>
  <cp:lastPrinted>2026-04-15T19:56:57Z</cp:lastPrinted>
  <dcterms:created xsi:type="dcterms:W3CDTF">2026-03-04T10:14:28Z</dcterms:created>
  <dcterms:modified xsi:type="dcterms:W3CDTF">2026-06-16T04:37:17Z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